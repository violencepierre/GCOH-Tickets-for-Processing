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"/>
    </mc:Choice>
  </mc:AlternateContent>
  <xr:revisionPtr revIDLastSave="0" documentId="13_ncr:1_{93C2E190-B151-4208-979D-D7811AE9A56F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 calcCompleted="0" calcOnSave="0" concurrentCalc="0"/>
  <pivotCaches>
    <pivotCache cacheId="2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4141" i="1" l="1"/>
  <c r="K4142" i="1"/>
  <c r="K4143" i="1"/>
  <c r="K4144" i="1"/>
  <c r="K4145" i="1"/>
  <c r="K4146" i="1"/>
  <c r="K4147" i="1"/>
  <c r="K4148" i="1"/>
  <c r="K4154" i="1"/>
  <c r="H4135" i="1"/>
  <c r="H4131" i="1"/>
  <c r="B4152" i="1"/>
  <c r="B4153" i="1"/>
  <c r="B4154" i="1"/>
  <c r="H4152" i="1"/>
  <c r="H4153" i="1"/>
  <c r="H4154" i="1"/>
  <c r="J4152" i="1"/>
  <c r="J4153" i="1"/>
  <c r="J4154" i="1"/>
  <c r="Q4152" i="1"/>
  <c r="P4152" i="1"/>
  <c r="Q4153" i="1"/>
  <c r="P4153" i="1"/>
  <c r="Q4154" i="1"/>
  <c r="P4154" i="1"/>
  <c r="B4151" i="1"/>
  <c r="H4151" i="1"/>
  <c r="J4151" i="1"/>
  <c r="Q4151" i="1"/>
  <c r="P4151" i="1"/>
  <c r="K4132" i="1"/>
  <c r="K4133" i="1"/>
  <c r="K4134" i="1"/>
  <c r="K4135" i="1"/>
  <c r="K4136" i="1"/>
  <c r="K4137" i="1"/>
  <c r="K4138" i="1"/>
  <c r="K4139" i="1"/>
  <c r="K4140" i="1"/>
  <c r="B4150" i="1"/>
  <c r="H4150" i="1"/>
  <c r="J4150" i="1"/>
  <c r="Q4150" i="1"/>
  <c r="P4150" i="1"/>
  <c r="B4149" i="1"/>
  <c r="H4149" i="1"/>
  <c r="J4149" i="1"/>
  <c r="Q4149" i="1"/>
  <c r="P4149" i="1"/>
  <c r="B4132" i="1"/>
  <c r="B4133" i="1"/>
  <c r="B4134" i="1"/>
  <c r="B4135" i="1"/>
  <c r="B4136" i="1"/>
  <c r="B4137" i="1"/>
  <c r="B4138" i="1"/>
  <c r="B4139" i="1"/>
  <c r="B4140" i="1"/>
  <c r="B4141" i="1"/>
  <c r="B4142" i="1"/>
  <c r="B4143" i="1"/>
  <c r="B4144" i="1"/>
  <c r="B4145" i="1"/>
  <c r="B4146" i="1"/>
  <c r="B4147" i="1"/>
  <c r="B4148" i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/>
  <c r="Q4133" i="1"/>
  <c r="P4133" i="1"/>
  <c r="Q4134" i="1"/>
  <c r="P4134" i="1"/>
  <c r="Q4135" i="1"/>
  <c r="P4135" i="1"/>
  <c r="Q4136" i="1"/>
  <c r="P4136" i="1"/>
  <c r="Q4137" i="1"/>
  <c r="P4137" i="1"/>
  <c r="Q4138" i="1"/>
  <c r="P4138" i="1"/>
  <c r="Q4139" i="1"/>
  <c r="P4139" i="1"/>
  <c r="Q4140" i="1"/>
  <c r="P4140" i="1"/>
  <c r="Q4141" i="1"/>
  <c r="P4141" i="1"/>
  <c r="Q4142" i="1"/>
  <c r="P4142" i="1"/>
  <c r="Q4143" i="1"/>
  <c r="P4143" i="1"/>
  <c r="Q4144" i="1"/>
  <c r="P4144" i="1"/>
  <c r="Q4145" i="1"/>
  <c r="P4145" i="1"/>
  <c r="Q4146" i="1"/>
  <c r="P4146" i="1"/>
  <c r="Q4147" i="1"/>
  <c r="P4147" i="1"/>
  <c r="Q4148" i="1"/>
  <c r="P4148" i="1"/>
  <c r="K4131" i="1"/>
  <c r="J4131" i="1"/>
  <c r="J4129" i="1"/>
  <c r="J4128" i="1"/>
  <c r="J4126" i="1"/>
  <c r="J4124" i="1"/>
  <c r="J4123" i="1"/>
  <c r="J4122" i="1"/>
  <c r="J4121" i="1"/>
  <c r="B4131" i="1"/>
  <c r="Q4131" i="1"/>
  <c r="P4131" i="1"/>
  <c r="J4127" i="1"/>
  <c r="B4120" i="1"/>
  <c r="B4121" i="1"/>
  <c r="B4122" i="1"/>
  <c r="B4123" i="1"/>
  <c r="B4124" i="1"/>
  <c r="B4125" i="1"/>
  <c r="B4126" i="1"/>
  <c r="B4127" i="1"/>
  <c r="B4128" i="1"/>
  <c r="B4129" i="1"/>
  <c r="B4130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K4120" i="1"/>
  <c r="K4121" i="1"/>
  <c r="K4122" i="1"/>
  <c r="K4123" i="1"/>
  <c r="K4124" i="1"/>
  <c r="K4125" i="1"/>
  <c r="K4126" i="1"/>
  <c r="K4127" i="1"/>
  <c r="K4128" i="1"/>
  <c r="K4129" i="1"/>
  <c r="K4130" i="1"/>
  <c r="Q4120" i="1"/>
  <c r="P4120" i="1"/>
  <c r="Q4121" i="1"/>
  <c r="P4121" i="1"/>
  <c r="Q4122" i="1"/>
  <c r="P4122" i="1"/>
  <c r="Q4123" i="1"/>
  <c r="P4123" i="1"/>
  <c r="Q4124" i="1"/>
  <c r="P4124" i="1"/>
  <c r="Q4125" i="1"/>
  <c r="P4125" i="1"/>
  <c r="Q4126" i="1"/>
  <c r="P4126" i="1"/>
  <c r="Q4127" i="1"/>
  <c r="P4127" i="1"/>
  <c r="Q4128" i="1"/>
  <c r="P4128" i="1"/>
  <c r="Q4129" i="1"/>
  <c r="P4129" i="1"/>
  <c r="Q4130" i="1"/>
  <c r="P4130" i="1"/>
  <c r="J4119" i="1"/>
  <c r="B4119" i="1"/>
  <c r="H4119" i="1"/>
  <c r="K4119" i="1"/>
  <c r="Q4119" i="1"/>
  <c r="P4119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Q4006" i="1"/>
  <c r="P4006" i="1"/>
  <c r="Q4007" i="1"/>
  <c r="P4007" i="1"/>
  <c r="Q4008" i="1"/>
  <c r="P4008" i="1"/>
  <c r="Q4009" i="1"/>
  <c r="P4009" i="1"/>
  <c r="Q4010" i="1"/>
  <c r="P4010" i="1"/>
  <c r="Q4011" i="1"/>
  <c r="P4011" i="1"/>
  <c r="Q4012" i="1"/>
  <c r="P4012" i="1"/>
  <c r="Q4013" i="1"/>
  <c r="P4013" i="1"/>
  <c r="Q4014" i="1"/>
  <c r="P4014" i="1"/>
  <c r="Q4015" i="1"/>
  <c r="P4015" i="1"/>
  <c r="Q4016" i="1"/>
  <c r="P4016" i="1"/>
  <c r="Q4017" i="1"/>
  <c r="P4017" i="1"/>
  <c r="Q4018" i="1"/>
  <c r="P4018" i="1"/>
  <c r="Q4019" i="1"/>
  <c r="P4019" i="1"/>
  <c r="Q4020" i="1"/>
  <c r="P4020" i="1"/>
  <c r="Q4021" i="1"/>
  <c r="P4021" i="1"/>
  <c r="Q4022" i="1"/>
  <c r="P4022" i="1"/>
  <c r="Q4023" i="1"/>
  <c r="P4023" i="1"/>
  <c r="Q4024" i="1"/>
  <c r="P4024" i="1"/>
  <c r="Q4025" i="1"/>
  <c r="P4025" i="1"/>
  <c r="Q4026" i="1"/>
  <c r="P4026" i="1"/>
  <c r="Q4027" i="1"/>
  <c r="P4027" i="1"/>
  <c r="Q4028" i="1"/>
  <c r="P4028" i="1"/>
  <c r="Q4029" i="1"/>
  <c r="P4029" i="1"/>
  <c r="Q4030" i="1"/>
  <c r="P4030" i="1"/>
  <c r="Q4031" i="1"/>
  <c r="P4031" i="1"/>
  <c r="Q4032" i="1"/>
  <c r="P4032" i="1"/>
  <c r="Q4033" i="1"/>
  <c r="P4033" i="1"/>
  <c r="Q4034" i="1"/>
  <c r="P4034" i="1"/>
  <c r="Q4035" i="1"/>
  <c r="P4035" i="1"/>
  <c r="Q4036" i="1"/>
  <c r="P4036" i="1"/>
  <c r="Q4037" i="1"/>
  <c r="P4037" i="1"/>
  <c r="Q4038" i="1"/>
  <c r="P4038" i="1"/>
  <c r="Q4039" i="1"/>
  <c r="P4039" i="1"/>
  <c r="Q4040" i="1"/>
  <c r="P4040" i="1"/>
  <c r="Q4041" i="1"/>
  <c r="P4041" i="1"/>
  <c r="Q4042" i="1"/>
  <c r="P4042" i="1"/>
  <c r="Q4043" i="1"/>
  <c r="P4043" i="1"/>
  <c r="Q4044" i="1"/>
  <c r="P4044" i="1"/>
  <c r="Q4045" i="1"/>
  <c r="P4045" i="1"/>
  <c r="Q4046" i="1"/>
  <c r="P4046" i="1"/>
  <c r="Q4047" i="1"/>
  <c r="P4047" i="1"/>
  <c r="Q4048" i="1"/>
  <c r="P4048" i="1"/>
  <c r="Q4049" i="1"/>
  <c r="P4049" i="1"/>
  <c r="Q4050" i="1"/>
  <c r="P4050" i="1"/>
  <c r="Q4051" i="1"/>
  <c r="P4051" i="1"/>
  <c r="Q4052" i="1"/>
  <c r="P4052" i="1"/>
  <c r="Q4053" i="1"/>
  <c r="P4053" i="1"/>
  <c r="Q4054" i="1"/>
  <c r="P4054" i="1"/>
  <c r="Q4055" i="1"/>
  <c r="P4055" i="1"/>
  <c r="Q4056" i="1"/>
  <c r="P4056" i="1"/>
  <c r="Q4057" i="1"/>
  <c r="P4057" i="1"/>
  <c r="Q4058" i="1"/>
  <c r="P4058" i="1"/>
  <c r="Q4059" i="1"/>
  <c r="P4059" i="1"/>
  <c r="Q4060" i="1"/>
  <c r="P4060" i="1"/>
  <c r="Q4061" i="1"/>
  <c r="P4061" i="1"/>
  <c r="Q4062" i="1"/>
  <c r="P4062" i="1"/>
  <c r="Q4063" i="1"/>
  <c r="P4063" i="1"/>
  <c r="Q4064" i="1"/>
  <c r="P4064" i="1"/>
  <c r="Q4065" i="1"/>
  <c r="P4065" i="1"/>
  <c r="Q4066" i="1"/>
  <c r="P4066" i="1"/>
  <c r="Q4067" i="1"/>
  <c r="P4067" i="1"/>
  <c r="Q4068" i="1"/>
  <c r="P4068" i="1"/>
  <c r="Q4069" i="1"/>
  <c r="P4069" i="1"/>
  <c r="Q4070" i="1"/>
  <c r="P4070" i="1"/>
  <c r="Q4071" i="1"/>
  <c r="P4071" i="1"/>
  <c r="Q4072" i="1"/>
  <c r="P4072" i="1"/>
  <c r="Q4073" i="1"/>
  <c r="P4073" i="1"/>
  <c r="Q4074" i="1"/>
  <c r="P4074" i="1"/>
  <c r="Q4075" i="1"/>
  <c r="P4075" i="1"/>
  <c r="Q4076" i="1"/>
  <c r="P4076" i="1"/>
  <c r="Q4077" i="1"/>
  <c r="P4077" i="1"/>
  <c r="Q4078" i="1"/>
  <c r="P4078" i="1"/>
  <c r="Q4079" i="1"/>
  <c r="P4079" i="1"/>
  <c r="Q4080" i="1"/>
  <c r="P4080" i="1"/>
  <c r="Q4081" i="1"/>
  <c r="P4081" i="1"/>
  <c r="Q4082" i="1"/>
  <c r="P4082" i="1"/>
  <c r="Q4083" i="1"/>
  <c r="P4083" i="1"/>
  <c r="Q4084" i="1"/>
  <c r="P4084" i="1"/>
  <c r="Q4085" i="1"/>
  <c r="P4085" i="1"/>
  <c r="Q4086" i="1"/>
  <c r="P4086" i="1"/>
  <c r="Q4087" i="1"/>
  <c r="P4087" i="1"/>
  <c r="Q4088" i="1"/>
  <c r="P4088" i="1"/>
  <c r="Q4089" i="1"/>
  <c r="P4089" i="1"/>
  <c r="Q4090" i="1"/>
  <c r="P4090" i="1"/>
  <c r="Q4091" i="1"/>
  <c r="P4091" i="1"/>
  <c r="Q4092" i="1"/>
  <c r="P4092" i="1"/>
  <c r="Q4093" i="1"/>
  <c r="P4093" i="1"/>
  <c r="Q4094" i="1"/>
  <c r="P4094" i="1"/>
  <c r="Q4095" i="1"/>
  <c r="P4095" i="1"/>
  <c r="Q4096" i="1"/>
  <c r="P4096" i="1"/>
  <c r="Q4097" i="1"/>
  <c r="P4097" i="1"/>
  <c r="Q4098" i="1"/>
  <c r="P4098" i="1"/>
  <c r="Q4099" i="1"/>
  <c r="P4099" i="1"/>
  <c r="Q4100" i="1"/>
  <c r="P4100" i="1"/>
  <c r="Q4101" i="1"/>
  <c r="P4101" i="1"/>
  <c r="Q4102" i="1"/>
  <c r="P4102" i="1"/>
  <c r="Q4103" i="1"/>
  <c r="P4103" i="1"/>
  <c r="Q4104" i="1"/>
  <c r="P4104" i="1"/>
  <c r="Q4105" i="1"/>
  <c r="P4105" i="1"/>
  <c r="Q4106" i="1"/>
  <c r="P4106" i="1"/>
  <c r="Q4107" i="1"/>
  <c r="P4107" i="1"/>
  <c r="Q4108" i="1"/>
  <c r="P4108" i="1"/>
  <c r="Q4109" i="1"/>
  <c r="P4109" i="1"/>
  <c r="Q4110" i="1"/>
  <c r="P4110" i="1"/>
  <c r="Q4111" i="1"/>
  <c r="P4111" i="1"/>
  <c r="Q4112" i="1"/>
  <c r="P4112" i="1"/>
  <c r="Q4113" i="1"/>
  <c r="P4113" i="1"/>
  <c r="Q4114" i="1"/>
  <c r="P4114" i="1"/>
  <c r="Q4115" i="1"/>
  <c r="P4115" i="1"/>
  <c r="Q4116" i="1"/>
  <c r="P4116" i="1"/>
  <c r="Q4117" i="1"/>
  <c r="P4117" i="1"/>
  <c r="Q4118" i="1"/>
  <c r="P4118" i="1"/>
  <c r="B4005" i="1"/>
  <c r="H4005" i="1"/>
  <c r="J4005" i="1"/>
  <c r="K4005" i="1"/>
  <c r="Q4005" i="1"/>
  <c r="P4005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Q3988" i="1"/>
  <c r="P3988" i="1"/>
  <c r="Q3989" i="1"/>
  <c r="P3989" i="1"/>
  <c r="Q3990" i="1"/>
  <c r="P3990" i="1"/>
  <c r="Q3991" i="1"/>
  <c r="P3991" i="1"/>
  <c r="Q3992" i="1"/>
  <c r="P3992" i="1"/>
  <c r="Q3993" i="1"/>
  <c r="P3993" i="1"/>
  <c r="Q3994" i="1"/>
  <c r="P3994" i="1"/>
  <c r="Q3995" i="1"/>
  <c r="P3995" i="1"/>
  <c r="Q3996" i="1"/>
  <c r="P3996" i="1"/>
  <c r="Q3997" i="1"/>
  <c r="P3997" i="1"/>
  <c r="Q3998" i="1"/>
  <c r="P3998" i="1"/>
  <c r="Q3999" i="1"/>
  <c r="P3999" i="1"/>
  <c r="Q4000" i="1"/>
  <c r="P4000" i="1"/>
  <c r="Q4001" i="1"/>
  <c r="P4001" i="1"/>
  <c r="Q4002" i="1"/>
  <c r="P4002" i="1"/>
  <c r="Q4003" i="1"/>
  <c r="P4003" i="1"/>
  <c r="Q4004" i="1"/>
  <c r="P4004" i="1"/>
  <c r="B3987" i="1"/>
  <c r="H3987" i="1"/>
  <c r="J3987" i="1"/>
  <c r="K3987" i="1"/>
  <c r="Q3987" i="1"/>
  <c r="P3987" i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Q3949" i="1"/>
  <c r="P3949" i="1"/>
  <c r="Q3950" i="1"/>
  <c r="P3950" i="1"/>
  <c r="Q3951" i="1"/>
  <c r="P3951" i="1"/>
  <c r="Q3952" i="1"/>
  <c r="P3952" i="1"/>
  <c r="Q3953" i="1"/>
  <c r="P3953" i="1"/>
  <c r="Q3954" i="1"/>
  <c r="P3954" i="1"/>
  <c r="Q3955" i="1"/>
  <c r="P3955" i="1"/>
  <c r="Q3956" i="1"/>
  <c r="P3956" i="1"/>
  <c r="Q3957" i="1"/>
  <c r="P3957" i="1"/>
  <c r="Q3958" i="1"/>
  <c r="P3958" i="1"/>
  <c r="Q3959" i="1"/>
  <c r="P3959" i="1"/>
  <c r="Q3960" i="1"/>
  <c r="P3960" i="1"/>
  <c r="Q3961" i="1"/>
  <c r="P3961" i="1"/>
  <c r="Q3962" i="1"/>
  <c r="P3962" i="1"/>
  <c r="Q3963" i="1"/>
  <c r="P3963" i="1"/>
  <c r="Q3964" i="1"/>
  <c r="P3964" i="1"/>
  <c r="Q3965" i="1"/>
  <c r="P3965" i="1"/>
  <c r="Q3966" i="1"/>
  <c r="P3966" i="1"/>
  <c r="Q3967" i="1"/>
  <c r="P3967" i="1"/>
  <c r="Q3968" i="1"/>
  <c r="P3968" i="1"/>
  <c r="Q3969" i="1"/>
  <c r="P3969" i="1"/>
  <c r="Q3970" i="1"/>
  <c r="P3970" i="1"/>
  <c r="Q3971" i="1"/>
  <c r="P3971" i="1"/>
  <c r="Q3972" i="1"/>
  <c r="P3972" i="1"/>
  <c r="Q3973" i="1"/>
  <c r="P3973" i="1"/>
  <c r="Q3974" i="1"/>
  <c r="P3974" i="1"/>
  <c r="Q3975" i="1"/>
  <c r="P3975" i="1"/>
  <c r="Q3976" i="1"/>
  <c r="P3976" i="1"/>
  <c r="Q3977" i="1"/>
  <c r="P3977" i="1"/>
  <c r="Q3978" i="1"/>
  <c r="P3978" i="1"/>
  <c r="Q3979" i="1"/>
  <c r="P3979" i="1"/>
  <c r="Q3980" i="1"/>
  <c r="P3980" i="1"/>
  <c r="Q3981" i="1"/>
  <c r="P3981" i="1"/>
  <c r="Q3982" i="1"/>
  <c r="P3982" i="1"/>
  <c r="Q3983" i="1"/>
  <c r="P3983" i="1"/>
  <c r="Q3984" i="1"/>
  <c r="P3984" i="1"/>
  <c r="Q3985" i="1"/>
  <c r="P3985" i="1"/>
  <c r="Q3986" i="1"/>
  <c r="P3986" i="1"/>
  <c r="B3948" i="1"/>
  <c r="H3948" i="1"/>
  <c r="K3948" i="1"/>
  <c r="Q3948" i="1"/>
  <c r="P3948" i="1"/>
  <c r="B3947" i="1"/>
  <c r="H3947" i="1"/>
  <c r="J3947" i="1"/>
  <c r="K3947" i="1"/>
  <c r="Q3947" i="1"/>
  <c r="P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C2" i="2"/>
  <c r="B10" i="1"/>
  <c r="B9" i="1"/>
  <c r="B8" i="1"/>
  <c r="B7" i="1"/>
  <c r="B6" i="1"/>
  <c r="B5" i="1"/>
  <c r="B4" i="1"/>
  <c r="B3" i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K3945" i="1"/>
  <c r="K3946" i="1"/>
  <c r="Q3945" i="1"/>
  <c r="P3945" i="1"/>
  <c r="Q3946" i="1"/>
  <c r="P3946" i="1"/>
  <c r="H3944" i="1"/>
  <c r="K3944" i="1"/>
  <c r="Q3944" i="1"/>
  <c r="P3944" i="1"/>
  <c r="H3937" i="1"/>
  <c r="H3938" i="1"/>
  <c r="H3939" i="1"/>
  <c r="H3940" i="1"/>
  <c r="H3941" i="1"/>
  <c r="H3942" i="1"/>
  <c r="H3943" i="1"/>
  <c r="J3943" i="1"/>
  <c r="K3937" i="1"/>
  <c r="K3938" i="1"/>
  <c r="K3939" i="1"/>
  <c r="K3940" i="1"/>
  <c r="K3941" i="1"/>
  <c r="K3942" i="1"/>
  <c r="K3943" i="1"/>
  <c r="Q3937" i="1"/>
  <c r="P3937" i="1"/>
  <c r="Q3938" i="1"/>
  <c r="P3938" i="1"/>
  <c r="Q3939" i="1"/>
  <c r="P3939" i="1"/>
  <c r="Q3940" i="1"/>
  <c r="P3940" i="1"/>
  <c r="Q3941" i="1"/>
  <c r="P3941" i="1"/>
  <c r="Q3942" i="1"/>
  <c r="P3942" i="1"/>
  <c r="Q3943" i="1"/>
  <c r="P3943" i="1"/>
  <c r="H3932" i="1"/>
  <c r="H3933" i="1"/>
  <c r="H3934" i="1"/>
  <c r="H3935" i="1"/>
  <c r="H3936" i="1"/>
  <c r="K3932" i="1"/>
  <c r="K3933" i="1"/>
  <c r="K3934" i="1"/>
  <c r="K3935" i="1"/>
  <c r="K3936" i="1"/>
  <c r="Q3932" i="1"/>
  <c r="P3932" i="1"/>
  <c r="Q3933" i="1"/>
  <c r="P3933" i="1"/>
  <c r="Q3934" i="1"/>
  <c r="P3934" i="1"/>
  <c r="Q3935" i="1"/>
  <c r="P3935" i="1"/>
  <c r="Q3936" i="1"/>
  <c r="P3936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Q3818" i="1"/>
  <c r="P3818" i="1"/>
  <c r="Q3819" i="1"/>
  <c r="P3819" i="1"/>
  <c r="Q3820" i="1"/>
  <c r="P3820" i="1"/>
  <c r="Q3821" i="1"/>
  <c r="P3821" i="1"/>
  <c r="Q3822" i="1"/>
  <c r="P3822" i="1"/>
  <c r="Q3823" i="1"/>
  <c r="P3823" i="1"/>
  <c r="Q3824" i="1"/>
  <c r="P3824" i="1"/>
  <c r="Q3825" i="1"/>
  <c r="P3825" i="1"/>
  <c r="Q3826" i="1"/>
  <c r="P3826" i="1"/>
  <c r="Q3827" i="1"/>
  <c r="P3827" i="1"/>
  <c r="Q3828" i="1"/>
  <c r="P3828" i="1"/>
  <c r="Q3829" i="1"/>
  <c r="P3829" i="1"/>
  <c r="Q3830" i="1"/>
  <c r="P3830" i="1"/>
  <c r="Q3831" i="1"/>
  <c r="P3831" i="1"/>
  <c r="Q3832" i="1"/>
  <c r="P3832" i="1"/>
  <c r="Q3833" i="1"/>
  <c r="P3833" i="1"/>
  <c r="Q3834" i="1"/>
  <c r="P3834" i="1"/>
  <c r="Q3835" i="1"/>
  <c r="P3835" i="1"/>
  <c r="Q3836" i="1"/>
  <c r="P3836" i="1"/>
  <c r="Q3837" i="1"/>
  <c r="P3837" i="1"/>
  <c r="Q3838" i="1"/>
  <c r="P3838" i="1"/>
  <c r="Q3839" i="1"/>
  <c r="P3839" i="1"/>
  <c r="Q3840" i="1"/>
  <c r="P3840" i="1"/>
  <c r="Q3841" i="1"/>
  <c r="P3841" i="1"/>
  <c r="Q3842" i="1"/>
  <c r="P3842" i="1"/>
  <c r="Q3843" i="1"/>
  <c r="P3843" i="1"/>
  <c r="Q3844" i="1"/>
  <c r="P3844" i="1"/>
  <c r="Q3845" i="1"/>
  <c r="P3845" i="1"/>
  <c r="Q3846" i="1"/>
  <c r="P3846" i="1"/>
  <c r="Q3847" i="1"/>
  <c r="P3847" i="1"/>
  <c r="Q3848" i="1"/>
  <c r="P3848" i="1"/>
  <c r="Q3849" i="1"/>
  <c r="P3849" i="1"/>
  <c r="Q3850" i="1"/>
  <c r="P3850" i="1"/>
  <c r="Q3851" i="1"/>
  <c r="P3851" i="1"/>
  <c r="Q3852" i="1"/>
  <c r="P3852" i="1"/>
  <c r="Q3853" i="1"/>
  <c r="P3853" i="1"/>
  <c r="Q3854" i="1"/>
  <c r="P3854" i="1"/>
  <c r="Q3855" i="1"/>
  <c r="P3855" i="1"/>
  <c r="Q3856" i="1"/>
  <c r="P3856" i="1"/>
  <c r="Q3857" i="1"/>
  <c r="P3857" i="1"/>
  <c r="Q3858" i="1"/>
  <c r="P3858" i="1"/>
  <c r="Q3859" i="1"/>
  <c r="P3859" i="1"/>
  <c r="Q3860" i="1"/>
  <c r="P3860" i="1"/>
  <c r="Q3861" i="1"/>
  <c r="P3861" i="1"/>
  <c r="Q3862" i="1"/>
  <c r="P3862" i="1"/>
  <c r="Q3863" i="1"/>
  <c r="P3863" i="1"/>
  <c r="Q3864" i="1"/>
  <c r="P3864" i="1"/>
  <c r="Q3865" i="1"/>
  <c r="P3865" i="1"/>
  <c r="Q3866" i="1"/>
  <c r="P3866" i="1"/>
  <c r="Q3867" i="1"/>
  <c r="P3867" i="1"/>
  <c r="Q3868" i="1"/>
  <c r="P3868" i="1"/>
  <c r="Q3869" i="1"/>
  <c r="P3869" i="1"/>
  <c r="Q3870" i="1"/>
  <c r="P3870" i="1"/>
  <c r="Q3871" i="1"/>
  <c r="P3871" i="1"/>
  <c r="Q3872" i="1"/>
  <c r="P3872" i="1"/>
  <c r="Q3873" i="1"/>
  <c r="P3873" i="1"/>
  <c r="Q3874" i="1"/>
  <c r="P3874" i="1"/>
  <c r="Q3875" i="1"/>
  <c r="P3875" i="1"/>
  <c r="Q3876" i="1"/>
  <c r="P3876" i="1"/>
  <c r="Q3877" i="1"/>
  <c r="P3877" i="1"/>
  <c r="Q3878" i="1"/>
  <c r="P3878" i="1"/>
  <c r="Q3879" i="1"/>
  <c r="P3879" i="1"/>
  <c r="Q3880" i="1"/>
  <c r="P3880" i="1"/>
  <c r="Q3881" i="1"/>
  <c r="P3881" i="1"/>
  <c r="Q3882" i="1"/>
  <c r="P3882" i="1"/>
  <c r="Q3883" i="1"/>
  <c r="P3883" i="1"/>
  <c r="Q3884" i="1"/>
  <c r="P3884" i="1"/>
  <c r="Q3885" i="1"/>
  <c r="P3885" i="1"/>
  <c r="Q3886" i="1"/>
  <c r="P3886" i="1"/>
  <c r="Q3887" i="1"/>
  <c r="P3887" i="1"/>
  <c r="Q3888" i="1"/>
  <c r="P3888" i="1"/>
  <c r="Q3889" i="1"/>
  <c r="P3889" i="1"/>
  <c r="Q3890" i="1"/>
  <c r="P3890" i="1"/>
  <c r="Q3891" i="1"/>
  <c r="P3891" i="1"/>
  <c r="Q3892" i="1"/>
  <c r="P3892" i="1"/>
  <c r="Q3893" i="1"/>
  <c r="P3893" i="1"/>
  <c r="Q3894" i="1"/>
  <c r="P3894" i="1"/>
  <c r="Q3895" i="1"/>
  <c r="P3895" i="1"/>
  <c r="Q3896" i="1"/>
  <c r="P3896" i="1"/>
  <c r="Q3897" i="1"/>
  <c r="P3897" i="1"/>
  <c r="Q3898" i="1"/>
  <c r="P3898" i="1"/>
  <c r="Q3899" i="1"/>
  <c r="P3899" i="1"/>
  <c r="Q3900" i="1"/>
  <c r="P3900" i="1"/>
  <c r="Q3901" i="1"/>
  <c r="P3901" i="1"/>
  <c r="Q3902" i="1"/>
  <c r="P3902" i="1"/>
  <c r="Q3903" i="1"/>
  <c r="P3903" i="1"/>
  <c r="Q3904" i="1"/>
  <c r="P3904" i="1"/>
  <c r="Q3905" i="1"/>
  <c r="P3905" i="1"/>
  <c r="Q3906" i="1"/>
  <c r="P3906" i="1"/>
  <c r="Q3907" i="1"/>
  <c r="P3907" i="1"/>
  <c r="Q3908" i="1"/>
  <c r="P3908" i="1"/>
  <c r="Q3909" i="1"/>
  <c r="P3909" i="1"/>
  <c r="Q3910" i="1"/>
  <c r="P3910" i="1"/>
  <c r="Q3911" i="1"/>
  <c r="P3911" i="1"/>
  <c r="Q3912" i="1"/>
  <c r="P3912" i="1"/>
  <c r="Q3913" i="1"/>
  <c r="P3913" i="1"/>
  <c r="Q3914" i="1"/>
  <c r="P3914" i="1"/>
  <c r="Q3915" i="1"/>
  <c r="P3915" i="1"/>
  <c r="Q3916" i="1"/>
  <c r="P3916" i="1"/>
  <c r="Q3917" i="1"/>
  <c r="P3917" i="1"/>
  <c r="Q3918" i="1"/>
  <c r="P3918" i="1"/>
  <c r="Q3919" i="1"/>
  <c r="P3919" i="1"/>
  <c r="Q3920" i="1"/>
  <c r="P3920" i="1"/>
  <c r="Q3921" i="1"/>
  <c r="P3921" i="1"/>
  <c r="Q3922" i="1"/>
  <c r="P3922" i="1"/>
  <c r="Q3923" i="1"/>
  <c r="P3923" i="1"/>
  <c r="Q3924" i="1"/>
  <c r="P3924" i="1"/>
  <c r="Q3925" i="1"/>
  <c r="P3925" i="1"/>
  <c r="Q3926" i="1"/>
  <c r="P3926" i="1"/>
  <c r="Q3927" i="1"/>
  <c r="P3927" i="1"/>
  <c r="Q3928" i="1"/>
  <c r="P3928" i="1"/>
  <c r="Q3929" i="1"/>
  <c r="P3929" i="1"/>
  <c r="Q3930" i="1"/>
  <c r="P3930" i="1"/>
  <c r="Q3931" i="1"/>
  <c r="P3931" i="1"/>
  <c r="K3725" i="1"/>
  <c r="K3726" i="1"/>
  <c r="K3727" i="1"/>
  <c r="K3728" i="1"/>
  <c r="K3729" i="1"/>
  <c r="K3730" i="1"/>
  <c r="K3724" i="1"/>
  <c r="K3723" i="1"/>
  <c r="K3722" i="1"/>
  <c r="K3720" i="1"/>
  <c r="K3719" i="1"/>
  <c r="K3718" i="1"/>
  <c r="J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J3702" i="1"/>
  <c r="K3701" i="1"/>
  <c r="K3700" i="1"/>
  <c r="K3699" i="1"/>
  <c r="K3698" i="1"/>
  <c r="K3697" i="1"/>
  <c r="K3695" i="1"/>
  <c r="K3694" i="1"/>
  <c r="K3690" i="1"/>
  <c r="Q3720" i="1"/>
  <c r="P3720" i="1"/>
  <c r="Q3721" i="1"/>
  <c r="P3721" i="1"/>
  <c r="Q3722" i="1"/>
  <c r="P3722" i="1"/>
  <c r="Q3723" i="1"/>
  <c r="P3723" i="1"/>
  <c r="Q3724" i="1"/>
  <c r="P3724" i="1"/>
  <c r="Q3725" i="1"/>
  <c r="P3725" i="1"/>
  <c r="Q3726" i="1"/>
  <c r="P3726" i="1"/>
  <c r="Q3727" i="1"/>
  <c r="P3727" i="1"/>
  <c r="Q3728" i="1"/>
  <c r="P3728" i="1"/>
  <c r="Q3729" i="1"/>
  <c r="P3729" i="1"/>
  <c r="Q3730" i="1"/>
  <c r="P3730" i="1"/>
  <c r="Q3695" i="1"/>
  <c r="P3695" i="1"/>
  <c r="Q3696" i="1"/>
  <c r="P3696" i="1"/>
  <c r="Q3697" i="1"/>
  <c r="P3697" i="1"/>
  <c r="Q3698" i="1"/>
  <c r="P3698" i="1"/>
  <c r="Q3699" i="1"/>
  <c r="P3699" i="1"/>
  <c r="Q3700" i="1"/>
  <c r="P3700" i="1"/>
  <c r="Q3701" i="1"/>
  <c r="P3701" i="1"/>
  <c r="Q3702" i="1"/>
  <c r="P3702" i="1"/>
  <c r="Q3703" i="1"/>
  <c r="P3703" i="1"/>
  <c r="Q3704" i="1"/>
  <c r="P3704" i="1"/>
  <c r="Q3705" i="1"/>
  <c r="P3705" i="1"/>
  <c r="Q3706" i="1"/>
  <c r="P3706" i="1"/>
  <c r="Q3707" i="1"/>
  <c r="P3707" i="1"/>
  <c r="Q3708" i="1"/>
  <c r="P3708" i="1"/>
  <c r="Q3709" i="1"/>
  <c r="P3709" i="1"/>
  <c r="Q3710" i="1"/>
  <c r="P3710" i="1"/>
  <c r="Q3711" i="1"/>
  <c r="P3711" i="1"/>
  <c r="Q3712" i="1"/>
  <c r="P3712" i="1"/>
  <c r="Q3713" i="1"/>
  <c r="P3713" i="1"/>
  <c r="Q3714" i="1"/>
  <c r="P3714" i="1"/>
  <c r="Q3715" i="1"/>
  <c r="P3715" i="1"/>
  <c r="Q3716" i="1"/>
  <c r="P3716" i="1"/>
  <c r="Q3717" i="1"/>
  <c r="P3717" i="1"/>
  <c r="Q3718" i="1"/>
  <c r="P3718" i="1"/>
  <c r="Q3719" i="1"/>
  <c r="P3719" i="1"/>
  <c r="Q3693" i="1"/>
  <c r="Q3692" i="1"/>
  <c r="K3721" i="1"/>
  <c r="K3696" i="1"/>
  <c r="K3693" i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Q3800" i="1"/>
  <c r="P3800" i="1"/>
  <c r="Q3801" i="1"/>
  <c r="P3801" i="1"/>
  <c r="Q3802" i="1"/>
  <c r="P3802" i="1"/>
  <c r="Q3803" i="1"/>
  <c r="P3803" i="1"/>
  <c r="Q3804" i="1"/>
  <c r="P3804" i="1"/>
  <c r="Q3805" i="1"/>
  <c r="P3805" i="1"/>
  <c r="Q3806" i="1"/>
  <c r="P3806" i="1"/>
  <c r="Q3807" i="1"/>
  <c r="P3807" i="1"/>
  <c r="Q3808" i="1"/>
  <c r="P3808" i="1"/>
  <c r="Q3809" i="1"/>
  <c r="P3809" i="1"/>
  <c r="Q3810" i="1"/>
  <c r="P3810" i="1"/>
  <c r="Q3811" i="1"/>
  <c r="P3811" i="1"/>
  <c r="Q3812" i="1"/>
  <c r="P3812" i="1"/>
  <c r="Q3813" i="1"/>
  <c r="P3813" i="1"/>
  <c r="Q3814" i="1"/>
  <c r="P3814" i="1"/>
  <c r="Q3815" i="1"/>
  <c r="P3815" i="1"/>
  <c r="Q3816" i="1"/>
  <c r="P3816" i="1"/>
  <c r="Q3817" i="1"/>
  <c r="P3817" i="1"/>
  <c r="H3799" i="1"/>
  <c r="J3799" i="1"/>
  <c r="K3799" i="1"/>
  <c r="Q3799" i="1"/>
  <c r="P3799" i="1"/>
  <c r="H3796" i="1"/>
  <c r="H3797" i="1"/>
  <c r="H3798" i="1"/>
  <c r="J3797" i="1"/>
  <c r="K3796" i="1"/>
  <c r="K3797" i="1"/>
  <c r="K3798" i="1"/>
  <c r="Q3796" i="1"/>
  <c r="P3796" i="1"/>
  <c r="Q3797" i="1"/>
  <c r="P3797" i="1"/>
  <c r="Q3798" i="1"/>
  <c r="P3798" i="1"/>
  <c r="H3795" i="1"/>
  <c r="K3795" i="1"/>
  <c r="Q3795" i="1"/>
  <c r="P3795" i="1"/>
  <c r="H3794" i="1"/>
  <c r="K3794" i="1"/>
  <c r="Q3794" i="1"/>
  <c r="P3794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Q3736" i="1"/>
  <c r="P3736" i="1"/>
  <c r="Q3737" i="1"/>
  <c r="P3737" i="1"/>
  <c r="Q3738" i="1"/>
  <c r="P3738" i="1"/>
  <c r="Q3739" i="1"/>
  <c r="P3739" i="1"/>
  <c r="Q3740" i="1"/>
  <c r="P3740" i="1"/>
  <c r="Q3741" i="1"/>
  <c r="P3741" i="1"/>
  <c r="Q3742" i="1"/>
  <c r="P3742" i="1"/>
  <c r="Q3743" i="1"/>
  <c r="P3743" i="1"/>
  <c r="Q3744" i="1"/>
  <c r="P3744" i="1"/>
  <c r="Q3745" i="1"/>
  <c r="P3745" i="1"/>
  <c r="Q3746" i="1"/>
  <c r="P3746" i="1"/>
  <c r="Q3747" i="1"/>
  <c r="P3747" i="1"/>
  <c r="Q3748" i="1"/>
  <c r="P3748" i="1"/>
  <c r="Q3749" i="1"/>
  <c r="P3749" i="1"/>
  <c r="Q3750" i="1"/>
  <c r="P3750" i="1"/>
  <c r="Q3751" i="1"/>
  <c r="P3751" i="1"/>
  <c r="Q3752" i="1"/>
  <c r="P3752" i="1"/>
  <c r="Q3753" i="1"/>
  <c r="P3753" i="1"/>
  <c r="Q3754" i="1"/>
  <c r="P3754" i="1"/>
  <c r="Q3755" i="1"/>
  <c r="P3755" i="1"/>
  <c r="Q3756" i="1"/>
  <c r="P3756" i="1"/>
  <c r="Q3757" i="1"/>
  <c r="P3757" i="1"/>
  <c r="Q3758" i="1"/>
  <c r="P3758" i="1"/>
  <c r="Q3759" i="1"/>
  <c r="P3759" i="1"/>
  <c r="Q3760" i="1"/>
  <c r="P3760" i="1"/>
  <c r="Q3761" i="1"/>
  <c r="P3761" i="1"/>
  <c r="Q3762" i="1"/>
  <c r="P3762" i="1"/>
  <c r="Q3763" i="1"/>
  <c r="P3763" i="1"/>
  <c r="Q3764" i="1"/>
  <c r="P3764" i="1"/>
  <c r="Q3765" i="1"/>
  <c r="P3765" i="1"/>
  <c r="Q3766" i="1"/>
  <c r="P3766" i="1"/>
  <c r="Q3767" i="1"/>
  <c r="P3767" i="1"/>
  <c r="Q3768" i="1"/>
  <c r="P3768" i="1"/>
  <c r="Q3769" i="1"/>
  <c r="P3769" i="1"/>
  <c r="Q3770" i="1"/>
  <c r="P3770" i="1"/>
  <c r="Q3771" i="1"/>
  <c r="P3771" i="1"/>
  <c r="Q3772" i="1"/>
  <c r="P3772" i="1"/>
  <c r="Q3773" i="1"/>
  <c r="P3773" i="1"/>
  <c r="Q3774" i="1"/>
  <c r="P3774" i="1"/>
  <c r="Q3775" i="1"/>
  <c r="P3775" i="1"/>
  <c r="Q3776" i="1"/>
  <c r="P3776" i="1"/>
  <c r="Q3777" i="1"/>
  <c r="P3777" i="1"/>
  <c r="Q3778" i="1"/>
  <c r="P3778" i="1"/>
  <c r="Q3779" i="1"/>
  <c r="P3779" i="1"/>
  <c r="Q3780" i="1"/>
  <c r="P3780" i="1"/>
  <c r="Q3781" i="1"/>
  <c r="P3781" i="1"/>
  <c r="Q3782" i="1"/>
  <c r="P3782" i="1"/>
  <c r="Q3783" i="1"/>
  <c r="P3783" i="1"/>
  <c r="Q3784" i="1"/>
  <c r="P3784" i="1"/>
  <c r="Q3785" i="1"/>
  <c r="P3785" i="1"/>
  <c r="Q3786" i="1"/>
  <c r="P3786" i="1"/>
  <c r="Q3787" i="1"/>
  <c r="P3787" i="1"/>
  <c r="Q3788" i="1"/>
  <c r="P3788" i="1"/>
  <c r="Q3789" i="1"/>
  <c r="P3789" i="1"/>
  <c r="Q3790" i="1"/>
  <c r="P3790" i="1"/>
  <c r="Q3791" i="1"/>
  <c r="P3791" i="1"/>
  <c r="Q3792" i="1"/>
  <c r="P3792" i="1"/>
  <c r="Q3793" i="1"/>
  <c r="P3793" i="1"/>
  <c r="H3735" i="1"/>
  <c r="K3735" i="1"/>
  <c r="Q3735" i="1"/>
  <c r="P3735" i="1"/>
  <c r="H3734" i="1"/>
  <c r="K3734" i="1"/>
  <c r="Q3734" i="1"/>
  <c r="P3734" i="1"/>
  <c r="H3733" i="1"/>
  <c r="J3733" i="1"/>
  <c r="K3733" i="1"/>
  <c r="Q3733" i="1"/>
  <c r="P3733" i="1"/>
  <c r="H3732" i="1"/>
  <c r="J3732" i="1"/>
  <c r="K3732" i="1"/>
  <c r="Q3732" i="1"/>
  <c r="P3732" i="1"/>
  <c r="H3731" i="1"/>
  <c r="J3731" i="1"/>
  <c r="K3731" i="1"/>
  <c r="Q3731" i="1"/>
  <c r="P373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1" i="1"/>
  <c r="K3692" i="1"/>
  <c r="Q3662" i="1"/>
  <c r="P3662" i="1"/>
  <c r="Q3663" i="1"/>
  <c r="P3663" i="1"/>
  <c r="Q3664" i="1"/>
  <c r="P3664" i="1"/>
  <c r="Q3665" i="1"/>
  <c r="P3665" i="1"/>
  <c r="Q3666" i="1"/>
  <c r="P3666" i="1"/>
  <c r="Q3667" i="1"/>
  <c r="P3667" i="1"/>
  <c r="Q3668" i="1"/>
  <c r="P3668" i="1"/>
  <c r="Q3669" i="1"/>
  <c r="P3669" i="1"/>
  <c r="Q3670" i="1"/>
  <c r="P3670" i="1"/>
  <c r="Q3671" i="1"/>
  <c r="P3671" i="1"/>
  <c r="Q3672" i="1"/>
  <c r="P3672" i="1"/>
  <c r="Q3673" i="1"/>
  <c r="P3673" i="1"/>
  <c r="Q3674" i="1"/>
  <c r="P3674" i="1"/>
  <c r="Q3675" i="1"/>
  <c r="P3675" i="1"/>
  <c r="Q3676" i="1"/>
  <c r="P3676" i="1"/>
  <c r="Q3677" i="1"/>
  <c r="P3677" i="1"/>
  <c r="Q3678" i="1"/>
  <c r="P3678" i="1"/>
  <c r="Q3679" i="1"/>
  <c r="P3679" i="1"/>
  <c r="Q3680" i="1"/>
  <c r="P3680" i="1"/>
  <c r="Q3681" i="1"/>
  <c r="P3681" i="1"/>
  <c r="Q3682" i="1"/>
  <c r="P3682" i="1"/>
  <c r="Q3683" i="1"/>
  <c r="P3683" i="1"/>
  <c r="Q3684" i="1"/>
  <c r="P3684" i="1"/>
  <c r="Q3685" i="1"/>
  <c r="P3685" i="1"/>
  <c r="Q3686" i="1"/>
  <c r="P3686" i="1"/>
  <c r="Q3687" i="1"/>
  <c r="P3687" i="1"/>
  <c r="Q3688" i="1"/>
  <c r="P3688" i="1"/>
  <c r="Q3689" i="1"/>
  <c r="P3689" i="1"/>
  <c r="Q3690" i="1"/>
  <c r="P3690" i="1"/>
  <c r="Q3691" i="1"/>
  <c r="P3691" i="1"/>
  <c r="P3692" i="1"/>
  <c r="P3693" i="1"/>
  <c r="Q3694" i="1"/>
  <c r="P3694" i="1"/>
  <c r="H3661" i="1"/>
  <c r="J3661" i="1"/>
  <c r="K3661" i="1"/>
  <c r="Q3661" i="1"/>
  <c r="P3661" i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K3650" i="1"/>
  <c r="K3651" i="1"/>
  <c r="K3652" i="1"/>
  <c r="K3653" i="1"/>
  <c r="K3654" i="1"/>
  <c r="K3655" i="1"/>
  <c r="K3656" i="1"/>
  <c r="K3657" i="1"/>
  <c r="K3658" i="1"/>
  <c r="K3659" i="1"/>
  <c r="K3660" i="1"/>
  <c r="Q3650" i="1"/>
  <c r="P3650" i="1"/>
  <c r="Q3651" i="1"/>
  <c r="P3651" i="1"/>
  <c r="Q3652" i="1"/>
  <c r="P3652" i="1"/>
  <c r="Q3653" i="1"/>
  <c r="P3653" i="1"/>
  <c r="Q3654" i="1"/>
  <c r="P3654" i="1"/>
  <c r="Q3655" i="1"/>
  <c r="P3655" i="1"/>
  <c r="Q3656" i="1"/>
  <c r="P3656" i="1"/>
  <c r="Q3657" i="1"/>
  <c r="P3657" i="1"/>
  <c r="Q3658" i="1"/>
  <c r="P3658" i="1"/>
  <c r="Q3659" i="1"/>
  <c r="P3659" i="1"/>
  <c r="Q3660" i="1"/>
  <c r="P3660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Q3633" i="1"/>
  <c r="P3633" i="1"/>
  <c r="Q3634" i="1"/>
  <c r="P3634" i="1"/>
  <c r="Q3635" i="1"/>
  <c r="P3635" i="1"/>
  <c r="Q3636" i="1"/>
  <c r="P3636" i="1"/>
  <c r="Q3637" i="1"/>
  <c r="P3637" i="1"/>
  <c r="Q3638" i="1"/>
  <c r="P3638" i="1"/>
  <c r="Q3639" i="1"/>
  <c r="P3639" i="1"/>
  <c r="Q3640" i="1"/>
  <c r="P3640" i="1"/>
  <c r="Q3641" i="1"/>
  <c r="P3641" i="1"/>
  <c r="Q3642" i="1"/>
  <c r="P3642" i="1"/>
  <c r="Q3643" i="1"/>
  <c r="P3643" i="1"/>
  <c r="Q3644" i="1"/>
  <c r="P3644" i="1"/>
  <c r="Q3645" i="1"/>
  <c r="P3645" i="1"/>
  <c r="Q3646" i="1"/>
  <c r="P3646" i="1"/>
  <c r="Q3647" i="1"/>
  <c r="P3647" i="1"/>
  <c r="Q3648" i="1"/>
  <c r="P3648" i="1"/>
  <c r="Q3649" i="1"/>
  <c r="P3649" i="1"/>
  <c r="H3632" i="1"/>
  <c r="J3632" i="1"/>
  <c r="K3632" i="1"/>
  <c r="Q3632" i="1"/>
  <c r="P3632" i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K3631" i="1"/>
  <c r="Q3631" i="1"/>
  <c r="P3631" i="1"/>
  <c r="J3620" i="1"/>
  <c r="J3615" i="1"/>
  <c r="J3603" i="1"/>
  <c r="J3602" i="1"/>
  <c r="J3538" i="1"/>
  <c r="J3537" i="1"/>
  <c r="J3536" i="1"/>
  <c r="H3630" i="1"/>
  <c r="J3630" i="1"/>
  <c r="K3630" i="1"/>
  <c r="Q3630" i="1"/>
  <c r="P3630" i="1"/>
  <c r="H3629" i="1"/>
  <c r="J3629" i="1"/>
  <c r="K3629" i="1"/>
  <c r="Q3629" i="1"/>
  <c r="P3629" i="1"/>
  <c r="H3628" i="1"/>
  <c r="J3628" i="1"/>
  <c r="K3628" i="1"/>
  <c r="Q3628" i="1"/>
  <c r="P3628" i="1"/>
  <c r="H3622" i="1"/>
  <c r="H3623" i="1"/>
  <c r="H3624" i="1"/>
  <c r="H3625" i="1"/>
  <c r="H3626" i="1"/>
  <c r="H3627" i="1"/>
  <c r="J3625" i="1"/>
  <c r="J3626" i="1"/>
  <c r="J3627" i="1"/>
  <c r="K3622" i="1"/>
  <c r="K3623" i="1"/>
  <c r="K3624" i="1"/>
  <c r="K3625" i="1"/>
  <c r="K3626" i="1"/>
  <c r="K3627" i="1"/>
  <c r="Q3622" i="1"/>
  <c r="P3622" i="1"/>
  <c r="Q3623" i="1"/>
  <c r="P3623" i="1"/>
  <c r="Q3624" i="1"/>
  <c r="P3624" i="1"/>
  <c r="Q3625" i="1"/>
  <c r="P3625" i="1"/>
  <c r="Q3626" i="1"/>
  <c r="P3626" i="1"/>
  <c r="Q3627" i="1"/>
  <c r="P3627" i="1"/>
  <c r="H3621" i="1"/>
  <c r="K3621" i="1"/>
  <c r="Q3621" i="1"/>
  <c r="P3621" i="1"/>
  <c r="H3620" i="1"/>
  <c r="K3620" i="1"/>
  <c r="Q3620" i="1"/>
  <c r="P3620" i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K3609" i="1"/>
  <c r="K3610" i="1"/>
  <c r="K3611" i="1"/>
  <c r="K3612" i="1"/>
  <c r="K3613" i="1"/>
  <c r="K3614" i="1"/>
  <c r="K3615" i="1"/>
  <c r="K3616" i="1"/>
  <c r="K3617" i="1"/>
  <c r="K3618" i="1"/>
  <c r="K3619" i="1"/>
  <c r="Q3609" i="1"/>
  <c r="P3609" i="1"/>
  <c r="Q3610" i="1"/>
  <c r="P3610" i="1"/>
  <c r="Q3611" i="1"/>
  <c r="P3611" i="1"/>
  <c r="Q3612" i="1"/>
  <c r="P3612" i="1"/>
  <c r="Q3613" i="1"/>
  <c r="P3613" i="1"/>
  <c r="Q3614" i="1"/>
  <c r="P3614" i="1"/>
  <c r="Q3615" i="1"/>
  <c r="P3615" i="1"/>
  <c r="Q3616" i="1"/>
  <c r="P3616" i="1"/>
  <c r="Q3617" i="1"/>
  <c r="P3617" i="1"/>
  <c r="Q3618" i="1"/>
  <c r="P3618" i="1"/>
  <c r="Q3619" i="1"/>
  <c r="P3619" i="1"/>
  <c r="H3608" i="1"/>
  <c r="K3608" i="1"/>
  <c r="Q3608" i="1"/>
  <c r="P3608" i="1"/>
  <c r="H3607" i="1"/>
  <c r="J3607" i="1"/>
  <c r="K3607" i="1"/>
  <c r="Q3607" i="1"/>
  <c r="P3607" i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K3603" i="1"/>
  <c r="K3604" i="1"/>
  <c r="K3605" i="1"/>
  <c r="K3606" i="1"/>
  <c r="Q3603" i="1"/>
  <c r="P3603" i="1"/>
  <c r="Q3604" i="1"/>
  <c r="P3604" i="1"/>
  <c r="Q3605" i="1"/>
  <c r="P3605" i="1"/>
  <c r="Q3606" i="1"/>
  <c r="P3606" i="1"/>
  <c r="H3602" i="1"/>
  <c r="K3602" i="1"/>
  <c r="Q3602" i="1"/>
  <c r="P3602" i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K3601" i="1"/>
  <c r="Q3601" i="1"/>
  <c r="P3601" i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K3590" i="1"/>
  <c r="K3591" i="1"/>
  <c r="K3592" i="1"/>
  <c r="K3593" i="1"/>
  <c r="K3594" i="1"/>
  <c r="K3595" i="1"/>
  <c r="K3596" i="1"/>
  <c r="K3597" i="1"/>
  <c r="K3598" i="1"/>
  <c r="K3599" i="1"/>
  <c r="K3600" i="1"/>
  <c r="Q3590" i="1"/>
  <c r="P3590" i="1"/>
  <c r="Q3591" i="1"/>
  <c r="P3591" i="1"/>
  <c r="Q3592" i="1"/>
  <c r="P3592" i="1"/>
  <c r="Q3593" i="1"/>
  <c r="P3593" i="1"/>
  <c r="Q3594" i="1"/>
  <c r="P3594" i="1"/>
  <c r="Q3595" i="1"/>
  <c r="P3595" i="1"/>
  <c r="Q3596" i="1"/>
  <c r="P3596" i="1"/>
  <c r="Q3597" i="1"/>
  <c r="P3597" i="1"/>
  <c r="Q3598" i="1"/>
  <c r="P3598" i="1"/>
  <c r="Q3599" i="1"/>
  <c r="P3599" i="1"/>
  <c r="Q3600" i="1"/>
  <c r="P3600" i="1"/>
  <c r="H3589" i="1"/>
  <c r="K3589" i="1"/>
  <c r="Q3589" i="1"/>
  <c r="P3589" i="1"/>
  <c r="H3584" i="1"/>
  <c r="H3585" i="1"/>
  <c r="H3586" i="1"/>
  <c r="H3587" i="1"/>
  <c r="H3588" i="1"/>
  <c r="J3584" i="1"/>
  <c r="J3585" i="1"/>
  <c r="K3584" i="1"/>
  <c r="K3585" i="1"/>
  <c r="K3586" i="1"/>
  <c r="K3587" i="1"/>
  <c r="K3588" i="1"/>
  <c r="Q3584" i="1"/>
  <c r="P3584" i="1"/>
  <c r="Q3585" i="1"/>
  <c r="P3585" i="1"/>
  <c r="Q3586" i="1"/>
  <c r="P3586" i="1"/>
  <c r="Q3587" i="1"/>
  <c r="P3587" i="1"/>
  <c r="Q3588" i="1"/>
  <c r="P3588" i="1"/>
  <c r="H3583" i="1"/>
  <c r="J3583" i="1"/>
  <c r="K3583" i="1"/>
  <c r="Q3583" i="1"/>
  <c r="P3583" i="1"/>
  <c r="J3488" i="1"/>
  <c r="J3486" i="1"/>
  <c r="H3582" i="1"/>
  <c r="J3582" i="1"/>
  <c r="K3582" i="1"/>
  <c r="Q3582" i="1"/>
  <c r="P3582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Q3489" i="1"/>
  <c r="P3489" i="1"/>
  <c r="Q3490" i="1"/>
  <c r="P3490" i="1"/>
  <c r="Q3491" i="1"/>
  <c r="P3491" i="1"/>
  <c r="Q3492" i="1"/>
  <c r="P3492" i="1"/>
  <c r="Q3493" i="1"/>
  <c r="P3493" i="1"/>
  <c r="Q3494" i="1"/>
  <c r="P3494" i="1"/>
  <c r="Q3495" i="1"/>
  <c r="P3495" i="1"/>
  <c r="Q3496" i="1"/>
  <c r="P3496" i="1"/>
  <c r="Q3497" i="1"/>
  <c r="P3497" i="1"/>
  <c r="Q3498" i="1"/>
  <c r="P3498" i="1"/>
  <c r="Q3499" i="1"/>
  <c r="P3499" i="1"/>
  <c r="Q3500" i="1"/>
  <c r="P3500" i="1"/>
  <c r="Q3501" i="1"/>
  <c r="P3501" i="1"/>
  <c r="Q3502" i="1"/>
  <c r="P3502" i="1"/>
  <c r="Q3503" i="1"/>
  <c r="P3503" i="1"/>
  <c r="Q3504" i="1"/>
  <c r="P3504" i="1"/>
  <c r="Q3505" i="1"/>
  <c r="P3505" i="1"/>
  <c r="Q3506" i="1"/>
  <c r="P3506" i="1"/>
  <c r="Q3507" i="1"/>
  <c r="P3507" i="1"/>
  <c r="Q3508" i="1"/>
  <c r="P3508" i="1"/>
  <c r="Q3509" i="1"/>
  <c r="P3509" i="1"/>
  <c r="Q3510" i="1"/>
  <c r="P3510" i="1"/>
  <c r="Q3511" i="1"/>
  <c r="P3511" i="1"/>
  <c r="Q3512" i="1"/>
  <c r="P3512" i="1"/>
  <c r="Q3513" i="1"/>
  <c r="P3513" i="1"/>
  <c r="Q3514" i="1"/>
  <c r="P3514" i="1"/>
  <c r="Q3515" i="1"/>
  <c r="P3515" i="1"/>
  <c r="Q3516" i="1"/>
  <c r="P3516" i="1"/>
  <c r="Q3517" i="1"/>
  <c r="P3517" i="1"/>
  <c r="Q3518" i="1"/>
  <c r="P3518" i="1"/>
  <c r="Q3519" i="1"/>
  <c r="P3519" i="1"/>
  <c r="Q3520" i="1"/>
  <c r="P3520" i="1"/>
  <c r="Q3521" i="1"/>
  <c r="P3521" i="1"/>
  <c r="Q3522" i="1"/>
  <c r="P3522" i="1"/>
  <c r="Q3523" i="1"/>
  <c r="P3523" i="1"/>
  <c r="Q3524" i="1"/>
  <c r="P3524" i="1"/>
  <c r="Q3525" i="1"/>
  <c r="P3525" i="1"/>
  <c r="Q3526" i="1"/>
  <c r="P3526" i="1"/>
  <c r="Q3527" i="1"/>
  <c r="P3527" i="1"/>
  <c r="Q3528" i="1"/>
  <c r="P3528" i="1"/>
  <c r="Q3529" i="1"/>
  <c r="P3529" i="1"/>
  <c r="Q3530" i="1"/>
  <c r="P3530" i="1"/>
  <c r="Q3531" i="1"/>
  <c r="P3531" i="1"/>
  <c r="Q3532" i="1"/>
  <c r="P3532" i="1"/>
  <c r="Q3533" i="1"/>
  <c r="P3533" i="1"/>
  <c r="Q3534" i="1"/>
  <c r="P3534" i="1"/>
  <c r="Q3535" i="1"/>
  <c r="P3535" i="1"/>
  <c r="Q3536" i="1"/>
  <c r="P3536" i="1"/>
  <c r="Q3537" i="1"/>
  <c r="P3537" i="1"/>
  <c r="Q3538" i="1"/>
  <c r="P3538" i="1"/>
  <c r="Q3539" i="1"/>
  <c r="P3539" i="1"/>
  <c r="Q3540" i="1"/>
  <c r="P3540" i="1"/>
  <c r="Q3541" i="1"/>
  <c r="P3541" i="1"/>
  <c r="Q3542" i="1"/>
  <c r="P3542" i="1"/>
  <c r="Q3543" i="1"/>
  <c r="P3543" i="1"/>
  <c r="Q3544" i="1"/>
  <c r="P3544" i="1"/>
  <c r="Q3545" i="1"/>
  <c r="P3545" i="1"/>
  <c r="Q3546" i="1"/>
  <c r="P3546" i="1"/>
  <c r="Q3547" i="1"/>
  <c r="P3547" i="1"/>
  <c r="Q3548" i="1"/>
  <c r="P3548" i="1"/>
  <c r="Q3549" i="1"/>
  <c r="P3549" i="1"/>
  <c r="Q3550" i="1"/>
  <c r="P3550" i="1"/>
  <c r="Q3551" i="1"/>
  <c r="P3551" i="1"/>
  <c r="Q3552" i="1"/>
  <c r="P3552" i="1"/>
  <c r="Q3553" i="1"/>
  <c r="P3553" i="1"/>
  <c r="Q3554" i="1"/>
  <c r="P3554" i="1"/>
  <c r="Q3555" i="1"/>
  <c r="P3555" i="1"/>
  <c r="Q3556" i="1"/>
  <c r="P3556" i="1"/>
  <c r="Q3557" i="1"/>
  <c r="P3557" i="1"/>
  <c r="Q3558" i="1"/>
  <c r="P3558" i="1"/>
  <c r="Q3559" i="1"/>
  <c r="P3559" i="1"/>
  <c r="Q3560" i="1"/>
  <c r="P3560" i="1"/>
  <c r="Q3561" i="1"/>
  <c r="P3561" i="1"/>
  <c r="Q3562" i="1"/>
  <c r="P3562" i="1"/>
  <c r="Q3563" i="1"/>
  <c r="P3563" i="1"/>
  <c r="Q3564" i="1"/>
  <c r="P3564" i="1"/>
  <c r="Q3565" i="1"/>
  <c r="P3565" i="1"/>
  <c r="Q3566" i="1"/>
  <c r="P3566" i="1"/>
  <c r="Q3567" i="1"/>
  <c r="P3567" i="1"/>
  <c r="Q3568" i="1"/>
  <c r="P3568" i="1"/>
  <c r="Q3569" i="1"/>
  <c r="P3569" i="1"/>
  <c r="Q3570" i="1"/>
  <c r="P3570" i="1"/>
  <c r="Q3571" i="1"/>
  <c r="P3571" i="1"/>
  <c r="Q3572" i="1"/>
  <c r="P3572" i="1"/>
  <c r="Q3573" i="1"/>
  <c r="P3573" i="1"/>
  <c r="Q3574" i="1"/>
  <c r="P3574" i="1"/>
  <c r="Q3575" i="1"/>
  <c r="P3575" i="1"/>
  <c r="Q3576" i="1"/>
  <c r="P3576" i="1"/>
  <c r="Q3577" i="1"/>
  <c r="P3577" i="1"/>
  <c r="Q3578" i="1"/>
  <c r="P3578" i="1"/>
  <c r="Q3579" i="1"/>
  <c r="P3579" i="1"/>
  <c r="Q3580" i="1"/>
  <c r="P3580" i="1"/>
  <c r="Q3581" i="1"/>
  <c r="P3581" i="1"/>
  <c r="J3481" i="1"/>
  <c r="J3480" i="1"/>
  <c r="J3479" i="1"/>
  <c r="H3487" i="1"/>
  <c r="H3488" i="1"/>
  <c r="K3487" i="1"/>
  <c r="K3488" i="1"/>
  <c r="Q3487" i="1"/>
  <c r="P3487" i="1"/>
  <c r="Q3488" i="1"/>
  <c r="P3488" i="1"/>
  <c r="H3486" i="1"/>
  <c r="K3486" i="1"/>
  <c r="Q3486" i="1"/>
  <c r="P3486" i="1"/>
  <c r="J3485" i="1"/>
  <c r="J3484" i="1"/>
  <c r="J3483" i="1"/>
  <c r="J3482" i="1"/>
  <c r="J3478" i="1"/>
  <c r="H3480" i="1"/>
  <c r="H3481" i="1"/>
  <c r="H3482" i="1"/>
  <c r="H3483" i="1"/>
  <c r="H3484" i="1"/>
  <c r="H3485" i="1"/>
  <c r="K3480" i="1"/>
  <c r="K3481" i="1"/>
  <c r="K3482" i="1"/>
  <c r="K3483" i="1"/>
  <c r="K3484" i="1"/>
  <c r="K3485" i="1"/>
  <c r="Q3480" i="1"/>
  <c r="P3480" i="1"/>
  <c r="Q3481" i="1"/>
  <c r="P3481" i="1"/>
  <c r="Q3482" i="1"/>
  <c r="P3482" i="1"/>
  <c r="Q3483" i="1"/>
  <c r="P3483" i="1"/>
  <c r="Q3484" i="1"/>
  <c r="P3484" i="1"/>
  <c r="Q3485" i="1"/>
  <c r="P3485" i="1"/>
  <c r="H3479" i="1"/>
  <c r="K3479" i="1"/>
  <c r="Q3479" i="1"/>
  <c r="P3479" i="1"/>
  <c r="H3478" i="1"/>
  <c r="K3478" i="1"/>
  <c r="Q3478" i="1"/>
  <c r="P3478" i="1"/>
  <c r="H3477" i="1"/>
  <c r="J3477" i="1"/>
  <c r="K3477" i="1"/>
  <c r="Q3477" i="1"/>
  <c r="P3477" i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K3467" i="1"/>
  <c r="K3468" i="1"/>
  <c r="K3469" i="1"/>
  <c r="K3470" i="1"/>
  <c r="K3471" i="1"/>
  <c r="K3472" i="1"/>
  <c r="K3473" i="1"/>
  <c r="K3474" i="1"/>
  <c r="K3475" i="1"/>
  <c r="K3476" i="1"/>
  <c r="Q3467" i="1"/>
  <c r="P3467" i="1"/>
  <c r="Q3468" i="1"/>
  <c r="P3468" i="1"/>
  <c r="Q3469" i="1"/>
  <c r="P3469" i="1"/>
  <c r="Q3470" i="1"/>
  <c r="P3470" i="1"/>
  <c r="Q3471" i="1"/>
  <c r="P3471" i="1"/>
  <c r="Q3472" i="1"/>
  <c r="P3472" i="1"/>
  <c r="Q3473" i="1"/>
  <c r="P3473" i="1"/>
  <c r="Q3474" i="1"/>
  <c r="P3474" i="1"/>
  <c r="Q3475" i="1"/>
  <c r="P3475" i="1"/>
  <c r="Q3476" i="1"/>
  <c r="P3476" i="1"/>
  <c r="H3460" i="1"/>
  <c r="H3461" i="1"/>
  <c r="H3462" i="1"/>
  <c r="H3463" i="1"/>
  <c r="H3464" i="1"/>
  <c r="H3465" i="1"/>
  <c r="H3466" i="1"/>
  <c r="J3460" i="1"/>
  <c r="J3464" i="1"/>
  <c r="J3465" i="1"/>
  <c r="J3466" i="1"/>
  <c r="K3460" i="1"/>
  <c r="K3461" i="1"/>
  <c r="K3462" i="1"/>
  <c r="K3463" i="1"/>
  <c r="K3464" i="1"/>
  <c r="K3465" i="1"/>
  <c r="K3466" i="1"/>
  <c r="Q3460" i="1"/>
  <c r="P3460" i="1"/>
  <c r="Q3461" i="1"/>
  <c r="P3461" i="1"/>
  <c r="Q3462" i="1"/>
  <c r="P3462" i="1"/>
  <c r="Q3463" i="1"/>
  <c r="P3463" i="1"/>
  <c r="Q3464" i="1"/>
  <c r="P3464" i="1"/>
  <c r="Q3465" i="1"/>
  <c r="P3465" i="1"/>
  <c r="Q3466" i="1"/>
  <c r="P3466" i="1"/>
  <c r="H3459" i="1"/>
  <c r="J3459" i="1"/>
  <c r="K3459" i="1"/>
  <c r="Q3459" i="1"/>
  <c r="P3459" i="1"/>
  <c r="H3458" i="1"/>
  <c r="J3458" i="1"/>
  <c r="K3458" i="1"/>
  <c r="Q3458" i="1"/>
  <c r="P3458" i="1"/>
  <c r="H3457" i="1"/>
  <c r="J3457" i="1"/>
  <c r="K3457" i="1"/>
  <c r="Q3457" i="1"/>
  <c r="P3457" i="1"/>
  <c r="H3456" i="1"/>
  <c r="J3456" i="1"/>
  <c r="K3456" i="1"/>
  <c r="Q3456" i="1"/>
  <c r="P3456" i="1"/>
  <c r="H3455" i="1"/>
  <c r="J3455" i="1"/>
  <c r="K3455" i="1"/>
  <c r="Q3455" i="1"/>
  <c r="P3455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Q3437" i="1"/>
  <c r="P3437" i="1"/>
  <c r="Q3438" i="1"/>
  <c r="P3438" i="1"/>
  <c r="Q3439" i="1"/>
  <c r="P3439" i="1"/>
  <c r="Q3440" i="1"/>
  <c r="P3440" i="1"/>
  <c r="Q3441" i="1"/>
  <c r="P3441" i="1"/>
  <c r="Q3442" i="1"/>
  <c r="P3442" i="1"/>
  <c r="Q3443" i="1"/>
  <c r="P3443" i="1"/>
  <c r="Q3444" i="1"/>
  <c r="P3444" i="1"/>
  <c r="Q3445" i="1"/>
  <c r="P3445" i="1"/>
  <c r="Q3446" i="1"/>
  <c r="P3446" i="1"/>
  <c r="Q3447" i="1"/>
  <c r="P3447" i="1"/>
  <c r="Q3448" i="1"/>
  <c r="P3448" i="1"/>
  <c r="Q3449" i="1"/>
  <c r="P3449" i="1"/>
  <c r="Q3450" i="1"/>
  <c r="P3450" i="1"/>
  <c r="Q3451" i="1"/>
  <c r="P3451" i="1"/>
  <c r="Q3452" i="1"/>
  <c r="P3452" i="1"/>
  <c r="Q3453" i="1"/>
  <c r="P3453" i="1"/>
  <c r="Q3454" i="1"/>
  <c r="P3454" i="1"/>
  <c r="H3436" i="1"/>
  <c r="J3436" i="1"/>
  <c r="K3436" i="1"/>
  <c r="Q3436" i="1"/>
  <c r="P3436" i="1"/>
  <c r="H3435" i="1"/>
  <c r="K3435" i="1"/>
  <c r="Q3435" i="1"/>
  <c r="P3435" i="1"/>
  <c r="H3434" i="1"/>
  <c r="K3434" i="1"/>
  <c r="Q3434" i="1"/>
  <c r="P3434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Q3421" i="1"/>
  <c r="P3421" i="1"/>
  <c r="Q3422" i="1"/>
  <c r="P3422" i="1"/>
  <c r="Q3423" i="1"/>
  <c r="P3423" i="1"/>
  <c r="Q3424" i="1"/>
  <c r="P3424" i="1"/>
  <c r="Q3425" i="1"/>
  <c r="P3425" i="1"/>
  <c r="Q3426" i="1"/>
  <c r="P3426" i="1"/>
  <c r="Q3427" i="1"/>
  <c r="P3427" i="1"/>
  <c r="Q3428" i="1"/>
  <c r="P3428" i="1"/>
  <c r="Q3429" i="1"/>
  <c r="P3429" i="1"/>
  <c r="Q3430" i="1"/>
  <c r="P3430" i="1"/>
  <c r="Q3431" i="1"/>
  <c r="P3431" i="1"/>
  <c r="Q3432" i="1"/>
  <c r="P3432" i="1"/>
  <c r="Q3433" i="1"/>
  <c r="P3433" i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Q3243" i="1"/>
  <c r="P3243" i="1"/>
  <c r="Q3244" i="1"/>
  <c r="P3244" i="1"/>
  <c r="Q3245" i="1"/>
  <c r="P3245" i="1"/>
  <c r="Q3246" i="1"/>
  <c r="P3246" i="1"/>
  <c r="Q3247" i="1"/>
  <c r="P3247" i="1"/>
  <c r="Q3248" i="1"/>
  <c r="P3248" i="1"/>
  <c r="Q3249" i="1"/>
  <c r="P3249" i="1"/>
  <c r="Q3250" i="1"/>
  <c r="P3250" i="1"/>
  <c r="Q3251" i="1"/>
  <c r="P3251" i="1"/>
  <c r="Q3252" i="1"/>
  <c r="P3252" i="1"/>
  <c r="Q3253" i="1"/>
  <c r="P3253" i="1"/>
  <c r="Q3254" i="1"/>
  <c r="P3254" i="1"/>
  <c r="Q3255" i="1"/>
  <c r="P3255" i="1"/>
  <c r="Q3256" i="1"/>
  <c r="P3256" i="1"/>
  <c r="Q3257" i="1"/>
  <c r="P3257" i="1"/>
  <c r="Q3258" i="1"/>
  <c r="P3258" i="1"/>
  <c r="Q3259" i="1"/>
  <c r="P3259" i="1"/>
  <c r="Q3260" i="1"/>
  <c r="P3260" i="1"/>
  <c r="Q3261" i="1"/>
  <c r="P3261" i="1"/>
  <c r="Q3262" i="1"/>
  <c r="P3262" i="1"/>
  <c r="Q3263" i="1"/>
  <c r="P3263" i="1"/>
  <c r="Q3264" i="1"/>
  <c r="P3264" i="1"/>
  <c r="Q3265" i="1"/>
  <c r="P3265" i="1"/>
  <c r="Q3266" i="1"/>
  <c r="P3266" i="1"/>
  <c r="Q3267" i="1"/>
  <c r="P3267" i="1"/>
  <c r="Q3268" i="1"/>
  <c r="P3268" i="1"/>
  <c r="Q3269" i="1"/>
  <c r="P3269" i="1"/>
  <c r="Q3270" i="1"/>
  <c r="P3270" i="1"/>
  <c r="Q3271" i="1"/>
  <c r="P3271" i="1"/>
  <c r="Q3272" i="1"/>
  <c r="P3272" i="1"/>
  <c r="Q3273" i="1"/>
  <c r="P3273" i="1"/>
  <c r="Q3274" i="1"/>
  <c r="P3274" i="1"/>
  <c r="Q3275" i="1"/>
  <c r="P3275" i="1"/>
  <c r="Q3276" i="1"/>
  <c r="P3276" i="1"/>
  <c r="Q3277" i="1"/>
  <c r="P3277" i="1"/>
  <c r="Q3278" i="1"/>
  <c r="P3278" i="1"/>
  <c r="Q3279" i="1"/>
  <c r="P3279" i="1"/>
  <c r="Q3280" i="1"/>
  <c r="P3280" i="1"/>
  <c r="Q3281" i="1"/>
  <c r="P3281" i="1"/>
  <c r="Q3282" i="1"/>
  <c r="P3282" i="1"/>
  <c r="Q3283" i="1"/>
  <c r="P3283" i="1"/>
  <c r="Q3284" i="1"/>
  <c r="P3284" i="1"/>
  <c r="Q3285" i="1"/>
  <c r="P3285" i="1"/>
  <c r="Q3286" i="1"/>
  <c r="P3286" i="1"/>
  <c r="Q3287" i="1"/>
  <c r="P3287" i="1"/>
  <c r="Q3288" i="1"/>
  <c r="P3288" i="1"/>
  <c r="Q3289" i="1"/>
  <c r="P3289" i="1"/>
  <c r="Q3290" i="1"/>
  <c r="P3290" i="1"/>
  <c r="Q3291" i="1"/>
  <c r="P3291" i="1"/>
  <c r="Q3292" i="1"/>
  <c r="P3292" i="1"/>
  <c r="Q3293" i="1"/>
  <c r="P3293" i="1"/>
  <c r="Q3294" i="1"/>
  <c r="P3294" i="1"/>
  <c r="Q3295" i="1"/>
  <c r="P3295" i="1"/>
  <c r="Q3296" i="1"/>
  <c r="P3296" i="1"/>
  <c r="Q3297" i="1"/>
  <c r="P3297" i="1"/>
  <c r="Q3298" i="1"/>
  <c r="P3298" i="1"/>
  <c r="Q3299" i="1"/>
  <c r="P3299" i="1"/>
  <c r="Q3300" i="1"/>
  <c r="P3300" i="1"/>
  <c r="Q3301" i="1"/>
  <c r="P3301" i="1"/>
  <c r="Q3302" i="1"/>
  <c r="P3302" i="1"/>
  <c r="Q3303" i="1"/>
  <c r="P3303" i="1"/>
  <c r="Q3304" i="1"/>
  <c r="P3304" i="1"/>
  <c r="Q3305" i="1"/>
  <c r="P3305" i="1"/>
  <c r="Q3306" i="1"/>
  <c r="P3306" i="1"/>
  <c r="Q3307" i="1"/>
  <c r="P3307" i="1"/>
  <c r="Q3308" i="1"/>
  <c r="P3308" i="1"/>
  <c r="Q3309" i="1"/>
  <c r="P3309" i="1"/>
  <c r="Q3310" i="1"/>
  <c r="P3310" i="1"/>
  <c r="Q3311" i="1"/>
  <c r="P3311" i="1"/>
  <c r="Q3312" i="1"/>
  <c r="P3312" i="1"/>
  <c r="Q3313" i="1"/>
  <c r="P3313" i="1"/>
  <c r="Q3314" i="1"/>
  <c r="P3314" i="1"/>
  <c r="Q3315" i="1"/>
  <c r="P3315" i="1"/>
  <c r="Q3316" i="1"/>
  <c r="P3316" i="1"/>
  <c r="Q3317" i="1"/>
  <c r="P3317" i="1"/>
  <c r="Q3318" i="1"/>
  <c r="P3318" i="1"/>
  <c r="Q3319" i="1"/>
  <c r="P3319" i="1"/>
  <c r="Q3320" i="1"/>
  <c r="P3320" i="1"/>
  <c r="Q3321" i="1"/>
  <c r="P3321" i="1"/>
  <c r="Q3322" i="1"/>
  <c r="P3322" i="1"/>
  <c r="Q3323" i="1"/>
  <c r="P3323" i="1"/>
  <c r="Q3324" i="1"/>
  <c r="P3324" i="1"/>
  <c r="Q3325" i="1"/>
  <c r="P3325" i="1"/>
  <c r="Q3326" i="1"/>
  <c r="P3326" i="1"/>
  <c r="Q3327" i="1"/>
  <c r="P3327" i="1"/>
  <c r="Q3328" i="1"/>
  <c r="P3328" i="1"/>
  <c r="Q3329" i="1"/>
  <c r="P3329" i="1"/>
  <c r="Q3330" i="1"/>
  <c r="P3330" i="1"/>
  <c r="Q3331" i="1"/>
  <c r="P3331" i="1"/>
  <c r="Q3332" i="1"/>
  <c r="P3332" i="1"/>
  <c r="Q3333" i="1"/>
  <c r="P3333" i="1"/>
  <c r="Q3334" i="1"/>
  <c r="P3334" i="1"/>
  <c r="Q3335" i="1"/>
  <c r="P3335" i="1"/>
  <c r="Q3336" i="1"/>
  <c r="P3336" i="1"/>
  <c r="Q3337" i="1"/>
  <c r="P3337" i="1"/>
  <c r="Q3338" i="1"/>
  <c r="P3338" i="1"/>
  <c r="Q3339" i="1"/>
  <c r="P3339" i="1"/>
  <c r="Q3340" i="1"/>
  <c r="P3340" i="1"/>
  <c r="Q3341" i="1"/>
  <c r="P3341" i="1"/>
  <c r="Q3342" i="1"/>
  <c r="P3342" i="1"/>
  <c r="Q3343" i="1"/>
  <c r="P3343" i="1"/>
  <c r="Q3344" i="1"/>
  <c r="P3344" i="1"/>
  <c r="Q3345" i="1"/>
  <c r="P3345" i="1"/>
  <c r="Q3346" i="1"/>
  <c r="P3346" i="1"/>
  <c r="Q3347" i="1"/>
  <c r="P3347" i="1"/>
  <c r="Q3348" i="1"/>
  <c r="P3348" i="1"/>
  <c r="Q3349" i="1"/>
  <c r="P3349" i="1"/>
  <c r="Q3350" i="1"/>
  <c r="P3350" i="1"/>
  <c r="Q3351" i="1"/>
  <c r="P3351" i="1"/>
  <c r="Q3352" i="1"/>
  <c r="P3352" i="1"/>
  <c r="Q3353" i="1"/>
  <c r="P3353" i="1"/>
  <c r="Q3354" i="1"/>
  <c r="P3354" i="1"/>
  <c r="Q3355" i="1"/>
  <c r="P3355" i="1"/>
  <c r="Q3356" i="1"/>
  <c r="P3356" i="1"/>
  <c r="Q3357" i="1"/>
  <c r="P3357" i="1"/>
  <c r="Q3358" i="1"/>
  <c r="P3358" i="1"/>
  <c r="Q3359" i="1"/>
  <c r="P3359" i="1"/>
  <c r="Q3360" i="1"/>
  <c r="P3360" i="1"/>
  <c r="Q3361" i="1"/>
  <c r="P3361" i="1"/>
  <c r="Q3362" i="1"/>
  <c r="P3362" i="1"/>
  <c r="Q3363" i="1"/>
  <c r="P3363" i="1"/>
  <c r="Q3364" i="1"/>
  <c r="P3364" i="1"/>
  <c r="Q3365" i="1"/>
  <c r="P3365" i="1"/>
  <c r="Q3366" i="1"/>
  <c r="P3366" i="1"/>
  <c r="Q3367" i="1"/>
  <c r="P3367" i="1"/>
  <c r="Q3368" i="1"/>
  <c r="P3368" i="1"/>
  <c r="Q3369" i="1"/>
  <c r="P3369" i="1"/>
  <c r="Q3370" i="1"/>
  <c r="P3370" i="1"/>
  <c r="Q3371" i="1"/>
  <c r="P3371" i="1"/>
  <c r="Q3372" i="1"/>
  <c r="P3372" i="1"/>
  <c r="Q3373" i="1"/>
  <c r="P3373" i="1"/>
  <c r="Q3374" i="1"/>
  <c r="P3374" i="1"/>
  <c r="Q3375" i="1"/>
  <c r="P3375" i="1"/>
  <c r="Q3376" i="1"/>
  <c r="P3376" i="1"/>
  <c r="Q3377" i="1"/>
  <c r="P3377" i="1"/>
  <c r="Q3378" i="1"/>
  <c r="P3378" i="1"/>
  <c r="Q3379" i="1"/>
  <c r="P3379" i="1"/>
  <c r="Q3380" i="1"/>
  <c r="P3380" i="1"/>
  <c r="Q3381" i="1"/>
  <c r="P3381" i="1"/>
  <c r="Q3382" i="1"/>
  <c r="P3382" i="1"/>
  <c r="Q3383" i="1"/>
  <c r="P3383" i="1"/>
  <c r="Q3384" i="1"/>
  <c r="P3384" i="1"/>
  <c r="Q3385" i="1"/>
  <c r="P3385" i="1"/>
  <c r="Q3386" i="1"/>
  <c r="P3386" i="1"/>
  <c r="Q3387" i="1"/>
  <c r="P3387" i="1"/>
  <c r="Q3388" i="1"/>
  <c r="P3388" i="1"/>
  <c r="Q3389" i="1"/>
  <c r="P3389" i="1"/>
  <c r="Q3390" i="1"/>
  <c r="P3390" i="1"/>
  <c r="Q3391" i="1"/>
  <c r="P3391" i="1"/>
  <c r="Q3392" i="1"/>
  <c r="P3392" i="1"/>
  <c r="Q3393" i="1"/>
  <c r="P3393" i="1"/>
  <c r="Q3394" i="1"/>
  <c r="P3394" i="1"/>
  <c r="Q3395" i="1"/>
  <c r="P3395" i="1"/>
  <c r="Q3396" i="1"/>
  <c r="P3396" i="1"/>
  <c r="Q3397" i="1"/>
  <c r="P3397" i="1"/>
  <c r="Q3398" i="1"/>
  <c r="P3398" i="1"/>
  <c r="Q3399" i="1"/>
  <c r="P3399" i="1"/>
  <c r="Q3400" i="1"/>
  <c r="P3400" i="1"/>
  <c r="Q3401" i="1"/>
  <c r="P3401" i="1"/>
  <c r="Q3402" i="1"/>
  <c r="P3402" i="1"/>
  <c r="Q3403" i="1"/>
  <c r="P3403" i="1"/>
  <c r="Q3404" i="1"/>
  <c r="P3404" i="1"/>
  <c r="Q3405" i="1"/>
  <c r="P3405" i="1"/>
  <c r="Q3406" i="1"/>
  <c r="P3406" i="1"/>
  <c r="Q3407" i="1"/>
  <c r="P3407" i="1"/>
  <c r="Q3408" i="1"/>
  <c r="P3408" i="1"/>
  <c r="Q3409" i="1"/>
  <c r="P3409" i="1"/>
  <c r="Q3410" i="1"/>
  <c r="P3410" i="1"/>
  <c r="Q3411" i="1"/>
  <c r="P3411" i="1"/>
  <c r="Q3412" i="1"/>
  <c r="P3412" i="1"/>
  <c r="Q3413" i="1"/>
  <c r="P3413" i="1"/>
  <c r="Q3414" i="1"/>
  <c r="P3414" i="1"/>
  <c r="Q3415" i="1"/>
  <c r="P3415" i="1"/>
  <c r="Q3416" i="1"/>
  <c r="P3416" i="1"/>
  <c r="Q3417" i="1"/>
  <c r="P3417" i="1"/>
  <c r="Q3418" i="1"/>
  <c r="P3418" i="1"/>
  <c r="Q3419" i="1"/>
  <c r="P3419" i="1"/>
  <c r="Q3420" i="1"/>
  <c r="P3420" i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K3232" i="1"/>
  <c r="K3233" i="1"/>
  <c r="K3234" i="1"/>
  <c r="K3235" i="1"/>
  <c r="K3236" i="1"/>
  <c r="K3237" i="1"/>
  <c r="K3238" i="1"/>
  <c r="K3239" i="1"/>
  <c r="K3240" i="1"/>
  <c r="K3241" i="1"/>
  <c r="K3242" i="1"/>
  <c r="Q3232" i="1"/>
  <c r="P3232" i="1"/>
  <c r="Q3233" i="1"/>
  <c r="P3233" i="1"/>
  <c r="Q3234" i="1"/>
  <c r="P3234" i="1"/>
  <c r="Q3235" i="1"/>
  <c r="P3235" i="1"/>
  <c r="Q3236" i="1"/>
  <c r="P3236" i="1"/>
  <c r="Q3237" i="1"/>
  <c r="P3237" i="1"/>
  <c r="Q3238" i="1"/>
  <c r="P3238" i="1"/>
  <c r="Q3239" i="1"/>
  <c r="P3239" i="1"/>
  <c r="Q3240" i="1"/>
  <c r="P3240" i="1"/>
  <c r="Q3241" i="1"/>
  <c r="P3241" i="1"/>
  <c r="Q3242" i="1"/>
  <c r="P3242" i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Q2937" i="1"/>
  <c r="P2937" i="1"/>
  <c r="Q2938" i="1"/>
  <c r="P2938" i="1"/>
  <c r="Q2939" i="1"/>
  <c r="P2939" i="1"/>
  <c r="Q2940" i="1"/>
  <c r="P2940" i="1"/>
  <c r="Q2941" i="1"/>
  <c r="P2941" i="1"/>
  <c r="Q2942" i="1"/>
  <c r="P2942" i="1"/>
  <c r="Q2943" i="1"/>
  <c r="P2943" i="1"/>
  <c r="Q2944" i="1"/>
  <c r="P2944" i="1"/>
  <c r="Q2945" i="1"/>
  <c r="P2945" i="1"/>
  <c r="Q2946" i="1"/>
  <c r="P2946" i="1"/>
  <c r="Q2947" i="1"/>
  <c r="P2947" i="1"/>
  <c r="Q2948" i="1"/>
  <c r="P2948" i="1"/>
  <c r="Q2949" i="1"/>
  <c r="P2949" i="1"/>
  <c r="Q2950" i="1"/>
  <c r="P2950" i="1"/>
  <c r="Q2951" i="1"/>
  <c r="P2951" i="1"/>
  <c r="Q2952" i="1"/>
  <c r="P2952" i="1"/>
  <c r="Q2953" i="1"/>
  <c r="P2953" i="1"/>
  <c r="Q2954" i="1"/>
  <c r="P2954" i="1"/>
  <c r="Q2955" i="1"/>
  <c r="P2955" i="1"/>
  <c r="Q2956" i="1"/>
  <c r="P2956" i="1"/>
  <c r="Q2957" i="1"/>
  <c r="P2957" i="1"/>
  <c r="Q2958" i="1"/>
  <c r="P2958" i="1"/>
  <c r="Q2959" i="1"/>
  <c r="P2959" i="1"/>
  <c r="Q2960" i="1"/>
  <c r="P2960" i="1"/>
  <c r="Q2961" i="1"/>
  <c r="P2961" i="1"/>
  <c r="Q2962" i="1"/>
  <c r="P2962" i="1"/>
  <c r="Q2963" i="1"/>
  <c r="P2963" i="1"/>
  <c r="Q2964" i="1"/>
  <c r="P2964" i="1"/>
  <c r="Q2965" i="1"/>
  <c r="P2965" i="1"/>
  <c r="Q2966" i="1"/>
  <c r="P2966" i="1"/>
  <c r="Q2967" i="1"/>
  <c r="P2967" i="1"/>
  <c r="Q2968" i="1"/>
  <c r="P2968" i="1"/>
  <c r="Q2969" i="1"/>
  <c r="P2969" i="1"/>
  <c r="Q2970" i="1"/>
  <c r="P2970" i="1"/>
  <c r="Q2971" i="1"/>
  <c r="P2971" i="1"/>
  <c r="Q2972" i="1"/>
  <c r="P2972" i="1"/>
  <c r="Q2973" i="1"/>
  <c r="P2973" i="1"/>
  <c r="Q2974" i="1"/>
  <c r="P2974" i="1"/>
  <c r="Q2975" i="1"/>
  <c r="P2975" i="1"/>
  <c r="Q2976" i="1"/>
  <c r="P2976" i="1"/>
  <c r="Q2977" i="1"/>
  <c r="P2977" i="1"/>
  <c r="Q2978" i="1"/>
  <c r="P2978" i="1"/>
  <c r="Q2979" i="1"/>
  <c r="P2979" i="1"/>
  <c r="Q2980" i="1"/>
  <c r="P2980" i="1"/>
  <c r="Q2981" i="1"/>
  <c r="P2981" i="1"/>
  <c r="Q2982" i="1"/>
  <c r="P2982" i="1"/>
  <c r="Q2983" i="1"/>
  <c r="P2983" i="1"/>
  <c r="Q2984" i="1"/>
  <c r="P2984" i="1"/>
  <c r="Q2985" i="1"/>
  <c r="P2985" i="1"/>
  <c r="Q2986" i="1"/>
  <c r="P2986" i="1"/>
  <c r="Q2987" i="1"/>
  <c r="P2987" i="1"/>
  <c r="Q2988" i="1"/>
  <c r="P2988" i="1"/>
  <c r="Q2989" i="1"/>
  <c r="P2989" i="1"/>
  <c r="Q2990" i="1"/>
  <c r="P2990" i="1"/>
  <c r="Q2991" i="1"/>
  <c r="P2991" i="1"/>
  <c r="Q2992" i="1"/>
  <c r="P2992" i="1"/>
  <c r="Q2993" i="1"/>
  <c r="P2993" i="1"/>
  <c r="Q2994" i="1"/>
  <c r="P2994" i="1"/>
  <c r="Q2995" i="1"/>
  <c r="P2995" i="1"/>
  <c r="Q2996" i="1"/>
  <c r="P2996" i="1"/>
  <c r="Q2997" i="1"/>
  <c r="P2997" i="1"/>
  <c r="Q2998" i="1"/>
  <c r="P2998" i="1"/>
  <c r="Q2999" i="1"/>
  <c r="P2999" i="1"/>
  <c r="Q3000" i="1"/>
  <c r="P3000" i="1"/>
  <c r="Q3001" i="1"/>
  <c r="P3001" i="1"/>
  <c r="Q3002" i="1"/>
  <c r="P3002" i="1"/>
  <c r="Q3003" i="1"/>
  <c r="P3003" i="1"/>
  <c r="Q3004" i="1"/>
  <c r="P3004" i="1"/>
  <c r="Q3005" i="1"/>
  <c r="P3005" i="1"/>
  <c r="Q3006" i="1"/>
  <c r="P3006" i="1"/>
  <c r="Q3007" i="1"/>
  <c r="P3007" i="1"/>
  <c r="Q3008" i="1"/>
  <c r="P3008" i="1"/>
  <c r="Q3009" i="1"/>
  <c r="P3009" i="1"/>
  <c r="Q3010" i="1"/>
  <c r="P3010" i="1"/>
  <c r="Q3011" i="1"/>
  <c r="P3011" i="1"/>
  <c r="Q3012" i="1"/>
  <c r="P3012" i="1"/>
  <c r="Q3013" i="1"/>
  <c r="P3013" i="1"/>
  <c r="Q3014" i="1"/>
  <c r="P3014" i="1"/>
  <c r="Q3015" i="1"/>
  <c r="P3015" i="1"/>
  <c r="Q3016" i="1"/>
  <c r="P3016" i="1"/>
  <c r="Q3017" i="1"/>
  <c r="P3017" i="1"/>
  <c r="Q3018" i="1"/>
  <c r="P3018" i="1"/>
  <c r="Q3019" i="1"/>
  <c r="P3019" i="1"/>
  <c r="Q3020" i="1"/>
  <c r="P3020" i="1"/>
  <c r="Q3021" i="1"/>
  <c r="P3021" i="1"/>
  <c r="Q3022" i="1"/>
  <c r="P3022" i="1"/>
  <c r="Q3023" i="1"/>
  <c r="P3023" i="1"/>
  <c r="Q3024" i="1"/>
  <c r="P3024" i="1"/>
  <c r="Q3025" i="1"/>
  <c r="P3025" i="1"/>
  <c r="Q3026" i="1"/>
  <c r="P3026" i="1"/>
  <c r="Q3027" i="1"/>
  <c r="P3027" i="1"/>
  <c r="Q3028" i="1"/>
  <c r="P3028" i="1"/>
  <c r="Q3029" i="1"/>
  <c r="P3029" i="1"/>
  <c r="Q3030" i="1"/>
  <c r="P3030" i="1"/>
  <c r="Q3031" i="1"/>
  <c r="P3031" i="1"/>
  <c r="Q3032" i="1"/>
  <c r="P3032" i="1"/>
  <c r="Q3033" i="1"/>
  <c r="P3033" i="1"/>
  <c r="Q3034" i="1"/>
  <c r="P3034" i="1"/>
  <c r="Q3035" i="1"/>
  <c r="P3035" i="1"/>
  <c r="Q3036" i="1"/>
  <c r="P3036" i="1"/>
  <c r="Q3037" i="1"/>
  <c r="P3037" i="1"/>
  <c r="Q3038" i="1"/>
  <c r="P3038" i="1"/>
  <c r="Q3039" i="1"/>
  <c r="P3039" i="1"/>
  <c r="Q3040" i="1"/>
  <c r="P3040" i="1"/>
  <c r="Q3041" i="1"/>
  <c r="P3041" i="1"/>
  <c r="Q3042" i="1"/>
  <c r="P3042" i="1"/>
  <c r="Q3043" i="1"/>
  <c r="P3043" i="1"/>
  <c r="Q3044" i="1"/>
  <c r="P3044" i="1"/>
  <c r="Q3045" i="1"/>
  <c r="P3045" i="1"/>
  <c r="Q3046" i="1"/>
  <c r="P3046" i="1"/>
  <c r="Q3047" i="1"/>
  <c r="P3047" i="1"/>
  <c r="Q3048" i="1"/>
  <c r="P3048" i="1"/>
  <c r="Q3049" i="1"/>
  <c r="P3049" i="1"/>
  <c r="Q3050" i="1"/>
  <c r="P3050" i="1"/>
  <c r="Q3051" i="1"/>
  <c r="P3051" i="1"/>
  <c r="Q3052" i="1"/>
  <c r="P3052" i="1"/>
  <c r="Q3053" i="1"/>
  <c r="P3053" i="1"/>
  <c r="Q3054" i="1"/>
  <c r="P3054" i="1"/>
  <c r="Q3055" i="1"/>
  <c r="P3055" i="1"/>
  <c r="Q3056" i="1"/>
  <c r="P3056" i="1"/>
  <c r="Q3057" i="1"/>
  <c r="P3057" i="1"/>
  <c r="Q3058" i="1"/>
  <c r="P3058" i="1"/>
  <c r="Q3059" i="1"/>
  <c r="P3059" i="1"/>
  <c r="Q3060" i="1"/>
  <c r="P3060" i="1"/>
  <c r="Q3061" i="1"/>
  <c r="P3061" i="1"/>
  <c r="Q3062" i="1"/>
  <c r="P3062" i="1"/>
  <c r="Q3063" i="1"/>
  <c r="P3063" i="1"/>
  <c r="Q3064" i="1"/>
  <c r="P3064" i="1"/>
  <c r="Q3065" i="1"/>
  <c r="P3065" i="1"/>
  <c r="Q3066" i="1"/>
  <c r="P3066" i="1"/>
  <c r="Q3067" i="1"/>
  <c r="P3067" i="1"/>
  <c r="Q3068" i="1"/>
  <c r="P3068" i="1"/>
  <c r="Q3069" i="1"/>
  <c r="P3069" i="1"/>
  <c r="Q3070" i="1"/>
  <c r="P3070" i="1"/>
  <c r="Q3071" i="1"/>
  <c r="P3071" i="1"/>
  <c r="Q3072" i="1"/>
  <c r="P3072" i="1"/>
  <c r="Q3073" i="1"/>
  <c r="P3073" i="1"/>
  <c r="Q3074" i="1"/>
  <c r="P3074" i="1"/>
  <c r="Q3075" i="1"/>
  <c r="P3075" i="1"/>
  <c r="Q3076" i="1"/>
  <c r="P3076" i="1"/>
  <c r="Q3077" i="1"/>
  <c r="P3077" i="1"/>
  <c r="Q3078" i="1"/>
  <c r="P3078" i="1"/>
  <c r="Q3079" i="1"/>
  <c r="P3079" i="1"/>
  <c r="Q3080" i="1"/>
  <c r="P3080" i="1"/>
  <c r="Q3081" i="1"/>
  <c r="P3081" i="1"/>
  <c r="Q3082" i="1"/>
  <c r="P3082" i="1"/>
  <c r="Q3083" i="1"/>
  <c r="P3083" i="1"/>
  <c r="Q3084" i="1"/>
  <c r="P3084" i="1"/>
  <c r="Q3085" i="1"/>
  <c r="P3085" i="1"/>
  <c r="Q3086" i="1"/>
  <c r="P3086" i="1"/>
  <c r="Q3087" i="1"/>
  <c r="P3087" i="1"/>
  <c r="Q3088" i="1"/>
  <c r="P3088" i="1"/>
  <c r="Q3089" i="1"/>
  <c r="P3089" i="1"/>
  <c r="Q3090" i="1"/>
  <c r="P3090" i="1"/>
  <c r="Q3091" i="1"/>
  <c r="P3091" i="1"/>
  <c r="Q3092" i="1"/>
  <c r="P3092" i="1"/>
  <c r="Q3093" i="1"/>
  <c r="P3093" i="1"/>
  <c r="Q3094" i="1"/>
  <c r="P3094" i="1"/>
  <c r="Q3095" i="1"/>
  <c r="P3095" i="1"/>
  <c r="Q3096" i="1"/>
  <c r="P3096" i="1"/>
  <c r="Q3097" i="1"/>
  <c r="P3097" i="1"/>
  <c r="Q3098" i="1"/>
  <c r="P3098" i="1"/>
  <c r="Q3099" i="1"/>
  <c r="P3099" i="1"/>
  <c r="Q3100" i="1"/>
  <c r="P3100" i="1"/>
  <c r="Q3101" i="1"/>
  <c r="P3101" i="1"/>
  <c r="Q3102" i="1"/>
  <c r="P3102" i="1"/>
  <c r="Q3103" i="1"/>
  <c r="P3103" i="1"/>
  <c r="Q3104" i="1"/>
  <c r="P3104" i="1"/>
  <c r="Q3105" i="1"/>
  <c r="P3105" i="1"/>
  <c r="Q3106" i="1"/>
  <c r="P3106" i="1"/>
  <c r="Q3107" i="1"/>
  <c r="P3107" i="1"/>
  <c r="Q3108" i="1"/>
  <c r="P3108" i="1"/>
  <c r="Q3109" i="1"/>
  <c r="P3109" i="1"/>
  <c r="Q3110" i="1"/>
  <c r="P3110" i="1"/>
  <c r="Q3111" i="1"/>
  <c r="P3111" i="1"/>
  <c r="Q3112" i="1"/>
  <c r="P3112" i="1"/>
  <c r="Q3113" i="1"/>
  <c r="P3113" i="1"/>
  <c r="Q3114" i="1"/>
  <c r="P3114" i="1"/>
  <c r="Q3115" i="1"/>
  <c r="P3115" i="1"/>
  <c r="Q3116" i="1"/>
  <c r="P3116" i="1"/>
  <c r="Q3117" i="1"/>
  <c r="P3117" i="1"/>
  <c r="Q3118" i="1"/>
  <c r="P3118" i="1"/>
  <c r="Q3119" i="1"/>
  <c r="P3119" i="1"/>
  <c r="Q3120" i="1"/>
  <c r="P3120" i="1"/>
  <c r="Q3121" i="1"/>
  <c r="P3121" i="1"/>
  <c r="Q3122" i="1"/>
  <c r="P3122" i="1"/>
  <c r="Q3123" i="1"/>
  <c r="P3123" i="1"/>
  <c r="Q3124" i="1"/>
  <c r="P3124" i="1"/>
  <c r="Q3125" i="1"/>
  <c r="P3125" i="1"/>
  <c r="Q3126" i="1"/>
  <c r="P3126" i="1"/>
  <c r="Q3127" i="1"/>
  <c r="P3127" i="1"/>
  <c r="Q3128" i="1"/>
  <c r="P3128" i="1"/>
  <c r="Q3129" i="1"/>
  <c r="P3129" i="1"/>
  <c r="Q3130" i="1"/>
  <c r="P3130" i="1"/>
  <c r="Q3131" i="1"/>
  <c r="P3131" i="1"/>
  <c r="Q3132" i="1"/>
  <c r="P3132" i="1"/>
  <c r="Q3133" i="1"/>
  <c r="P3133" i="1"/>
  <c r="Q3134" i="1"/>
  <c r="P3134" i="1"/>
  <c r="Q3135" i="1"/>
  <c r="P3135" i="1"/>
  <c r="Q3136" i="1"/>
  <c r="P3136" i="1"/>
  <c r="Q3137" i="1"/>
  <c r="P3137" i="1"/>
  <c r="Q3138" i="1"/>
  <c r="P3138" i="1"/>
  <c r="Q3139" i="1"/>
  <c r="P3139" i="1"/>
  <c r="Q3140" i="1"/>
  <c r="P3140" i="1"/>
  <c r="Q3141" i="1"/>
  <c r="P3141" i="1"/>
  <c r="Q3142" i="1"/>
  <c r="P3142" i="1"/>
  <c r="Q3143" i="1"/>
  <c r="P3143" i="1"/>
  <c r="Q3144" i="1"/>
  <c r="P3144" i="1"/>
  <c r="Q3145" i="1"/>
  <c r="P3145" i="1"/>
  <c r="Q3146" i="1"/>
  <c r="P3146" i="1"/>
  <c r="Q3147" i="1"/>
  <c r="P3147" i="1"/>
  <c r="Q3148" i="1"/>
  <c r="P3148" i="1"/>
  <c r="Q3149" i="1"/>
  <c r="P3149" i="1"/>
  <c r="Q3150" i="1"/>
  <c r="P3150" i="1"/>
  <c r="Q3151" i="1"/>
  <c r="P3151" i="1"/>
  <c r="Q3152" i="1"/>
  <c r="P3152" i="1"/>
  <c r="Q3153" i="1"/>
  <c r="P3153" i="1"/>
  <c r="Q3154" i="1"/>
  <c r="P3154" i="1"/>
  <c r="Q3155" i="1"/>
  <c r="P3155" i="1"/>
  <c r="Q3156" i="1"/>
  <c r="P3156" i="1"/>
  <c r="Q3157" i="1"/>
  <c r="P3157" i="1"/>
  <c r="Q3158" i="1"/>
  <c r="P3158" i="1"/>
  <c r="Q3159" i="1"/>
  <c r="P3159" i="1"/>
  <c r="Q3160" i="1"/>
  <c r="P3160" i="1"/>
  <c r="Q3161" i="1"/>
  <c r="P3161" i="1"/>
  <c r="Q3162" i="1"/>
  <c r="P3162" i="1"/>
  <c r="Q3163" i="1"/>
  <c r="P3163" i="1"/>
  <c r="Q3164" i="1"/>
  <c r="P3164" i="1"/>
  <c r="Q3165" i="1"/>
  <c r="P3165" i="1"/>
  <c r="Q3166" i="1"/>
  <c r="P3166" i="1"/>
  <c r="Q3167" i="1"/>
  <c r="P3167" i="1"/>
  <c r="Q3168" i="1"/>
  <c r="P3168" i="1"/>
  <c r="Q3169" i="1"/>
  <c r="P3169" i="1"/>
  <c r="Q3170" i="1"/>
  <c r="P3170" i="1"/>
  <c r="Q3171" i="1"/>
  <c r="P3171" i="1"/>
  <c r="Q3172" i="1"/>
  <c r="P3172" i="1"/>
  <c r="Q3173" i="1"/>
  <c r="P3173" i="1"/>
  <c r="Q3174" i="1"/>
  <c r="P3174" i="1"/>
  <c r="Q3175" i="1"/>
  <c r="P3175" i="1"/>
  <c r="Q3176" i="1"/>
  <c r="P3176" i="1"/>
  <c r="Q3177" i="1"/>
  <c r="P3177" i="1"/>
  <c r="Q3178" i="1"/>
  <c r="P3178" i="1"/>
  <c r="Q3179" i="1"/>
  <c r="P3179" i="1"/>
  <c r="Q3180" i="1"/>
  <c r="P3180" i="1"/>
  <c r="Q3181" i="1"/>
  <c r="P3181" i="1"/>
  <c r="Q3182" i="1"/>
  <c r="P3182" i="1"/>
  <c r="Q3183" i="1"/>
  <c r="P3183" i="1"/>
  <c r="Q3184" i="1"/>
  <c r="P3184" i="1"/>
  <c r="Q3185" i="1"/>
  <c r="P3185" i="1"/>
  <c r="Q3186" i="1"/>
  <c r="P3186" i="1"/>
  <c r="Q3187" i="1"/>
  <c r="P3187" i="1"/>
  <c r="Q3188" i="1"/>
  <c r="P3188" i="1"/>
  <c r="Q3189" i="1"/>
  <c r="P3189" i="1"/>
  <c r="Q3190" i="1"/>
  <c r="P3190" i="1"/>
  <c r="Q3191" i="1"/>
  <c r="P3191" i="1"/>
  <c r="Q3192" i="1"/>
  <c r="P3192" i="1"/>
  <c r="Q3193" i="1"/>
  <c r="P3193" i="1"/>
  <c r="Q3194" i="1"/>
  <c r="P3194" i="1"/>
  <c r="Q3195" i="1"/>
  <c r="P3195" i="1"/>
  <c r="Q3196" i="1"/>
  <c r="P3196" i="1"/>
  <c r="Q3197" i="1"/>
  <c r="P3197" i="1"/>
  <c r="Q3198" i="1"/>
  <c r="P3198" i="1"/>
  <c r="Q3199" i="1"/>
  <c r="P3199" i="1"/>
  <c r="Q3200" i="1"/>
  <c r="P3200" i="1"/>
  <c r="Q3201" i="1"/>
  <c r="P3201" i="1"/>
  <c r="Q3202" i="1"/>
  <c r="P3202" i="1"/>
  <c r="Q3203" i="1"/>
  <c r="P3203" i="1"/>
  <c r="Q3204" i="1"/>
  <c r="P3204" i="1"/>
  <c r="Q3205" i="1"/>
  <c r="P3205" i="1"/>
  <c r="Q3206" i="1"/>
  <c r="P3206" i="1"/>
  <c r="Q3207" i="1"/>
  <c r="P3207" i="1"/>
  <c r="Q3208" i="1"/>
  <c r="P3208" i="1"/>
  <c r="Q3209" i="1"/>
  <c r="P3209" i="1"/>
  <c r="Q3210" i="1"/>
  <c r="P3210" i="1"/>
  <c r="Q3211" i="1"/>
  <c r="P3211" i="1"/>
  <c r="Q3212" i="1"/>
  <c r="P3212" i="1"/>
  <c r="Q3213" i="1"/>
  <c r="P3213" i="1"/>
  <c r="Q3214" i="1"/>
  <c r="P3214" i="1"/>
  <c r="Q3215" i="1"/>
  <c r="P3215" i="1"/>
  <c r="Q3216" i="1"/>
  <c r="P3216" i="1"/>
  <c r="Q3217" i="1"/>
  <c r="P3217" i="1"/>
  <c r="Q3218" i="1"/>
  <c r="P3218" i="1"/>
  <c r="Q3219" i="1"/>
  <c r="P3219" i="1"/>
  <c r="Q3220" i="1"/>
  <c r="P3220" i="1"/>
  <c r="Q3221" i="1"/>
  <c r="P3221" i="1"/>
  <c r="Q3222" i="1"/>
  <c r="P3222" i="1"/>
  <c r="Q3223" i="1"/>
  <c r="P3223" i="1"/>
  <c r="Q3224" i="1"/>
  <c r="P3224" i="1"/>
  <c r="Q3225" i="1"/>
  <c r="P3225" i="1"/>
  <c r="Q3226" i="1"/>
  <c r="P3226" i="1"/>
  <c r="Q3227" i="1"/>
  <c r="P3227" i="1"/>
  <c r="Q3228" i="1"/>
  <c r="P3228" i="1"/>
  <c r="Q3229" i="1"/>
  <c r="P3229" i="1"/>
  <c r="Q3230" i="1"/>
  <c r="P3230" i="1"/>
  <c r="Q3231" i="1"/>
  <c r="P3231" i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Q2920" i="1"/>
  <c r="P2920" i="1"/>
  <c r="Q2921" i="1"/>
  <c r="P2921" i="1"/>
  <c r="Q2922" i="1"/>
  <c r="P2922" i="1"/>
  <c r="Q2923" i="1"/>
  <c r="P2923" i="1"/>
  <c r="Q2924" i="1"/>
  <c r="P2924" i="1"/>
  <c r="Q2925" i="1"/>
  <c r="P2925" i="1"/>
  <c r="Q2926" i="1"/>
  <c r="P2926" i="1"/>
  <c r="Q2927" i="1"/>
  <c r="P2927" i="1"/>
  <c r="Q2928" i="1"/>
  <c r="P2928" i="1"/>
  <c r="Q2929" i="1"/>
  <c r="P2929" i="1"/>
  <c r="Q2930" i="1"/>
  <c r="P2930" i="1"/>
  <c r="Q2931" i="1"/>
  <c r="P2931" i="1"/>
  <c r="Q2932" i="1"/>
  <c r="P2932" i="1"/>
  <c r="Q2933" i="1"/>
  <c r="P2933" i="1"/>
  <c r="Q2934" i="1"/>
  <c r="P2934" i="1"/>
  <c r="Q2935" i="1"/>
  <c r="P2935" i="1"/>
  <c r="Q2936" i="1"/>
  <c r="P2936" i="1"/>
  <c r="H2919" i="1"/>
  <c r="J2919" i="1"/>
  <c r="K2919" i="1"/>
  <c r="Q2919" i="1"/>
  <c r="P2919" i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K2912" i="1"/>
  <c r="K2913" i="1"/>
  <c r="K2914" i="1"/>
  <c r="K2915" i="1"/>
  <c r="K2916" i="1"/>
  <c r="K2917" i="1"/>
  <c r="K2918" i="1"/>
  <c r="Q2912" i="1"/>
  <c r="P2912" i="1"/>
  <c r="Q2913" i="1"/>
  <c r="P2913" i="1"/>
  <c r="Q2914" i="1"/>
  <c r="P2914" i="1"/>
  <c r="Q2915" i="1"/>
  <c r="P2915" i="1"/>
  <c r="Q2916" i="1"/>
  <c r="P2916" i="1"/>
  <c r="Q2917" i="1"/>
  <c r="P2917" i="1"/>
  <c r="Q2918" i="1"/>
  <c r="P2918" i="1"/>
  <c r="J2905" i="1"/>
  <c r="J2903" i="1"/>
  <c r="H2911" i="1"/>
  <c r="J2911" i="1"/>
  <c r="K2911" i="1"/>
  <c r="Q2911" i="1"/>
  <c r="P2911" i="1"/>
  <c r="H2908" i="1"/>
  <c r="H2909" i="1"/>
  <c r="H2910" i="1"/>
  <c r="J2908" i="1"/>
  <c r="J2909" i="1"/>
  <c r="J2910" i="1"/>
  <c r="K2908" i="1"/>
  <c r="K2909" i="1"/>
  <c r="K2910" i="1"/>
  <c r="Q2908" i="1"/>
  <c r="P2908" i="1"/>
  <c r="Q2909" i="1"/>
  <c r="P2909" i="1"/>
  <c r="Q2910" i="1"/>
  <c r="P2910" i="1"/>
  <c r="H2907" i="1"/>
  <c r="J2907" i="1"/>
  <c r="K2907" i="1"/>
  <c r="Q2907" i="1"/>
  <c r="P2907" i="1"/>
  <c r="H2906" i="1"/>
  <c r="J2906" i="1"/>
  <c r="K2906" i="1"/>
  <c r="Q2906" i="1"/>
  <c r="P2906" i="1"/>
  <c r="H2905" i="1"/>
  <c r="K2905" i="1"/>
  <c r="Q2905" i="1"/>
  <c r="P2905" i="1"/>
  <c r="H2903" i="1"/>
  <c r="H2904" i="1"/>
  <c r="J2904" i="1"/>
  <c r="K2903" i="1"/>
  <c r="K2904" i="1"/>
  <c r="Q2903" i="1"/>
  <c r="P2903" i="1"/>
  <c r="Q2904" i="1"/>
  <c r="P2904" i="1"/>
  <c r="H2902" i="1"/>
  <c r="J2902" i="1"/>
  <c r="K2902" i="1"/>
  <c r="Q2902" i="1"/>
  <c r="P2902" i="1"/>
  <c r="H2900" i="1"/>
  <c r="H2901" i="1"/>
  <c r="J2900" i="1"/>
  <c r="J2901" i="1"/>
  <c r="K2900" i="1"/>
  <c r="K2901" i="1"/>
  <c r="Q2900" i="1"/>
  <c r="P2900" i="1"/>
  <c r="Q2901" i="1"/>
  <c r="P2901" i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K2898" i="1"/>
  <c r="K2899" i="1"/>
  <c r="Q2898" i="1"/>
  <c r="P2898" i="1"/>
  <c r="Q2899" i="1"/>
  <c r="P2899" i="1"/>
  <c r="H2897" i="1"/>
  <c r="J2897" i="1"/>
  <c r="K2897" i="1"/>
  <c r="Q2897" i="1"/>
  <c r="P2897" i="1"/>
  <c r="H2890" i="1"/>
  <c r="H2891" i="1"/>
  <c r="H2892" i="1"/>
  <c r="H2893" i="1"/>
  <c r="H2894" i="1"/>
  <c r="H2895" i="1"/>
  <c r="H2896" i="1"/>
  <c r="J2890" i="1"/>
  <c r="K2890" i="1"/>
  <c r="K2891" i="1"/>
  <c r="K2892" i="1"/>
  <c r="K2893" i="1"/>
  <c r="K2894" i="1"/>
  <c r="K2895" i="1"/>
  <c r="K2896" i="1"/>
  <c r="Q2890" i="1"/>
  <c r="P2890" i="1"/>
  <c r="Q2891" i="1"/>
  <c r="P2891" i="1"/>
  <c r="Q2892" i="1"/>
  <c r="P2892" i="1"/>
  <c r="Q2893" i="1"/>
  <c r="P2893" i="1"/>
  <c r="Q2894" i="1"/>
  <c r="P2894" i="1"/>
  <c r="Q2895" i="1"/>
  <c r="P2895" i="1"/>
  <c r="Q2896" i="1"/>
  <c r="P2896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Q2873" i="1"/>
  <c r="P2873" i="1"/>
  <c r="Q2874" i="1"/>
  <c r="P2874" i="1"/>
  <c r="Q2875" i="1"/>
  <c r="P2875" i="1"/>
  <c r="Q2876" i="1"/>
  <c r="P2876" i="1"/>
  <c r="Q2877" i="1"/>
  <c r="P2877" i="1"/>
  <c r="Q2878" i="1"/>
  <c r="P2878" i="1"/>
  <c r="Q2879" i="1"/>
  <c r="P2879" i="1"/>
  <c r="Q2880" i="1"/>
  <c r="P2880" i="1"/>
  <c r="Q2881" i="1"/>
  <c r="P2881" i="1"/>
  <c r="Q2882" i="1"/>
  <c r="P2882" i="1"/>
  <c r="Q2883" i="1"/>
  <c r="P2883" i="1"/>
  <c r="Q2884" i="1"/>
  <c r="P2884" i="1"/>
  <c r="Q2885" i="1"/>
  <c r="P2885" i="1"/>
  <c r="Q2886" i="1"/>
  <c r="P2886" i="1"/>
  <c r="Q2887" i="1"/>
  <c r="P2887" i="1"/>
  <c r="Q2888" i="1"/>
  <c r="P2888" i="1"/>
  <c r="Q2889" i="1"/>
  <c r="P2889" i="1"/>
  <c r="H2872" i="1"/>
  <c r="K2872" i="1"/>
  <c r="Q2872" i="1"/>
  <c r="P2872" i="1"/>
  <c r="J2870" i="1"/>
  <c r="J2869" i="1"/>
  <c r="J2868" i="1"/>
  <c r="J2867" i="1"/>
  <c r="J2866" i="1"/>
  <c r="J2863" i="1"/>
  <c r="J2860" i="1"/>
  <c r="H2871" i="1"/>
  <c r="K2871" i="1"/>
  <c r="Q2871" i="1"/>
  <c r="P2871" i="1"/>
  <c r="J2861" i="1"/>
  <c r="J2865" i="1"/>
  <c r="H2870" i="1"/>
  <c r="K2870" i="1"/>
  <c r="Q2870" i="1"/>
  <c r="P2870" i="1"/>
  <c r="H2869" i="1"/>
  <c r="K2869" i="1"/>
  <c r="Q2869" i="1"/>
  <c r="P2869" i="1"/>
  <c r="H2868" i="1"/>
  <c r="K2868" i="1"/>
  <c r="Q2868" i="1"/>
  <c r="P2868" i="1"/>
  <c r="H2864" i="1"/>
  <c r="H2865" i="1"/>
  <c r="H2866" i="1"/>
  <c r="H2867" i="1"/>
  <c r="K2864" i="1"/>
  <c r="K2865" i="1"/>
  <c r="K2866" i="1"/>
  <c r="K2867" i="1"/>
  <c r="Q2864" i="1"/>
  <c r="P2864" i="1"/>
  <c r="Q2865" i="1"/>
  <c r="P2865" i="1"/>
  <c r="Q2866" i="1"/>
  <c r="P2866" i="1"/>
  <c r="Q2867" i="1"/>
  <c r="P2867" i="1"/>
  <c r="H2863" i="1"/>
  <c r="K2863" i="1"/>
  <c r="Q2863" i="1"/>
  <c r="P2863" i="1"/>
  <c r="J2862" i="1"/>
  <c r="J2859" i="1"/>
  <c r="J2858" i="1"/>
  <c r="J2857" i="1"/>
  <c r="H2862" i="1"/>
  <c r="K2862" i="1"/>
  <c r="Q2862" i="1"/>
  <c r="P2862" i="1"/>
  <c r="H2861" i="1"/>
  <c r="K2861" i="1"/>
  <c r="Q2861" i="1"/>
  <c r="P2861" i="1"/>
  <c r="H2860" i="1"/>
  <c r="K2860" i="1"/>
  <c r="Q2860" i="1"/>
  <c r="P2860" i="1"/>
  <c r="H2858" i="1"/>
  <c r="H2859" i="1"/>
  <c r="K2858" i="1"/>
  <c r="K2859" i="1"/>
  <c r="Q2858" i="1"/>
  <c r="P2858" i="1"/>
  <c r="Q2859" i="1"/>
  <c r="P2859" i="1"/>
  <c r="H2857" i="1"/>
  <c r="K2857" i="1"/>
  <c r="Q2857" i="1"/>
  <c r="P2857" i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K2856" i="1"/>
  <c r="Q2856" i="1"/>
  <c r="P2856" i="1"/>
  <c r="H2855" i="1"/>
  <c r="J2855" i="1"/>
  <c r="K2855" i="1"/>
  <c r="Q2855" i="1"/>
  <c r="P2855" i="1"/>
  <c r="H2854" i="1"/>
  <c r="J2854" i="1"/>
  <c r="K2854" i="1"/>
  <c r="Q2854" i="1"/>
  <c r="P2854" i="1"/>
  <c r="J2853" i="1"/>
  <c r="J2852" i="1"/>
  <c r="J2851" i="1"/>
  <c r="J2848" i="1"/>
  <c r="J2843" i="1"/>
  <c r="J2850" i="1"/>
  <c r="J2849" i="1"/>
  <c r="H2853" i="1"/>
  <c r="K2853" i="1"/>
  <c r="Q2853" i="1"/>
  <c r="P2853" i="1"/>
  <c r="H2852" i="1"/>
  <c r="K2852" i="1"/>
  <c r="Q2852" i="1"/>
  <c r="P2852" i="1"/>
  <c r="H2850" i="1"/>
  <c r="H2851" i="1"/>
  <c r="K2850" i="1"/>
  <c r="K2851" i="1"/>
  <c r="Q2850" i="1"/>
  <c r="P2850" i="1"/>
  <c r="Q2851" i="1"/>
  <c r="P2851" i="1"/>
  <c r="H2849" i="1"/>
  <c r="K2849" i="1"/>
  <c r="Q2849" i="1"/>
  <c r="P2849" i="1"/>
  <c r="H2848" i="1"/>
  <c r="K2848" i="1"/>
  <c r="Q2848" i="1"/>
  <c r="P2848" i="1"/>
  <c r="J2847" i="1"/>
  <c r="J2846" i="1"/>
  <c r="J2845" i="1"/>
  <c r="J2844" i="1"/>
  <c r="J2842" i="1"/>
  <c r="J2837" i="1"/>
  <c r="J2836" i="1"/>
  <c r="J2835" i="1"/>
  <c r="H2846" i="1"/>
  <c r="H2847" i="1"/>
  <c r="K2846" i="1"/>
  <c r="K2847" i="1"/>
  <c r="Q2846" i="1"/>
  <c r="P2846" i="1"/>
  <c r="Q2847" i="1"/>
  <c r="P2847" i="1"/>
  <c r="H2845" i="1"/>
  <c r="K2845" i="1"/>
  <c r="Q2845" i="1"/>
  <c r="P2845" i="1"/>
  <c r="J2838" i="1"/>
  <c r="H2844" i="1"/>
  <c r="K2844" i="1"/>
  <c r="Q2844" i="1"/>
  <c r="P2844" i="1"/>
  <c r="H2843" i="1"/>
  <c r="K2843" i="1"/>
  <c r="Q2843" i="1"/>
  <c r="P2843" i="1"/>
  <c r="H2836" i="1"/>
  <c r="H2837" i="1"/>
  <c r="H2838" i="1"/>
  <c r="H2839" i="1"/>
  <c r="H2840" i="1"/>
  <c r="H2841" i="1"/>
  <c r="H2842" i="1"/>
  <c r="J2839" i="1"/>
  <c r="J2840" i="1"/>
  <c r="J2841" i="1"/>
  <c r="K2836" i="1"/>
  <c r="K2837" i="1"/>
  <c r="K2838" i="1"/>
  <c r="K2839" i="1"/>
  <c r="K2840" i="1"/>
  <c r="K2841" i="1"/>
  <c r="K2842" i="1"/>
  <c r="Q2836" i="1"/>
  <c r="P2836" i="1"/>
  <c r="Q2837" i="1"/>
  <c r="P2837" i="1"/>
  <c r="Q2838" i="1"/>
  <c r="P2838" i="1"/>
  <c r="Q2839" i="1"/>
  <c r="P2839" i="1"/>
  <c r="Q2840" i="1"/>
  <c r="P2840" i="1"/>
  <c r="Q2841" i="1"/>
  <c r="P2841" i="1"/>
  <c r="Q2842" i="1"/>
  <c r="P2842" i="1"/>
  <c r="H2835" i="1"/>
  <c r="K2835" i="1"/>
  <c r="Q2835" i="1"/>
  <c r="P2835" i="1"/>
  <c r="H2833" i="1"/>
  <c r="H2834" i="1"/>
  <c r="J2833" i="1"/>
  <c r="J2834" i="1"/>
  <c r="K2833" i="1"/>
  <c r="K2834" i="1"/>
  <c r="Q2833" i="1"/>
  <c r="P2833" i="1"/>
  <c r="Q2834" i="1"/>
  <c r="P2834" i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K2822" i="1"/>
  <c r="K2823" i="1"/>
  <c r="K2824" i="1"/>
  <c r="K2825" i="1"/>
  <c r="K2826" i="1"/>
  <c r="K2827" i="1"/>
  <c r="K2828" i="1"/>
  <c r="K2829" i="1"/>
  <c r="K2830" i="1"/>
  <c r="K2831" i="1"/>
  <c r="K2832" i="1"/>
  <c r="Q2822" i="1"/>
  <c r="P2822" i="1"/>
  <c r="Q2823" i="1"/>
  <c r="P2823" i="1"/>
  <c r="Q2824" i="1"/>
  <c r="P2824" i="1"/>
  <c r="Q2825" i="1"/>
  <c r="P2825" i="1"/>
  <c r="Q2826" i="1"/>
  <c r="P2826" i="1"/>
  <c r="Q2827" i="1"/>
  <c r="P2827" i="1"/>
  <c r="Q2828" i="1"/>
  <c r="P2828" i="1"/>
  <c r="Q2829" i="1"/>
  <c r="P2829" i="1"/>
  <c r="Q2830" i="1"/>
  <c r="P2830" i="1"/>
  <c r="Q2831" i="1"/>
  <c r="P2831" i="1"/>
  <c r="Q2832" i="1"/>
  <c r="P2832" i="1"/>
  <c r="H2821" i="1"/>
  <c r="J2821" i="1"/>
  <c r="K2821" i="1"/>
  <c r="Q2821" i="1"/>
  <c r="P2821" i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K2814" i="1"/>
  <c r="K2815" i="1"/>
  <c r="K2816" i="1"/>
  <c r="K2817" i="1"/>
  <c r="K2818" i="1"/>
  <c r="K2819" i="1"/>
  <c r="K2820" i="1"/>
  <c r="Q2814" i="1"/>
  <c r="P2814" i="1"/>
  <c r="Q2815" i="1"/>
  <c r="P2815" i="1"/>
  <c r="Q2816" i="1"/>
  <c r="P2816" i="1"/>
  <c r="Q2817" i="1"/>
  <c r="P2817" i="1"/>
  <c r="Q2818" i="1"/>
  <c r="P2818" i="1"/>
  <c r="Q2819" i="1"/>
  <c r="P2819" i="1"/>
  <c r="Q2820" i="1"/>
  <c r="P2820" i="1"/>
  <c r="H2813" i="1"/>
  <c r="J2813" i="1"/>
  <c r="K2813" i="1"/>
  <c r="Q2813" i="1"/>
  <c r="P2813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Q2503" i="1"/>
  <c r="P2503" i="1"/>
  <c r="Q2504" i="1"/>
  <c r="P2504" i="1"/>
  <c r="Q2505" i="1"/>
  <c r="P2505" i="1"/>
  <c r="Q2506" i="1"/>
  <c r="P2506" i="1"/>
  <c r="Q2507" i="1"/>
  <c r="P2507" i="1"/>
  <c r="Q2508" i="1"/>
  <c r="P2508" i="1"/>
  <c r="Q2509" i="1"/>
  <c r="P2509" i="1"/>
  <c r="Q2510" i="1"/>
  <c r="P2510" i="1"/>
  <c r="Q2511" i="1"/>
  <c r="P2511" i="1"/>
  <c r="Q2512" i="1"/>
  <c r="P2512" i="1"/>
  <c r="Q2513" i="1"/>
  <c r="P2513" i="1"/>
  <c r="Q2514" i="1"/>
  <c r="P2514" i="1"/>
  <c r="Q2515" i="1"/>
  <c r="P2515" i="1"/>
  <c r="Q2516" i="1"/>
  <c r="P2516" i="1"/>
  <c r="Q2517" i="1"/>
  <c r="P2517" i="1"/>
  <c r="Q2518" i="1"/>
  <c r="P2518" i="1"/>
  <c r="Q2519" i="1"/>
  <c r="P2519" i="1"/>
  <c r="Q2520" i="1"/>
  <c r="P2520" i="1"/>
  <c r="Q2521" i="1"/>
  <c r="P2521" i="1"/>
  <c r="Q2522" i="1"/>
  <c r="P2522" i="1"/>
  <c r="Q2523" i="1"/>
  <c r="P2523" i="1"/>
  <c r="Q2524" i="1"/>
  <c r="P2524" i="1"/>
  <c r="Q2525" i="1"/>
  <c r="P2525" i="1"/>
  <c r="Q2526" i="1"/>
  <c r="P2526" i="1"/>
  <c r="Q2527" i="1"/>
  <c r="P2527" i="1"/>
  <c r="Q2528" i="1"/>
  <c r="P2528" i="1"/>
  <c r="Q2529" i="1"/>
  <c r="P2529" i="1"/>
  <c r="Q2530" i="1"/>
  <c r="P2530" i="1"/>
  <c r="Q2531" i="1"/>
  <c r="P2531" i="1"/>
  <c r="Q2532" i="1"/>
  <c r="P2532" i="1"/>
  <c r="Q2533" i="1"/>
  <c r="P2533" i="1"/>
  <c r="Q2534" i="1"/>
  <c r="P2534" i="1"/>
  <c r="Q2535" i="1"/>
  <c r="P2535" i="1"/>
  <c r="Q2536" i="1"/>
  <c r="P2536" i="1"/>
  <c r="Q2537" i="1"/>
  <c r="P2537" i="1"/>
  <c r="Q2538" i="1"/>
  <c r="P2538" i="1"/>
  <c r="Q2539" i="1"/>
  <c r="P2539" i="1"/>
  <c r="Q2540" i="1"/>
  <c r="P2540" i="1"/>
  <c r="Q2541" i="1"/>
  <c r="P2541" i="1"/>
  <c r="Q2542" i="1"/>
  <c r="P2542" i="1"/>
  <c r="Q2543" i="1"/>
  <c r="P2543" i="1"/>
  <c r="Q2544" i="1"/>
  <c r="P2544" i="1"/>
  <c r="Q2545" i="1"/>
  <c r="P2545" i="1"/>
  <c r="Q2546" i="1"/>
  <c r="P2546" i="1"/>
  <c r="Q2547" i="1"/>
  <c r="P2547" i="1"/>
  <c r="Q2548" i="1"/>
  <c r="P2548" i="1"/>
  <c r="Q2549" i="1"/>
  <c r="P2549" i="1"/>
  <c r="Q2550" i="1"/>
  <c r="P2550" i="1"/>
  <c r="Q2551" i="1"/>
  <c r="P2551" i="1"/>
  <c r="Q2552" i="1"/>
  <c r="P2552" i="1"/>
  <c r="Q2553" i="1"/>
  <c r="P2553" i="1"/>
  <c r="Q2554" i="1"/>
  <c r="P2554" i="1"/>
  <c r="Q2555" i="1"/>
  <c r="P2555" i="1"/>
  <c r="Q2556" i="1"/>
  <c r="P2556" i="1"/>
  <c r="Q2557" i="1"/>
  <c r="P2557" i="1"/>
  <c r="Q2558" i="1"/>
  <c r="P2558" i="1"/>
  <c r="Q2559" i="1"/>
  <c r="P2559" i="1"/>
  <c r="Q2560" i="1"/>
  <c r="P2560" i="1"/>
  <c r="Q2561" i="1"/>
  <c r="P2561" i="1"/>
  <c r="Q2562" i="1"/>
  <c r="P2562" i="1"/>
  <c r="Q2563" i="1"/>
  <c r="P2563" i="1"/>
  <c r="Q2564" i="1"/>
  <c r="P2564" i="1"/>
  <c r="Q2565" i="1"/>
  <c r="P2565" i="1"/>
  <c r="Q2566" i="1"/>
  <c r="P2566" i="1"/>
  <c r="Q2567" i="1"/>
  <c r="P2567" i="1"/>
  <c r="Q2568" i="1"/>
  <c r="P2568" i="1"/>
  <c r="Q2569" i="1"/>
  <c r="P2569" i="1"/>
  <c r="Q2570" i="1"/>
  <c r="P2570" i="1"/>
  <c r="Q2571" i="1"/>
  <c r="P2571" i="1"/>
  <c r="Q2572" i="1"/>
  <c r="P2572" i="1"/>
  <c r="Q2573" i="1"/>
  <c r="P2573" i="1"/>
  <c r="Q2574" i="1"/>
  <c r="P2574" i="1"/>
  <c r="Q2575" i="1"/>
  <c r="P2575" i="1"/>
  <c r="Q2576" i="1"/>
  <c r="P2576" i="1"/>
  <c r="Q2577" i="1"/>
  <c r="P2577" i="1"/>
  <c r="Q2578" i="1"/>
  <c r="P2578" i="1"/>
  <c r="Q2579" i="1"/>
  <c r="P2579" i="1"/>
  <c r="Q2580" i="1"/>
  <c r="P2580" i="1"/>
  <c r="Q2581" i="1"/>
  <c r="P2581" i="1"/>
  <c r="Q2582" i="1"/>
  <c r="P2582" i="1"/>
  <c r="Q2583" i="1"/>
  <c r="P2583" i="1"/>
  <c r="Q2584" i="1"/>
  <c r="P2584" i="1"/>
  <c r="Q2585" i="1"/>
  <c r="P2585" i="1"/>
  <c r="Q2586" i="1"/>
  <c r="P2586" i="1"/>
  <c r="Q2587" i="1"/>
  <c r="P2587" i="1"/>
  <c r="Q2588" i="1"/>
  <c r="P2588" i="1"/>
  <c r="Q2589" i="1"/>
  <c r="P2589" i="1"/>
  <c r="Q2590" i="1"/>
  <c r="P2590" i="1"/>
  <c r="Q2591" i="1"/>
  <c r="P2591" i="1"/>
  <c r="Q2592" i="1"/>
  <c r="P2592" i="1"/>
  <c r="Q2593" i="1"/>
  <c r="P2593" i="1"/>
  <c r="Q2594" i="1"/>
  <c r="P2594" i="1"/>
  <c r="Q2595" i="1"/>
  <c r="P2595" i="1"/>
  <c r="Q2596" i="1"/>
  <c r="P2596" i="1"/>
  <c r="Q2597" i="1"/>
  <c r="P2597" i="1"/>
  <c r="Q2598" i="1"/>
  <c r="P2598" i="1"/>
  <c r="Q2599" i="1"/>
  <c r="P2599" i="1"/>
  <c r="Q2600" i="1"/>
  <c r="P2600" i="1"/>
  <c r="Q2601" i="1"/>
  <c r="P2601" i="1"/>
  <c r="Q2602" i="1"/>
  <c r="P2602" i="1"/>
  <c r="Q2603" i="1"/>
  <c r="P2603" i="1"/>
  <c r="Q2604" i="1"/>
  <c r="P2604" i="1"/>
  <c r="Q2605" i="1"/>
  <c r="P2605" i="1"/>
  <c r="Q2606" i="1"/>
  <c r="P2606" i="1"/>
  <c r="Q2607" i="1"/>
  <c r="P2607" i="1"/>
  <c r="Q2608" i="1"/>
  <c r="P2608" i="1"/>
  <c r="Q2609" i="1"/>
  <c r="P2609" i="1"/>
  <c r="Q2610" i="1"/>
  <c r="P2610" i="1"/>
  <c r="Q2611" i="1"/>
  <c r="P2611" i="1"/>
  <c r="Q2612" i="1"/>
  <c r="P2612" i="1"/>
  <c r="Q2613" i="1"/>
  <c r="P2613" i="1"/>
  <c r="Q2614" i="1"/>
  <c r="P2614" i="1"/>
  <c r="Q2615" i="1"/>
  <c r="P2615" i="1"/>
  <c r="Q2616" i="1"/>
  <c r="P2616" i="1"/>
  <c r="Q2617" i="1"/>
  <c r="P2617" i="1"/>
  <c r="Q2618" i="1"/>
  <c r="P2618" i="1"/>
  <c r="Q2619" i="1"/>
  <c r="P2619" i="1"/>
  <c r="Q2620" i="1"/>
  <c r="P2620" i="1"/>
  <c r="Q2621" i="1"/>
  <c r="P2621" i="1"/>
  <c r="Q2622" i="1"/>
  <c r="P2622" i="1"/>
  <c r="Q2623" i="1"/>
  <c r="P2623" i="1"/>
  <c r="Q2624" i="1"/>
  <c r="P2624" i="1"/>
  <c r="Q2625" i="1"/>
  <c r="P2625" i="1"/>
  <c r="Q2626" i="1"/>
  <c r="P2626" i="1"/>
  <c r="Q2627" i="1"/>
  <c r="P2627" i="1"/>
  <c r="Q2628" i="1"/>
  <c r="P2628" i="1"/>
  <c r="Q2629" i="1"/>
  <c r="P2629" i="1"/>
  <c r="Q2630" i="1"/>
  <c r="P2630" i="1"/>
  <c r="Q2631" i="1"/>
  <c r="P2631" i="1"/>
  <c r="Q2632" i="1"/>
  <c r="P2632" i="1"/>
  <c r="Q2633" i="1"/>
  <c r="P2633" i="1"/>
  <c r="Q2634" i="1"/>
  <c r="P2634" i="1"/>
  <c r="Q2635" i="1"/>
  <c r="P2635" i="1"/>
  <c r="Q2636" i="1"/>
  <c r="P2636" i="1"/>
  <c r="Q2637" i="1"/>
  <c r="P2637" i="1"/>
  <c r="Q2638" i="1"/>
  <c r="P2638" i="1"/>
  <c r="Q2639" i="1"/>
  <c r="P2639" i="1"/>
  <c r="Q2640" i="1"/>
  <c r="P2640" i="1"/>
  <c r="Q2641" i="1"/>
  <c r="P2641" i="1"/>
  <c r="Q2642" i="1"/>
  <c r="P2642" i="1"/>
  <c r="Q2643" i="1"/>
  <c r="P2643" i="1"/>
  <c r="Q2644" i="1"/>
  <c r="P2644" i="1"/>
  <c r="Q2645" i="1"/>
  <c r="P2645" i="1"/>
  <c r="Q2646" i="1"/>
  <c r="P2646" i="1"/>
  <c r="Q2647" i="1"/>
  <c r="P2647" i="1"/>
  <c r="Q2648" i="1"/>
  <c r="P2648" i="1"/>
  <c r="Q2649" i="1"/>
  <c r="P2649" i="1"/>
  <c r="Q2650" i="1"/>
  <c r="P2650" i="1"/>
  <c r="Q2651" i="1"/>
  <c r="P2651" i="1"/>
  <c r="Q2652" i="1"/>
  <c r="P2652" i="1"/>
  <c r="Q2653" i="1"/>
  <c r="P2653" i="1"/>
  <c r="Q2654" i="1"/>
  <c r="P2654" i="1"/>
  <c r="Q2655" i="1"/>
  <c r="P2655" i="1"/>
  <c r="Q2656" i="1"/>
  <c r="P2656" i="1"/>
  <c r="Q2657" i="1"/>
  <c r="P2657" i="1"/>
  <c r="Q2658" i="1"/>
  <c r="P2658" i="1"/>
  <c r="Q2659" i="1"/>
  <c r="P2659" i="1"/>
  <c r="Q2660" i="1"/>
  <c r="P2660" i="1"/>
  <c r="Q2661" i="1"/>
  <c r="P2661" i="1"/>
  <c r="Q2662" i="1"/>
  <c r="P2662" i="1"/>
  <c r="Q2663" i="1"/>
  <c r="P2663" i="1"/>
  <c r="Q2664" i="1"/>
  <c r="P2664" i="1"/>
  <c r="Q2665" i="1"/>
  <c r="P2665" i="1"/>
  <c r="Q2666" i="1"/>
  <c r="P2666" i="1"/>
  <c r="Q2667" i="1"/>
  <c r="P2667" i="1"/>
  <c r="Q2668" i="1"/>
  <c r="P2668" i="1"/>
  <c r="Q2669" i="1"/>
  <c r="P2669" i="1"/>
  <c r="Q2670" i="1"/>
  <c r="P2670" i="1"/>
  <c r="Q2671" i="1"/>
  <c r="P2671" i="1"/>
  <c r="Q2672" i="1"/>
  <c r="P2672" i="1"/>
  <c r="Q2673" i="1"/>
  <c r="P2673" i="1"/>
  <c r="Q2674" i="1"/>
  <c r="P2674" i="1"/>
  <c r="Q2675" i="1"/>
  <c r="P2675" i="1"/>
  <c r="Q2676" i="1"/>
  <c r="P2676" i="1"/>
  <c r="Q2677" i="1"/>
  <c r="P2677" i="1"/>
  <c r="Q2678" i="1"/>
  <c r="P2678" i="1"/>
  <c r="Q2679" i="1"/>
  <c r="P2679" i="1"/>
  <c r="Q2680" i="1"/>
  <c r="P2680" i="1"/>
  <c r="Q2681" i="1"/>
  <c r="P2681" i="1"/>
  <c r="Q2682" i="1"/>
  <c r="P2682" i="1"/>
  <c r="Q2683" i="1"/>
  <c r="P2683" i="1"/>
  <c r="Q2684" i="1"/>
  <c r="P2684" i="1"/>
  <c r="Q2685" i="1"/>
  <c r="P2685" i="1"/>
  <c r="Q2686" i="1"/>
  <c r="P2686" i="1"/>
  <c r="Q2687" i="1"/>
  <c r="P2687" i="1"/>
  <c r="Q2688" i="1"/>
  <c r="P2688" i="1"/>
  <c r="Q2689" i="1"/>
  <c r="P2689" i="1"/>
  <c r="Q2690" i="1"/>
  <c r="P2690" i="1"/>
  <c r="Q2691" i="1"/>
  <c r="P2691" i="1"/>
  <c r="Q2692" i="1"/>
  <c r="P2692" i="1"/>
  <c r="Q2693" i="1"/>
  <c r="P2693" i="1"/>
  <c r="Q2694" i="1"/>
  <c r="P2694" i="1"/>
  <c r="Q2695" i="1"/>
  <c r="P2695" i="1"/>
  <c r="Q2696" i="1"/>
  <c r="P2696" i="1"/>
  <c r="Q2697" i="1"/>
  <c r="P2697" i="1"/>
  <c r="Q2698" i="1"/>
  <c r="P2698" i="1"/>
  <c r="Q2699" i="1"/>
  <c r="P2699" i="1"/>
  <c r="Q2700" i="1"/>
  <c r="P2700" i="1"/>
  <c r="Q2701" i="1"/>
  <c r="P2701" i="1"/>
  <c r="Q2702" i="1"/>
  <c r="P2702" i="1"/>
  <c r="Q2703" i="1"/>
  <c r="P2703" i="1"/>
  <c r="Q2704" i="1"/>
  <c r="P2704" i="1"/>
  <c r="Q2705" i="1"/>
  <c r="P2705" i="1"/>
  <c r="Q2706" i="1"/>
  <c r="P2706" i="1"/>
  <c r="Q2707" i="1"/>
  <c r="P2707" i="1"/>
  <c r="Q2708" i="1"/>
  <c r="P2708" i="1"/>
  <c r="Q2709" i="1"/>
  <c r="P2709" i="1"/>
  <c r="Q2710" i="1"/>
  <c r="P2710" i="1"/>
  <c r="Q2711" i="1"/>
  <c r="P2711" i="1"/>
  <c r="Q2712" i="1"/>
  <c r="P2712" i="1"/>
  <c r="Q2713" i="1"/>
  <c r="P2713" i="1"/>
  <c r="Q2714" i="1"/>
  <c r="P2714" i="1"/>
  <c r="Q2715" i="1"/>
  <c r="P2715" i="1"/>
  <c r="Q2716" i="1"/>
  <c r="P2716" i="1"/>
  <c r="Q2717" i="1"/>
  <c r="P2717" i="1"/>
  <c r="Q2718" i="1"/>
  <c r="P2718" i="1"/>
  <c r="Q2719" i="1"/>
  <c r="P2719" i="1"/>
  <c r="Q2720" i="1"/>
  <c r="P2720" i="1"/>
  <c r="Q2721" i="1"/>
  <c r="P2721" i="1"/>
  <c r="Q2722" i="1"/>
  <c r="P2722" i="1"/>
  <c r="Q2723" i="1"/>
  <c r="P2723" i="1"/>
  <c r="Q2724" i="1"/>
  <c r="P2724" i="1"/>
  <c r="Q2725" i="1"/>
  <c r="P2725" i="1"/>
  <c r="Q2726" i="1"/>
  <c r="P2726" i="1"/>
  <c r="Q2727" i="1"/>
  <c r="P2727" i="1"/>
  <c r="Q2728" i="1"/>
  <c r="P2728" i="1"/>
  <c r="Q2729" i="1"/>
  <c r="P2729" i="1"/>
  <c r="Q2730" i="1"/>
  <c r="P2730" i="1"/>
  <c r="Q2731" i="1"/>
  <c r="P2731" i="1"/>
  <c r="Q2732" i="1"/>
  <c r="P2732" i="1"/>
  <c r="Q2733" i="1"/>
  <c r="P2733" i="1"/>
  <c r="Q2734" i="1"/>
  <c r="P2734" i="1"/>
  <c r="Q2735" i="1"/>
  <c r="P2735" i="1"/>
  <c r="Q2736" i="1"/>
  <c r="P2736" i="1"/>
  <c r="Q2737" i="1"/>
  <c r="P2737" i="1"/>
  <c r="Q2738" i="1"/>
  <c r="P2738" i="1"/>
  <c r="Q2739" i="1"/>
  <c r="P2739" i="1"/>
  <c r="Q2740" i="1"/>
  <c r="P2740" i="1"/>
  <c r="Q2741" i="1"/>
  <c r="P2741" i="1"/>
  <c r="Q2742" i="1"/>
  <c r="P2742" i="1"/>
  <c r="Q2743" i="1"/>
  <c r="P2743" i="1"/>
  <c r="Q2744" i="1"/>
  <c r="P2744" i="1"/>
  <c r="Q2745" i="1"/>
  <c r="P2745" i="1"/>
  <c r="Q2746" i="1"/>
  <c r="P2746" i="1"/>
  <c r="Q2747" i="1"/>
  <c r="P2747" i="1"/>
  <c r="Q2748" i="1"/>
  <c r="P2748" i="1"/>
  <c r="Q2749" i="1"/>
  <c r="P2749" i="1"/>
  <c r="Q2750" i="1"/>
  <c r="P2750" i="1"/>
  <c r="Q2751" i="1"/>
  <c r="P2751" i="1"/>
  <c r="Q2752" i="1"/>
  <c r="P2752" i="1"/>
  <c r="Q2753" i="1"/>
  <c r="P2753" i="1"/>
  <c r="Q2754" i="1"/>
  <c r="P2754" i="1"/>
  <c r="Q2755" i="1"/>
  <c r="P2755" i="1"/>
  <c r="Q2756" i="1"/>
  <c r="P2756" i="1"/>
  <c r="Q2757" i="1"/>
  <c r="P2757" i="1"/>
  <c r="Q2758" i="1"/>
  <c r="P2758" i="1"/>
  <c r="Q2759" i="1"/>
  <c r="P2759" i="1"/>
  <c r="Q2760" i="1"/>
  <c r="P2760" i="1"/>
  <c r="Q2761" i="1"/>
  <c r="P2761" i="1"/>
  <c r="Q2762" i="1"/>
  <c r="P2762" i="1"/>
  <c r="Q2763" i="1"/>
  <c r="P2763" i="1"/>
  <c r="Q2764" i="1"/>
  <c r="P2764" i="1"/>
  <c r="Q2765" i="1"/>
  <c r="P2765" i="1"/>
  <c r="Q2766" i="1"/>
  <c r="P2766" i="1"/>
  <c r="Q2767" i="1"/>
  <c r="P2767" i="1"/>
  <c r="Q2768" i="1"/>
  <c r="P2768" i="1"/>
  <c r="Q2769" i="1"/>
  <c r="P2769" i="1"/>
  <c r="Q2770" i="1"/>
  <c r="P2770" i="1"/>
  <c r="Q2771" i="1"/>
  <c r="P2771" i="1"/>
  <c r="Q2772" i="1"/>
  <c r="P2772" i="1"/>
  <c r="Q2773" i="1"/>
  <c r="P2773" i="1"/>
  <c r="Q2774" i="1"/>
  <c r="P2774" i="1"/>
  <c r="Q2775" i="1"/>
  <c r="P2775" i="1"/>
  <c r="Q2776" i="1"/>
  <c r="P2776" i="1"/>
  <c r="Q2777" i="1"/>
  <c r="P2777" i="1"/>
  <c r="Q2778" i="1"/>
  <c r="P2778" i="1"/>
  <c r="Q2779" i="1"/>
  <c r="P2779" i="1"/>
  <c r="Q2780" i="1"/>
  <c r="P2780" i="1"/>
  <c r="Q2781" i="1"/>
  <c r="P2781" i="1"/>
  <c r="Q2782" i="1"/>
  <c r="P2782" i="1"/>
  <c r="Q2783" i="1"/>
  <c r="P2783" i="1"/>
  <c r="Q2784" i="1"/>
  <c r="P2784" i="1"/>
  <c r="Q2785" i="1"/>
  <c r="P2785" i="1"/>
  <c r="Q2786" i="1"/>
  <c r="P2786" i="1"/>
  <c r="Q2787" i="1"/>
  <c r="P2787" i="1"/>
  <c r="Q2788" i="1"/>
  <c r="P2788" i="1"/>
  <c r="Q2789" i="1"/>
  <c r="P2789" i="1"/>
  <c r="Q2790" i="1"/>
  <c r="P2790" i="1"/>
  <c r="Q2791" i="1"/>
  <c r="P2791" i="1"/>
  <c r="Q2792" i="1"/>
  <c r="P2792" i="1"/>
  <c r="Q2793" i="1"/>
  <c r="P2793" i="1"/>
  <c r="Q2794" i="1"/>
  <c r="P2794" i="1"/>
  <c r="Q2795" i="1"/>
  <c r="P2795" i="1"/>
  <c r="Q2796" i="1"/>
  <c r="P2796" i="1"/>
  <c r="Q2797" i="1"/>
  <c r="P2797" i="1"/>
  <c r="Q2798" i="1"/>
  <c r="P2798" i="1"/>
  <c r="Q2799" i="1"/>
  <c r="P2799" i="1"/>
  <c r="Q2800" i="1"/>
  <c r="P2800" i="1"/>
  <c r="Q2801" i="1"/>
  <c r="P2801" i="1"/>
  <c r="Q2802" i="1"/>
  <c r="P2802" i="1"/>
  <c r="Q2803" i="1"/>
  <c r="P2803" i="1"/>
  <c r="Q2804" i="1"/>
  <c r="P2804" i="1"/>
  <c r="Q2805" i="1"/>
  <c r="P2805" i="1"/>
  <c r="Q2806" i="1"/>
  <c r="P2806" i="1"/>
  <c r="Q2807" i="1"/>
  <c r="P2807" i="1"/>
  <c r="Q2808" i="1"/>
  <c r="P2808" i="1"/>
  <c r="Q2809" i="1"/>
  <c r="P2809" i="1"/>
  <c r="Q2810" i="1"/>
  <c r="P2810" i="1"/>
  <c r="Q2811" i="1"/>
  <c r="P2811" i="1"/>
  <c r="Q2812" i="1"/>
  <c r="P2812" i="1"/>
  <c r="H2502" i="1"/>
  <c r="J2502" i="1"/>
  <c r="K2502" i="1"/>
  <c r="Q2502" i="1"/>
  <c r="P2502" i="1"/>
  <c r="H2501" i="1"/>
  <c r="J2501" i="1"/>
  <c r="K2501" i="1"/>
  <c r="Q2501" i="1"/>
  <c r="P2501" i="1"/>
  <c r="H2500" i="1"/>
  <c r="J2500" i="1"/>
  <c r="K2500" i="1"/>
  <c r="Q2500" i="1"/>
  <c r="P2500" i="1"/>
  <c r="H2499" i="1"/>
  <c r="J2499" i="1"/>
  <c r="K2499" i="1"/>
  <c r="Q2499" i="1"/>
  <c r="P2499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K2488" i="1"/>
  <c r="K2489" i="1"/>
  <c r="K2490" i="1"/>
  <c r="K2491" i="1"/>
  <c r="K2492" i="1"/>
  <c r="K2493" i="1"/>
  <c r="K2494" i="1"/>
  <c r="K2495" i="1"/>
  <c r="K2496" i="1"/>
  <c r="K2497" i="1"/>
  <c r="K2498" i="1"/>
  <c r="Q2488" i="1"/>
  <c r="P2488" i="1"/>
  <c r="Q2489" i="1"/>
  <c r="P2489" i="1"/>
  <c r="Q2490" i="1"/>
  <c r="P2490" i="1"/>
  <c r="Q2491" i="1"/>
  <c r="P2491" i="1"/>
  <c r="Q2492" i="1"/>
  <c r="P2492" i="1"/>
  <c r="Q2493" i="1"/>
  <c r="P2493" i="1"/>
  <c r="Q2494" i="1"/>
  <c r="P2494" i="1"/>
  <c r="Q2495" i="1"/>
  <c r="P2495" i="1"/>
  <c r="Q2496" i="1"/>
  <c r="P2496" i="1"/>
  <c r="Q2497" i="1"/>
  <c r="P2497" i="1"/>
  <c r="Q2498" i="1"/>
  <c r="P2498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Q2431" i="1"/>
  <c r="P2431" i="1"/>
  <c r="Q2432" i="1"/>
  <c r="P2432" i="1"/>
  <c r="Q2433" i="1"/>
  <c r="P2433" i="1"/>
  <c r="Q2434" i="1"/>
  <c r="P2434" i="1"/>
  <c r="Q2435" i="1"/>
  <c r="P2435" i="1"/>
  <c r="Q2436" i="1"/>
  <c r="P2436" i="1"/>
  <c r="Q2437" i="1"/>
  <c r="P2437" i="1"/>
  <c r="Q2438" i="1"/>
  <c r="P2438" i="1"/>
  <c r="Q2439" i="1"/>
  <c r="P2439" i="1"/>
  <c r="Q2440" i="1"/>
  <c r="P2440" i="1"/>
  <c r="Q2441" i="1"/>
  <c r="P2441" i="1"/>
  <c r="Q2442" i="1"/>
  <c r="P2442" i="1"/>
  <c r="Q2443" i="1"/>
  <c r="P2443" i="1"/>
  <c r="Q2444" i="1"/>
  <c r="P2444" i="1"/>
  <c r="Q2445" i="1"/>
  <c r="P2445" i="1"/>
  <c r="Q2446" i="1"/>
  <c r="P2446" i="1"/>
  <c r="Q2447" i="1"/>
  <c r="P2447" i="1"/>
  <c r="Q2448" i="1"/>
  <c r="P2448" i="1"/>
  <c r="Q2449" i="1"/>
  <c r="P2449" i="1"/>
  <c r="Q2450" i="1"/>
  <c r="P2450" i="1"/>
  <c r="Q2451" i="1"/>
  <c r="P2451" i="1"/>
  <c r="Q2452" i="1"/>
  <c r="P2452" i="1"/>
  <c r="Q2453" i="1"/>
  <c r="P2453" i="1"/>
  <c r="Q2454" i="1"/>
  <c r="P2454" i="1"/>
  <c r="Q2455" i="1"/>
  <c r="P2455" i="1"/>
  <c r="Q2456" i="1"/>
  <c r="P2456" i="1"/>
  <c r="Q2457" i="1"/>
  <c r="P2457" i="1"/>
  <c r="Q2458" i="1"/>
  <c r="P2458" i="1"/>
  <c r="Q2459" i="1"/>
  <c r="P2459" i="1"/>
  <c r="Q2460" i="1"/>
  <c r="P2460" i="1"/>
  <c r="Q2461" i="1"/>
  <c r="P2461" i="1"/>
  <c r="Q2462" i="1"/>
  <c r="P2462" i="1"/>
  <c r="Q2463" i="1"/>
  <c r="P2463" i="1"/>
  <c r="Q2464" i="1"/>
  <c r="P2464" i="1"/>
  <c r="Q2465" i="1"/>
  <c r="P2465" i="1"/>
  <c r="Q2466" i="1"/>
  <c r="P2466" i="1"/>
  <c r="Q2467" i="1"/>
  <c r="P2467" i="1"/>
  <c r="Q2468" i="1"/>
  <c r="P2468" i="1"/>
  <c r="Q2469" i="1"/>
  <c r="P2469" i="1"/>
  <c r="Q2470" i="1"/>
  <c r="P2470" i="1"/>
  <c r="Q2471" i="1"/>
  <c r="P2471" i="1"/>
  <c r="Q2472" i="1"/>
  <c r="P2472" i="1"/>
  <c r="Q2473" i="1"/>
  <c r="P2473" i="1"/>
  <c r="Q2474" i="1"/>
  <c r="P2474" i="1"/>
  <c r="Q2475" i="1"/>
  <c r="P2475" i="1"/>
  <c r="Q2476" i="1"/>
  <c r="P2476" i="1"/>
  <c r="Q2477" i="1"/>
  <c r="P2477" i="1"/>
  <c r="Q2478" i="1"/>
  <c r="P2478" i="1"/>
  <c r="Q2479" i="1"/>
  <c r="P2479" i="1"/>
  <c r="Q2480" i="1"/>
  <c r="P2480" i="1"/>
  <c r="Q2481" i="1"/>
  <c r="P2481" i="1"/>
  <c r="Q2482" i="1"/>
  <c r="P2482" i="1"/>
  <c r="Q2483" i="1"/>
  <c r="P2483" i="1"/>
  <c r="Q2484" i="1"/>
  <c r="P2484" i="1"/>
  <c r="Q2485" i="1"/>
  <c r="P2485" i="1"/>
  <c r="Q2486" i="1"/>
  <c r="P2486" i="1"/>
  <c r="Q2487" i="1"/>
  <c r="P2487" i="1"/>
  <c r="H2430" i="1"/>
  <c r="J2430" i="1"/>
  <c r="K2430" i="1"/>
  <c r="Q2430" i="1"/>
  <c r="P2430" i="1"/>
  <c r="H2429" i="1"/>
  <c r="J2429" i="1"/>
  <c r="K2429" i="1"/>
  <c r="Q2429" i="1"/>
  <c r="P2429" i="1"/>
  <c r="H2428" i="1"/>
  <c r="J2428" i="1"/>
  <c r="K2428" i="1"/>
  <c r="Q2428" i="1"/>
  <c r="P2428" i="1"/>
  <c r="H2427" i="1"/>
  <c r="J2427" i="1"/>
  <c r="K2427" i="1"/>
  <c r="Q2427" i="1"/>
  <c r="P2427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K2419" i="1"/>
  <c r="K2420" i="1"/>
  <c r="K2421" i="1"/>
  <c r="K2422" i="1"/>
  <c r="K2423" i="1"/>
  <c r="K2424" i="1"/>
  <c r="K2425" i="1"/>
  <c r="K2426" i="1"/>
  <c r="Q2419" i="1"/>
  <c r="P2419" i="1"/>
  <c r="Q2420" i="1"/>
  <c r="P2420" i="1"/>
  <c r="Q2421" i="1"/>
  <c r="P2421" i="1"/>
  <c r="Q2422" i="1"/>
  <c r="P2422" i="1"/>
  <c r="Q2423" i="1"/>
  <c r="P2423" i="1"/>
  <c r="Q2424" i="1"/>
  <c r="P2424" i="1"/>
  <c r="Q2425" i="1"/>
  <c r="P2425" i="1"/>
  <c r="Q2426" i="1"/>
  <c r="P2426" i="1"/>
  <c r="H2418" i="1"/>
  <c r="J2418" i="1"/>
  <c r="K2418" i="1"/>
  <c r="Q2418" i="1"/>
  <c r="P2418" i="1"/>
  <c r="H2417" i="1"/>
  <c r="J2417" i="1"/>
  <c r="K2417" i="1"/>
  <c r="Q2417" i="1"/>
  <c r="P2417" i="1"/>
  <c r="H2416" i="1"/>
  <c r="J2416" i="1"/>
  <c r="K2416" i="1"/>
  <c r="Q2416" i="1"/>
  <c r="P2416" i="1"/>
  <c r="H2415" i="1"/>
  <c r="J2415" i="1"/>
  <c r="K2415" i="1"/>
  <c r="Q2415" i="1"/>
  <c r="P2415" i="1"/>
  <c r="H2414" i="1"/>
  <c r="J2414" i="1"/>
  <c r="K2414" i="1"/>
  <c r="Q2414" i="1"/>
  <c r="P2414" i="1"/>
  <c r="H2413" i="1"/>
  <c r="J2413" i="1"/>
  <c r="K2413" i="1"/>
  <c r="Q2413" i="1"/>
  <c r="P2413" i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/>
  <c r="Q2410" i="1"/>
  <c r="P2410" i="1"/>
  <c r="Q2411" i="1"/>
  <c r="P2411" i="1"/>
  <c r="Q2412" i="1"/>
  <c r="P2412" i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K2408" i="1"/>
  <c r="Q2408" i="1"/>
  <c r="P2408" i="1"/>
  <c r="H2407" i="1"/>
  <c r="J2407" i="1"/>
  <c r="K2407" i="1"/>
  <c r="Q2407" i="1"/>
  <c r="P2407" i="1"/>
  <c r="H2406" i="1"/>
  <c r="K2406" i="1"/>
  <c r="Q2406" i="1"/>
  <c r="P2406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/>
  <c r="Q2393" i="1"/>
  <c r="P2393" i="1"/>
  <c r="Q2394" i="1"/>
  <c r="P2394" i="1"/>
  <c r="Q2395" i="1"/>
  <c r="P2395" i="1"/>
  <c r="Q2396" i="1"/>
  <c r="P2396" i="1"/>
  <c r="Q2397" i="1"/>
  <c r="P2397" i="1"/>
  <c r="Q2398" i="1"/>
  <c r="P2398" i="1"/>
  <c r="Q2399" i="1"/>
  <c r="P2399" i="1"/>
  <c r="Q2400" i="1"/>
  <c r="P2400" i="1"/>
  <c r="Q2401" i="1"/>
  <c r="P2401" i="1"/>
  <c r="Q2402" i="1"/>
  <c r="P2402" i="1"/>
  <c r="Q2403" i="1"/>
  <c r="P2403" i="1"/>
  <c r="Q2404" i="1"/>
  <c r="P2404" i="1"/>
  <c r="Q2405" i="1"/>
  <c r="P2405" i="1"/>
  <c r="Q2391" i="1"/>
  <c r="P2391" i="1"/>
  <c r="Q2390" i="1"/>
  <c r="P2390" i="1"/>
  <c r="Q2389" i="1"/>
  <c r="P2389" i="1"/>
  <c r="Q2388" i="1"/>
  <c r="P2388" i="1"/>
  <c r="Q2387" i="1"/>
  <c r="P2387" i="1"/>
  <c r="Q2386" i="1"/>
  <c r="P2386" i="1"/>
  <c r="Q2385" i="1"/>
  <c r="P2385" i="1"/>
  <c r="Q2384" i="1"/>
  <c r="P2384" i="1"/>
  <c r="Q2383" i="1"/>
  <c r="P2383" i="1"/>
  <c r="Q2382" i="1"/>
  <c r="P2382" i="1"/>
  <c r="Q2381" i="1"/>
  <c r="P2381" i="1"/>
  <c r="Q2380" i="1"/>
  <c r="P2380" i="1"/>
  <c r="Q2379" i="1"/>
  <c r="P2379" i="1"/>
  <c r="Q2378" i="1"/>
  <c r="P2378" i="1"/>
  <c r="Q2377" i="1"/>
  <c r="P2377" i="1"/>
  <c r="Q2376" i="1"/>
  <c r="P2376" i="1"/>
  <c r="Q2375" i="1"/>
  <c r="P2375" i="1"/>
  <c r="Q2374" i="1"/>
  <c r="P2374" i="1"/>
  <c r="Q2373" i="1"/>
  <c r="P2373" i="1"/>
  <c r="Q2372" i="1"/>
  <c r="P2372" i="1"/>
  <c r="Q2371" i="1"/>
  <c r="P2371" i="1"/>
  <c r="Q2370" i="1"/>
  <c r="P2370" i="1"/>
  <c r="Q2369" i="1"/>
  <c r="P2369" i="1"/>
  <c r="Q2368" i="1"/>
  <c r="P2368" i="1"/>
  <c r="Q2367" i="1"/>
  <c r="P2367" i="1"/>
  <c r="Q2366" i="1"/>
  <c r="P2366" i="1"/>
  <c r="Q2365" i="1"/>
  <c r="P2365" i="1"/>
  <c r="Q2364" i="1"/>
  <c r="P2364" i="1"/>
  <c r="Q2363" i="1"/>
  <c r="P2363" i="1"/>
  <c r="Q2362" i="1"/>
  <c r="P2362" i="1"/>
  <c r="Q2361" i="1"/>
  <c r="P2361" i="1"/>
  <c r="Q2360" i="1"/>
  <c r="P2360" i="1"/>
  <c r="Q2359" i="1"/>
  <c r="P2359" i="1"/>
  <c r="Q2358" i="1"/>
  <c r="P2358" i="1"/>
  <c r="Q2357" i="1"/>
  <c r="P2357" i="1"/>
  <c r="Q2356" i="1"/>
  <c r="P2356" i="1"/>
  <c r="Q2355" i="1"/>
  <c r="P2355" i="1"/>
  <c r="Q2354" i="1"/>
  <c r="P2354" i="1"/>
  <c r="Q2353" i="1"/>
  <c r="P2353" i="1"/>
  <c r="Q2352" i="1"/>
  <c r="P2352" i="1"/>
  <c r="Q2351" i="1"/>
  <c r="P2351" i="1"/>
  <c r="Q2350" i="1"/>
  <c r="P2350" i="1"/>
  <c r="Q2349" i="1"/>
  <c r="P2349" i="1"/>
  <c r="Q2348" i="1"/>
  <c r="P2348" i="1"/>
  <c r="Q2347" i="1"/>
  <c r="P2347" i="1"/>
  <c r="Q2346" i="1"/>
  <c r="P2346" i="1"/>
  <c r="Q2345" i="1"/>
  <c r="P2345" i="1"/>
  <c r="Q2344" i="1"/>
  <c r="P2344" i="1"/>
  <c r="Q2343" i="1"/>
  <c r="P2343" i="1"/>
  <c r="Q2342" i="1"/>
  <c r="P2342" i="1"/>
  <c r="Q2341" i="1"/>
  <c r="P2341" i="1"/>
  <c r="Q2340" i="1"/>
  <c r="P2340" i="1"/>
  <c r="Q2339" i="1"/>
  <c r="P2339" i="1"/>
  <c r="Q2338" i="1"/>
  <c r="P2338" i="1"/>
  <c r="Q2337" i="1"/>
  <c r="P2337" i="1"/>
  <c r="Q2336" i="1"/>
  <c r="P2336" i="1"/>
  <c r="Q2335" i="1"/>
  <c r="P2335" i="1"/>
  <c r="Q2334" i="1"/>
  <c r="P2334" i="1"/>
  <c r="Q2333" i="1"/>
  <c r="P2333" i="1"/>
  <c r="Q2332" i="1"/>
  <c r="P2332" i="1"/>
  <c r="Q2331" i="1"/>
  <c r="P2331" i="1"/>
  <c r="Q2330" i="1"/>
  <c r="P2330" i="1"/>
  <c r="Q2329" i="1"/>
  <c r="P2329" i="1"/>
  <c r="Q2328" i="1"/>
  <c r="P2328" i="1"/>
  <c r="Q2327" i="1"/>
  <c r="P2327" i="1"/>
  <c r="Q2326" i="1"/>
  <c r="P2326" i="1"/>
  <c r="Q2325" i="1"/>
  <c r="P2325" i="1"/>
  <c r="Q2324" i="1"/>
  <c r="P2324" i="1"/>
  <c r="Q2323" i="1"/>
  <c r="P2323" i="1"/>
  <c r="Q2322" i="1"/>
  <c r="P2322" i="1"/>
  <c r="Q2321" i="1"/>
  <c r="P2321" i="1"/>
  <c r="Q2320" i="1"/>
  <c r="P2320" i="1"/>
  <c r="Q2319" i="1"/>
  <c r="P2319" i="1"/>
  <c r="Q2318" i="1"/>
  <c r="P2318" i="1"/>
  <c r="Q2317" i="1"/>
  <c r="P2317" i="1"/>
  <c r="Q2316" i="1"/>
  <c r="P2316" i="1"/>
  <c r="Q2315" i="1"/>
  <c r="P2315" i="1"/>
  <c r="Q2314" i="1"/>
  <c r="P2314" i="1"/>
  <c r="Q2313" i="1"/>
  <c r="P2313" i="1"/>
  <c r="Q2312" i="1"/>
  <c r="P2312" i="1"/>
  <c r="Q2311" i="1"/>
  <c r="P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H2310" i="1"/>
  <c r="J2310" i="1"/>
  <c r="K2310" i="1"/>
  <c r="Q2310" i="1"/>
  <c r="P2310" i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/>
  <c r="Q2306" i="1"/>
  <c r="P2306" i="1"/>
  <c r="Q2307" i="1"/>
  <c r="P2307" i="1"/>
  <c r="Q2308" i="1"/>
  <c r="P2308" i="1"/>
  <c r="Q2309" i="1"/>
  <c r="P2309" i="1"/>
  <c r="H2304" i="1"/>
  <c r="J2304" i="1"/>
  <c r="K2304" i="1"/>
  <c r="Q2304" i="1"/>
  <c r="P2304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/>
  <c r="Q2271" i="1"/>
  <c r="P2271" i="1"/>
  <c r="Q2272" i="1"/>
  <c r="P2272" i="1"/>
  <c r="Q2273" i="1"/>
  <c r="P2273" i="1"/>
  <c r="Q2274" i="1"/>
  <c r="P2274" i="1"/>
  <c r="Q2275" i="1"/>
  <c r="P2275" i="1"/>
  <c r="Q2276" i="1"/>
  <c r="P2276" i="1"/>
  <c r="Q2277" i="1"/>
  <c r="P2277" i="1"/>
  <c r="Q2278" i="1"/>
  <c r="P2278" i="1"/>
  <c r="Q2279" i="1"/>
  <c r="P2279" i="1"/>
  <c r="Q2280" i="1"/>
  <c r="P2280" i="1"/>
  <c r="Q2281" i="1"/>
  <c r="P2281" i="1"/>
  <c r="Q2282" i="1"/>
  <c r="P2282" i="1"/>
  <c r="Q2283" i="1"/>
  <c r="P2283" i="1"/>
  <c r="Q2284" i="1"/>
  <c r="P2284" i="1"/>
  <c r="Q2285" i="1"/>
  <c r="P2285" i="1"/>
  <c r="Q2286" i="1"/>
  <c r="P2286" i="1"/>
  <c r="Q2287" i="1"/>
  <c r="P2287" i="1"/>
  <c r="Q2288" i="1"/>
  <c r="P2288" i="1"/>
  <c r="Q2289" i="1"/>
  <c r="P2289" i="1"/>
  <c r="Q2290" i="1"/>
  <c r="P2290" i="1"/>
  <c r="Q2291" i="1"/>
  <c r="P2291" i="1"/>
  <c r="Q2292" i="1"/>
  <c r="P2292" i="1"/>
  <c r="Q2293" i="1"/>
  <c r="P2293" i="1"/>
  <c r="Q2294" i="1"/>
  <c r="P2294" i="1"/>
  <c r="Q2295" i="1"/>
  <c r="P2295" i="1"/>
  <c r="Q2296" i="1"/>
  <c r="P2296" i="1"/>
  <c r="Q2297" i="1"/>
  <c r="P2297" i="1"/>
  <c r="Q2298" i="1"/>
  <c r="P2298" i="1"/>
  <c r="Q2299" i="1"/>
  <c r="P2299" i="1"/>
  <c r="Q2300" i="1"/>
  <c r="P2300" i="1"/>
  <c r="Q2301" i="1"/>
  <c r="P2301" i="1"/>
  <c r="Q2302" i="1"/>
  <c r="P2302" i="1"/>
  <c r="Q2303" i="1"/>
  <c r="P2303" i="1"/>
  <c r="H2269" i="1"/>
  <c r="J2269" i="1"/>
  <c r="K2269" i="1"/>
  <c r="Q2269" i="1"/>
  <c r="P2269" i="1"/>
  <c r="H1513" i="1"/>
  <c r="H1515" i="1"/>
  <c r="J1515" i="1"/>
  <c r="K1515" i="1"/>
  <c r="Q1515" i="1"/>
  <c r="P1515" i="1"/>
  <c r="H1516" i="1"/>
  <c r="J1516" i="1"/>
  <c r="K1516" i="1"/>
  <c r="Q1516" i="1"/>
  <c r="P1516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/>
  <c r="Q2263" i="1"/>
  <c r="P2263" i="1"/>
  <c r="Q2264" i="1"/>
  <c r="P2264" i="1"/>
  <c r="Q2265" i="1"/>
  <c r="P2265" i="1"/>
  <c r="Q2266" i="1"/>
  <c r="P2266" i="1"/>
  <c r="Q2267" i="1"/>
  <c r="P2267" i="1"/>
  <c r="Q2268" i="1"/>
  <c r="P2268" i="1"/>
  <c r="H2261" i="1"/>
  <c r="J2261" i="1"/>
  <c r="K2261" i="1"/>
  <c r="Q2261" i="1"/>
  <c r="P2261" i="1"/>
  <c r="H2259" i="1"/>
  <c r="H2260" i="1"/>
  <c r="J2259" i="1"/>
  <c r="J2260" i="1"/>
  <c r="K2259" i="1"/>
  <c r="K2260" i="1"/>
  <c r="Q2259" i="1"/>
  <c r="P2259" i="1"/>
  <c r="Q2260" i="1"/>
  <c r="P2260" i="1"/>
  <c r="H2258" i="1"/>
  <c r="J2258" i="1"/>
  <c r="K2258" i="1"/>
  <c r="Q2258" i="1"/>
  <c r="P2258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/>
  <c r="Q2251" i="1"/>
  <c r="P2251" i="1"/>
  <c r="Q2252" i="1"/>
  <c r="P2252" i="1"/>
  <c r="Q2253" i="1"/>
  <c r="P2253" i="1"/>
  <c r="Q2254" i="1"/>
  <c r="P2254" i="1"/>
  <c r="Q2255" i="1"/>
  <c r="P2255" i="1"/>
  <c r="Q2256" i="1"/>
  <c r="P2256" i="1"/>
  <c r="Q2257" i="1"/>
  <c r="P2257" i="1"/>
  <c r="H2249" i="1"/>
  <c r="J2249" i="1"/>
  <c r="K2249" i="1"/>
  <c r="Q2249" i="1"/>
  <c r="P2249" i="1"/>
  <c r="H2248" i="1"/>
  <c r="J2248" i="1"/>
  <c r="K2248" i="1"/>
  <c r="Q2248" i="1"/>
  <c r="P2248" i="1"/>
  <c r="H2247" i="1"/>
  <c r="J2247" i="1"/>
  <c r="K2247" i="1"/>
  <c r="Q2247" i="1"/>
  <c r="P2247" i="1"/>
  <c r="H2246" i="1"/>
  <c r="J2246" i="1"/>
  <c r="K2246" i="1"/>
  <c r="Q2246" i="1"/>
  <c r="P2246" i="1"/>
  <c r="H2245" i="1"/>
  <c r="J2245" i="1"/>
  <c r="K2245" i="1"/>
  <c r="Q2245" i="1"/>
  <c r="P2245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/>
  <c r="Q2240" i="1"/>
  <c r="P2240" i="1"/>
  <c r="Q2241" i="1"/>
  <c r="P2241" i="1"/>
  <c r="Q2242" i="1"/>
  <c r="P2242" i="1"/>
  <c r="Q2243" i="1"/>
  <c r="P2243" i="1"/>
  <c r="Q2244" i="1"/>
  <c r="P2244" i="1"/>
  <c r="H2238" i="1"/>
  <c r="J2238" i="1"/>
  <c r="K2238" i="1"/>
  <c r="Q2238" i="1"/>
  <c r="P2238" i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/>
  <c r="Q2235" i="1"/>
  <c r="P2235" i="1"/>
  <c r="Q2236" i="1"/>
  <c r="P2236" i="1"/>
  <c r="Q2237" i="1"/>
  <c r="P2237" i="1"/>
  <c r="H2233" i="1"/>
  <c r="J2233" i="1"/>
  <c r="K2233" i="1"/>
  <c r="Q2233" i="1"/>
  <c r="P2233" i="1"/>
  <c r="H2232" i="1"/>
  <c r="J2232" i="1"/>
  <c r="K2232" i="1"/>
  <c r="Q2232" i="1"/>
  <c r="P2232" i="1"/>
  <c r="H2231" i="1"/>
  <c r="J2231" i="1"/>
  <c r="K2231" i="1"/>
  <c r="Q2231" i="1"/>
  <c r="P2231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/>
  <c r="Q1914" i="1"/>
  <c r="P1914" i="1"/>
  <c r="Q1915" i="1"/>
  <c r="P1915" i="1"/>
  <c r="Q1916" i="1"/>
  <c r="P1916" i="1"/>
  <c r="Q1917" i="1"/>
  <c r="P1917" i="1"/>
  <c r="Q1918" i="1"/>
  <c r="P1918" i="1"/>
  <c r="Q1919" i="1"/>
  <c r="P1919" i="1"/>
  <c r="Q1920" i="1"/>
  <c r="P1920" i="1"/>
  <c r="Q1921" i="1"/>
  <c r="P1921" i="1"/>
  <c r="Q1922" i="1"/>
  <c r="P1922" i="1"/>
  <c r="Q1923" i="1"/>
  <c r="P1923" i="1"/>
  <c r="Q1924" i="1"/>
  <c r="P1924" i="1"/>
  <c r="Q1925" i="1"/>
  <c r="P1925" i="1"/>
  <c r="Q1926" i="1"/>
  <c r="P1926" i="1"/>
  <c r="Q1927" i="1"/>
  <c r="P1927" i="1"/>
  <c r="Q1928" i="1"/>
  <c r="P1928" i="1"/>
  <c r="Q1929" i="1"/>
  <c r="P1929" i="1"/>
  <c r="Q1930" i="1"/>
  <c r="P1930" i="1"/>
  <c r="Q1931" i="1"/>
  <c r="P1931" i="1"/>
  <c r="Q1932" i="1"/>
  <c r="P1932" i="1"/>
  <c r="Q1933" i="1"/>
  <c r="P1933" i="1"/>
  <c r="Q1934" i="1"/>
  <c r="P1934" i="1"/>
  <c r="Q1935" i="1"/>
  <c r="P1935" i="1"/>
  <c r="Q1936" i="1"/>
  <c r="P1936" i="1"/>
  <c r="Q1937" i="1"/>
  <c r="P1937" i="1"/>
  <c r="Q1938" i="1"/>
  <c r="P1938" i="1"/>
  <c r="Q1939" i="1"/>
  <c r="P1939" i="1"/>
  <c r="Q1940" i="1"/>
  <c r="P1940" i="1"/>
  <c r="Q1941" i="1"/>
  <c r="P1941" i="1"/>
  <c r="Q1942" i="1"/>
  <c r="P1942" i="1"/>
  <c r="Q1943" i="1"/>
  <c r="P1943" i="1"/>
  <c r="Q1944" i="1"/>
  <c r="P1944" i="1"/>
  <c r="Q1945" i="1"/>
  <c r="P1945" i="1"/>
  <c r="Q1946" i="1"/>
  <c r="P1946" i="1"/>
  <c r="Q1947" i="1"/>
  <c r="P1947" i="1"/>
  <c r="Q1948" i="1"/>
  <c r="P1948" i="1"/>
  <c r="Q1949" i="1"/>
  <c r="P1949" i="1"/>
  <c r="Q1950" i="1"/>
  <c r="P1950" i="1"/>
  <c r="Q1951" i="1"/>
  <c r="P1951" i="1"/>
  <c r="Q1952" i="1"/>
  <c r="P1952" i="1"/>
  <c r="Q1953" i="1"/>
  <c r="P1953" i="1"/>
  <c r="Q1954" i="1"/>
  <c r="P1954" i="1"/>
  <c r="Q1955" i="1"/>
  <c r="P1955" i="1"/>
  <c r="Q1956" i="1"/>
  <c r="P1956" i="1"/>
  <c r="Q1957" i="1"/>
  <c r="P1957" i="1"/>
  <c r="Q1958" i="1"/>
  <c r="P1958" i="1"/>
  <c r="Q1959" i="1"/>
  <c r="P1959" i="1"/>
  <c r="Q1960" i="1"/>
  <c r="P1960" i="1"/>
  <c r="Q1961" i="1"/>
  <c r="P1961" i="1"/>
  <c r="Q1962" i="1"/>
  <c r="P1962" i="1"/>
  <c r="Q1963" i="1"/>
  <c r="P1963" i="1"/>
  <c r="Q1964" i="1"/>
  <c r="P1964" i="1"/>
  <c r="Q1965" i="1"/>
  <c r="P1965" i="1"/>
  <c r="Q1966" i="1"/>
  <c r="P1966" i="1"/>
  <c r="Q1967" i="1"/>
  <c r="P1967" i="1"/>
  <c r="Q1968" i="1"/>
  <c r="P1968" i="1"/>
  <c r="Q1969" i="1"/>
  <c r="P1969" i="1"/>
  <c r="Q1970" i="1"/>
  <c r="P1970" i="1"/>
  <c r="Q1971" i="1"/>
  <c r="P1971" i="1"/>
  <c r="Q1972" i="1"/>
  <c r="P1972" i="1"/>
  <c r="Q1973" i="1"/>
  <c r="P1973" i="1"/>
  <c r="Q1974" i="1"/>
  <c r="P1974" i="1"/>
  <c r="Q1975" i="1"/>
  <c r="P1975" i="1"/>
  <c r="Q1976" i="1"/>
  <c r="P1976" i="1"/>
  <c r="Q1977" i="1"/>
  <c r="P1977" i="1"/>
  <c r="Q1978" i="1"/>
  <c r="P1978" i="1"/>
  <c r="Q1979" i="1"/>
  <c r="P1979" i="1"/>
  <c r="Q1980" i="1"/>
  <c r="P1980" i="1"/>
  <c r="Q1981" i="1"/>
  <c r="P1981" i="1"/>
  <c r="Q1982" i="1"/>
  <c r="P1982" i="1"/>
  <c r="Q1983" i="1"/>
  <c r="P1983" i="1"/>
  <c r="Q1984" i="1"/>
  <c r="P1984" i="1"/>
  <c r="Q1985" i="1"/>
  <c r="P1985" i="1"/>
  <c r="Q1986" i="1"/>
  <c r="P1986" i="1"/>
  <c r="Q1987" i="1"/>
  <c r="P1987" i="1"/>
  <c r="Q1988" i="1"/>
  <c r="P1988" i="1"/>
  <c r="Q1989" i="1"/>
  <c r="P1989" i="1"/>
  <c r="Q1990" i="1"/>
  <c r="P1990" i="1"/>
  <c r="Q1991" i="1"/>
  <c r="P1991" i="1"/>
  <c r="Q1992" i="1"/>
  <c r="P1992" i="1"/>
  <c r="Q1993" i="1"/>
  <c r="P1993" i="1"/>
  <c r="Q1994" i="1"/>
  <c r="P1994" i="1"/>
  <c r="Q1995" i="1"/>
  <c r="P1995" i="1"/>
  <c r="Q1996" i="1"/>
  <c r="P1996" i="1"/>
  <c r="Q1997" i="1"/>
  <c r="P1997" i="1"/>
  <c r="Q1998" i="1"/>
  <c r="P1998" i="1"/>
  <c r="Q1999" i="1"/>
  <c r="P1999" i="1"/>
  <c r="Q2000" i="1"/>
  <c r="P2000" i="1"/>
  <c r="Q2001" i="1"/>
  <c r="P2001" i="1"/>
  <c r="Q2002" i="1"/>
  <c r="P2002" i="1"/>
  <c r="Q2003" i="1"/>
  <c r="P2003" i="1"/>
  <c r="Q2004" i="1"/>
  <c r="P2004" i="1"/>
  <c r="Q2005" i="1"/>
  <c r="P2005" i="1"/>
  <c r="Q2006" i="1"/>
  <c r="P2006" i="1"/>
  <c r="Q2007" i="1"/>
  <c r="P2007" i="1"/>
  <c r="Q2008" i="1"/>
  <c r="P2008" i="1"/>
  <c r="Q2009" i="1"/>
  <c r="P2009" i="1"/>
  <c r="Q2010" i="1"/>
  <c r="P2010" i="1"/>
  <c r="Q2011" i="1"/>
  <c r="P2011" i="1"/>
  <c r="Q2012" i="1"/>
  <c r="P2012" i="1"/>
  <c r="Q2013" i="1"/>
  <c r="P2013" i="1"/>
  <c r="Q2014" i="1"/>
  <c r="P2014" i="1"/>
  <c r="Q2015" i="1"/>
  <c r="P2015" i="1"/>
  <c r="Q2016" i="1"/>
  <c r="P2016" i="1"/>
  <c r="Q2017" i="1"/>
  <c r="P2017" i="1"/>
  <c r="Q2018" i="1"/>
  <c r="P2018" i="1"/>
  <c r="Q2019" i="1"/>
  <c r="P2019" i="1"/>
  <c r="Q2020" i="1"/>
  <c r="P2020" i="1"/>
  <c r="Q2021" i="1"/>
  <c r="P2021" i="1"/>
  <c r="Q2022" i="1"/>
  <c r="P2022" i="1"/>
  <c r="Q2023" i="1"/>
  <c r="P2023" i="1"/>
  <c r="Q2024" i="1"/>
  <c r="P2024" i="1"/>
  <c r="Q2025" i="1"/>
  <c r="P2025" i="1"/>
  <c r="Q2026" i="1"/>
  <c r="P2026" i="1"/>
  <c r="Q2027" i="1"/>
  <c r="P2027" i="1"/>
  <c r="Q2028" i="1"/>
  <c r="P2028" i="1"/>
  <c r="Q2029" i="1"/>
  <c r="P2029" i="1"/>
  <c r="Q2030" i="1"/>
  <c r="P2030" i="1"/>
  <c r="Q2031" i="1"/>
  <c r="P2031" i="1"/>
  <c r="Q2032" i="1"/>
  <c r="P2032" i="1"/>
  <c r="Q2033" i="1"/>
  <c r="P2033" i="1"/>
  <c r="Q2034" i="1"/>
  <c r="P2034" i="1"/>
  <c r="Q2035" i="1"/>
  <c r="P2035" i="1"/>
  <c r="Q2036" i="1"/>
  <c r="P2036" i="1"/>
  <c r="Q2037" i="1"/>
  <c r="P2037" i="1"/>
  <c r="Q2038" i="1"/>
  <c r="P2038" i="1"/>
  <c r="Q2039" i="1"/>
  <c r="P2039" i="1"/>
  <c r="Q2040" i="1"/>
  <c r="P2040" i="1"/>
  <c r="Q2041" i="1"/>
  <c r="P2041" i="1"/>
  <c r="Q2042" i="1"/>
  <c r="P2042" i="1"/>
  <c r="Q2043" i="1"/>
  <c r="P2043" i="1"/>
  <c r="Q2044" i="1"/>
  <c r="P2044" i="1"/>
  <c r="Q2045" i="1"/>
  <c r="P2045" i="1"/>
  <c r="Q2046" i="1"/>
  <c r="P2046" i="1"/>
  <c r="Q2047" i="1"/>
  <c r="P2047" i="1"/>
  <c r="Q2048" i="1"/>
  <c r="P2048" i="1"/>
  <c r="Q2049" i="1"/>
  <c r="P2049" i="1"/>
  <c r="Q2050" i="1"/>
  <c r="P2050" i="1"/>
  <c r="Q2051" i="1"/>
  <c r="P2051" i="1"/>
  <c r="Q2052" i="1"/>
  <c r="P2052" i="1"/>
  <c r="Q2053" i="1"/>
  <c r="P2053" i="1"/>
  <c r="Q2054" i="1"/>
  <c r="P2054" i="1"/>
  <c r="Q2055" i="1"/>
  <c r="P2055" i="1"/>
  <c r="Q2056" i="1"/>
  <c r="P2056" i="1"/>
  <c r="Q2057" i="1"/>
  <c r="P2057" i="1"/>
  <c r="Q2058" i="1"/>
  <c r="P2058" i="1"/>
  <c r="Q2059" i="1"/>
  <c r="P2059" i="1"/>
  <c r="Q2060" i="1"/>
  <c r="P2060" i="1"/>
  <c r="Q2061" i="1"/>
  <c r="P2061" i="1"/>
  <c r="Q2062" i="1"/>
  <c r="P2062" i="1"/>
  <c r="Q2063" i="1"/>
  <c r="P2063" i="1"/>
  <c r="Q2064" i="1"/>
  <c r="P2064" i="1"/>
  <c r="Q2065" i="1"/>
  <c r="P2065" i="1"/>
  <c r="Q2066" i="1"/>
  <c r="P2066" i="1"/>
  <c r="Q2067" i="1"/>
  <c r="P2067" i="1"/>
  <c r="Q2068" i="1"/>
  <c r="P2068" i="1"/>
  <c r="Q2069" i="1"/>
  <c r="P2069" i="1"/>
  <c r="Q2070" i="1"/>
  <c r="P2070" i="1"/>
  <c r="Q2071" i="1"/>
  <c r="P2071" i="1"/>
  <c r="Q2072" i="1"/>
  <c r="P2072" i="1"/>
  <c r="Q2073" i="1"/>
  <c r="P2073" i="1"/>
  <c r="Q2074" i="1"/>
  <c r="P2074" i="1"/>
  <c r="Q2075" i="1"/>
  <c r="P2075" i="1"/>
  <c r="Q2076" i="1"/>
  <c r="P2076" i="1"/>
  <c r="Q2077" i="1"/>
  <c r="P2077" i="1"/>
  <c r="Q2078" i="1"/>
  <c r="P2078" i="1"/>
  <c r="Q2079" i="1"/>
  <c r="P2079" i="1"/>
  <c r="Q2080" i="1"/>
  <c r="P2080" i="1"/>
  <c r="Q2081" i="1"/>
  <c r="P2081" i="1"/>
  <c r="Q2082" i="1"/>
  <c r="P2082" i="1"/>
  <c r="Q2083" i="1"/>
  <c r="P2083" i="1"/>
  <c r="Q2084" i="1"/>
  <c r="P2084" i="1"/>
  <c r="Q2085" i="1"/>
  <c r="P2085" i="1"/>
  <c r="Q2086" i="1"/>
  <c r="P2086" i="1"/>
  <c r="Q2087" i="1"/>
  <c r="P2087" i="1"/>
  <c r="Q2088" i="1"/>
  <c r="P2088" i="1"/>
  <c r="Q2089" i="1"/>
  <c r="P2089" i="1"/>
  <c r="Q2090" i="1"/>
  <c r="P2090" i="1"/>
  <c r="Q2091" i="1"/>
  <c r="P2091" i="1"/>
  <c r="Q2092" i="1"/>
  <c r="P2092" i="1"/>
  <c r="Q2093" i="1"/>
  <c r="P2093" i="1"/>
  <c r="Q2094" i="1"/>
  <c r="P2094" i="1"/>
  <c r="Q2095" i="1"/>
  <c r="P2095" i="1"/>
  <c r="Q2096" i="1"/>
  <c r="P2096" i="1"/>
  <c r="Q2097" i="1"/>
  <c r="P2097" i="1"/>
  <c r="Q2098" i="1"/>
  <c r="P2098" i="1"/>
  <c r="Q2099" i="1"/>
  <c r="P2099" i="1"/>
  <c r="Q2100" i="1"/>
  <c r="P2100" i="1"/>
  <c r="Q2101" i="1"/>
  <c r="P2101" i="1"/>
  <c r="Q2102" i="1"/>
  <c r="P2102" i="1"/>
  <c r="Q2103" i="1"/>
  <c r="P2103" i="1"/>
  <c r="Q2104" i="1"/>
  <c r="P2104" i="1"/>
  <c r="Q2105" i="1"/>
  <c r="P2105" i="1"/>
  <c r="Q2106" i="1"/>
  <c r="P2106" i="1"/>
  <c r="Q2107" i="1"/>
  <c r="P2107" i="1"/>
  <c r="Q2108" i="1"/>
  <c r="P2108" i="1"/>
  <c r="Q2109" i="1"/>
  <c r="P2109" i="1"/>
  <c r="Q2110" i="1"/>
  <c r="P2110" i="1"/>
  <c r="Q2111" i="1"/>
  <c r="P2111" i="1"/>
  <c r="Q2112" i="1"/>
  <c r="P2112" i="1"/>
  <c r="Q2113" i="1"/>
  <c r="P2113" i="1"/>
  <c r="Q2114" i="1"/>
  <c r="P2114" i="1"/>
  <c r="Q2115" i="1"/>
  <c r="P2115" i="1"/>
  <c r="Q2116" i="1"/>
  <c r="P2116" i="1"/>
  <c r="Q2117" i="1"/>
  <c r="P2117" i="1"/>
  <c r="Q2118" i="1"/>
  <c r="P2118" i="1"/>
  <c r="Q2119" i="1"/>
  <c r="P2119" i="1"/>
  <c r="Q2120" i="1"/>
  <c r="P2120" i="1"/>
  <c r="Q2121" i="1"/>
  <c r="P2121" i="1"/>
  <c r="Q2122" i="1"/>
  <c r="P2122" i="1"/>
  <c r="Q2123" i="1"/>
  <c r="P2123" i="1"/>
  <c r="Q2124" i="1"/>
  <c r="P2124" i="1"/>
  <c r="Q2125" i="1"/>
  <c r="P2125" i="1"/>
  <c r="Q2126" i="1"/>
  <c r="P2126" i="1"/>
  <c r="Q2127" i="1"/>
  <c r="P2127" i="1"/>
  <c r="Q2128" i="1"/>
  <c r="P2128" i="1"/>
  <c r="Q2129" i="1"/>
  <c r="P2129" i="1"/>
  <c r="Q2130" i="1"/>
  <c r="P2130" i="1"/>
  <c r="Q2131" i="1"/>
  <c r="P2131" i="1"/>
  <c r="Q2132" i="1"/>
  <c r="P2132" i="1"/>
  <c r="Q2133" i="1"/>
  <c r="P2133" i="1"/>
  <c r="Q2134" i="1"/>
  <c r="P2134" i="1"/>
  <c r="Q2135" i="1"/>
  <c r="P2135" i="1"/>
  <c r="Q2136" i="1"/>
  <c r="P2136" i="1"/>
  <c r="Q2137" i="1"/>
  <c r="P2137" i="1"/>
  <c r="Q2138" i="1"/>
  <c r="P2138" i="1"/>
  <c r="Q2139" i="1"/>
  <c r="P2139" i="1"/>
  <c r="Q2140" i="1"/>
  <c r="P2140" i="1"/>
  <c r="Q2141" i="1"/>
  <c r="P2141" i="1"/>
  <c r="Q2142" i="1"/>
  <c r="P2142" i="1"/>
  <c r="Q2143" i="1"/>
  <c r="P2143" i="1"/>
  <c r="Q2144" i="1"/>
  <c r="P2144" i="1"/>
  <c r="Q2145" i="1"/>
  <c r="P2145" i="1"/>
  <c r="Q2146" i="1"/>
  <c r="P2146" i="1"/>
  <c r="Q2147" i="1"/>
  <c r="P2147" i="1"/>
  <c r="Q2148" i="1"/>
  <c r="P2148" i="1"/>
  <c r="Q2149" i="1"/>
  <c r="P2149" i="1"/>
  <c r="Q2150" i="1"/>
  <c r="P2150" i="1"/>
  <c r="Q2151" i="1"/>
  <c r="P2151" i="1"/>
  <c r="Q2152" i="1"/>
  <c r="P2152" i="1"/>
  <c r="Q2153" i="1"/>
  <c r="P2153" i="1"/>
  <c r="Q2154" i="1"/>
  <c r="P2154" i="1"/>
  <c r="Q2155" i="1"/>
  <c r="P2155" i="1"/>
  <c r="Q2156" i="1"/>
  <c r="P2156" i="1"/>
  <c r="Q2157" i="1"/>
  <c r="P2157" i="1"/>
  <c r="Q2158" i="1"/>
  <c r="P2158" i="1"/>
  <c r="Q2159" i="1"/>
  <c r="P2159" i="1"/>
  <c r="Q2160" i="1"/>
  <c r="P2160" i="1"/>
  <c r="Q2161" i="1"/>
  <c r="P2161" i="1"/>
  <c r="Q2162" i="1"/>
  <c r="P2162" i="1"/>
  <c r="Q2163" i="1"/>
  <c r="P2163" i="1"/>
  <c r="Q2164" i="1"/>
  <c r="P2164" i="1"/>
  <c r="Q2165" i="1"/>
  <c r="P2165" i="1"/>
  <c r="Q2166" i="1"/>
  <c r="P2166" i="1"/>
  <c r="Q2167" i="1"/>
  <c r="P2167" i="1"/>
  <c r="Q2168" i="1"/>
  <c r="P2168" i="1"/>
  <c r="Q2169" i="1"/>
  <c r="P2169" i="1"/>
  <c r="Q2170" i="1"/>
  <c r="P2170" i="1"/>
  <c r="Q2171" i="1"/>
  <c r="P2171" i="1"/>
  <c r="Q2172" i="1"/>
  <c r="P2172" i="1"/>
  <c r="Q2173" i="1"/>
  <c r="P2173" i="1"/>
  <c r="Q2174" i="1"/>
  <c r="P2174" i="1"/>
  <c r="Q2175" i="1"/>
  <c r="P2175" i="1"/>
  <c r="Q2176" i="1"/>
  <c r="P2176" i="1"/>
  <c r="Q2177" i="1"/>
  <c r="P2177" i="1"/>
  <c r="Q2178" i="1"/>
  <c r="P2178" i="1"/>
  <c r="Q2179" i="1"/>
  <c r="P2179" i="1"/>
  <c r="Q2180" i="1"/>
  <c r="P2180" i="1"/>
  <c r="Q2181" i="1"/>
  <c r="P2181" i="1"/>
  <c r="Q2182" i="1"/>
  <c r="P2182" i="1"/>
  <c r="Q2183" i="1"/>
  <c r="P2183" i="1"/>
  <c r="Q2184" i="1"/>
  <c r="P2184" i="1"/>
  <c r="Q2185" i="1"/>
  <c r="P2185" i="1"/>
  <c r="Q2186" i="1"/>
  <c r="P2186" i="1"/>
  <c r="Q2187" i="1"/>
  <c r="P2187" i="1"/>
  <c r="Q2188" i="1"/>
  <c r="P2188" i="1"/>
  <c r="Q2189" i="1"/>
  <c r="P2189" i="1"/>
  <c r="Q2190" i="1"/>
  <c r="P2190" i="1"/>
  <c r="Q2191" i="1"/>
  <c r="P2191" i="1"/>
  <c r="Q2192" i="1"/>
  <c r="P2192" i="1"/>
  <c r="Q2193" i="1"/>
  <c r="P2193" i="1"/>
  <c r="Q2194" i="1"/>
  <c r="P2194" i="1"/>
  <c r="Q2195" i="1"/>
  <c r="P2195" i="1"/>
  <c r="Q2196" i="1"/>
  <c r="P2196" i="1"/>
  <c r="Q2197" i="1"/>
  <c r="P2197" i="1"/>
  <c r="Q2198" i="1"/>
  <c r="P2198" i="1"/>
  <c r="Q2199" i="1"/>
  <c r="P2199" i="1"/>
  <c r="Q2200" i="1"/>
  <c r="P2200" i="1"/>
  <c r="Q2201" i="1"/>
  <c r="P2201" i="1"/>
  <c r="Q2202" i="1"/>
  <c r="P2202" i="1"/>
  <c r="Q2203" i="1"/>
  <c r="P2203" i="1"/>
  <c r="Q2204" i="1"/>
  <c r="P2204" i="1"/>
  <c r="Q2205" i="1"/>
  <c r="P2205" i="1"/>
  <c r="Q2206" i="1"/>
  <c r="P2206" i="1"/>
  <c r="Q2207" i="1"/>
  <c r="P2207" i="1"/>
  <c r="Q2208" i="1"/>
  <c r="P2208" i="1"/>
  <c r="Q2209" i="1"/>
  <c r="P2209" i="1"/>
  <c r="Q2210" i="1"/>
  <c r="P2210" i="1"/>
  <c r="Q2211" i="1"/>
  <c r="P2211" i="1"/>
  <c r="Q2212" i="1"/>
  <c r="P2212" i="1"/>
  <c r="Q2213" i="1"/>
  <c r="P2213" i="1"/>
  <c r="Q2214" i="1"/>
  <c r="P2214" i="1"/>
  <c r="Q2215" i="1"/>
  <c r="P2215" i="1"/>
  <c r="Q2216" i="1"/>
  <c r="P2216" i="1"/>
  <c r="Q2217" i="1"/>
  <c r="P2217" i="1"/>
  <c r="Q2218" i="1"/>
  <c r="P2218" i="1"/>
  <c r="Q2219" i="1"/>
  <c r="P2219" i="1"/>
  <c r="Q2220" i="1"/>
  <c r="P2220" i="1"/>
  <c r="Q2221" i="1"/>
  <c r="P2221" i="1"/>
  <c r="Q2222" i="1"/>
  <c r="P2222" i="1"/>
  <c r="Q2223" i="1"/>
  <c r="P2223" i="1"/>
  <c r="Q2224" i="1"/>
  <c r="P2224" i="1"/>
  <c r="Q2225" i="1"/>
  <c r="P2225" i="1"/>
  <c r="Q2226" i="1"/>
  <c r="P2226" i="1"/>
  <c r="Q2227" i="1"/>
  <c r="P2227" i="1"/>
  <c r="Q2228" i="1"/>
  <c r="P2228" i="1"/>
  <c r="Q2229" i="1"/>
  <c r="P2229" i="1"/>
  <c r="Q2230" i="1"/>
  <c r="P2230" i="1"/>
  <c r="H1912" i="1"/>
  <c r="J1912" i="1"/>
  <c r="K1912" i="1"/>
  <c r="Q1912" i="1"/>
  <c r="P1912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/>
  <c r="Q1816" i="1"/>
  <c r="P1816" i="1"/>
  <c r="Q1817" i="1"/>
  <c r="P1817" i="1"/>
  <c r="Q1818" i="1"/>
  <c r="P1818" i="1"/>
  <c r="Q1819" i="1"/>
  <c r="P1819" i="1"/>
  <c r="Q1820" i="1"/>
  <c r="P1820" i="1"/>
  <c r="Q1821" i="1"/>
  <c r="P1821" i="1"/>
  <c r="Q1822" i="1"/>
  <c r="P1822" i="1"/>
  <c r="Q1823" i="1"/>
  <c r="P1823" i="1"/>
  <c r="Q1824" i="1"/>
  <c r="P1824" i="1"/>
  <c r="Q1825" i="1"/>
  <c r="P1825" i="1"/>
  <c r="Q1826" i="1"/>
  <c r="P1826" i="1"/>
  <c r="Q1827" i="1"/>
  <c r="P1827" i="1"/>
  <c r="Q1828" i="1"/>
  <c r="P1828" i="1"/>
  <c r="Q1829" i="1"/>
  <c r="P1829" i="1"/>
  <c r="Q1830" i="1"/>
  <c r="P1830" i="1"/>
  <c r="Q1831" i="1"/>
  <c r="P1831" i="1"/>
  <c r="Q1832" i="1"/>
  <c r="P1832" i="1"/>
  <c r="Q1833" i="1"/>
  <c r="P1833" i="1"/>
  <c r="Q1834" i="1"/>
  <c r="P1834" i="1"/>
  <c r="Q1835" i="1"/>
  <c r="P1835" i="1"/>
  <c r="Q1836" i="1"/>
  <c r="P1836" i="1"/>
  <c r="Q1837" i="1"/>
  <c r="P1837" i="1"/>
  <c r="Q1838" i="1"/>
  <c r="P1838" i="1"/>
  <c r="Q1839" i="1"/>
  <c r="P1839" i="1"/>
  <c r="Q1840" i="1"/>
  <c r="P1840" i="1"/>
  <c r="Q1841" i="1"/>
  <c r="P1841" i="1"/>
  <c r="Q1842" i="1"/>
  <c r="P1842" i="1"/>
  <c r="Q1843" i="1"/>
  <c r="P1843" i="1"/>
  <c r="Q1844" i="1"/>
  <c r="P1844" i="1"/>
  <c r="Q1845" i="1"/>
  <c r="P1845" i="1"/>
  <c r="Q1846" i="1"/>
  <c r="P1846" i="1"/>
  <c r="Q1847" i="1"/>
  <c r="P1847" i="1"/>
  <c r="Q1848" i="1"/>
  <c r="P1848" i="1"/>
  <c r="Q1849" i="1"/>
  <c r="P1849" i="1"/>
  <c r="Q1850" i="1"/>
  <c r="P1850" i="1"/>
  <c r="Q1851" i="1"/>
  <c r="P1851" i="1"/>
  <c r="Q1852" i="1"/>
  <c r="P1852" i="1"/>
  <c r="Q1853" i="1"/>
  <c r="P1853" i="1"/>
  <c r="Q1854" i="1"/>
  <c r="P1854" i="1"/>
  <c r="Q1855" i="1"/>
  <c r="P1855" i="1"/>
  <c r="Q1856" i="1"/>
  <c r="P1856" i="1"/>
  <c r="Q1857" i="1"/>
  <c r="P1857" i="1"/>
  <c r="Q1858" i="1"/>
  <c r="P1858" i="1"/>
  <c r="Q1859" i="1"/>
  <c r="P1859" i="1"/>
  <c r="Q1860" i="1"/>
  <c r="P1860" i="1"/>
  <c r="Q1861" i="1"/>
  <c r="P1861" i="1"/>
  <c r="Q1862" i="1"/>
  <c r="P1862" i="1"/>
  <c r="Q1863" i="1"/>
  <c r="P1863" i="1"/>
  <c r="Q1864" i="1"/>
  <c r="P1864" i="1"/>
  <c r="Q1865" i="1"/>
  <c r="P1865" i="1"/>
  <c r="Q1866" i="1"/>
  <c r="P1866" i="1"/>
  <c r="Q1867" i="1"/>
  <c r="P1867" i="1"/>
  <c r="Q1868" i="1"/>
  <c r="P1868" i="1"/>
  <c r="Q1869" i="1"/>
  <c r="P1869" i="1"/>
  <c r="Q1870" i="1"/>
  <c r="P1870" i="1"/>
  <c r="Q1871" i="1"/>
  <c r="P1871" i="1"/>
  <c r="Q1872" i="1"/>
  <c r="P1872" i="1"/>
  <c r="Q1873" i="1"/>
  <c r="P1873" i="1"/>
  <c r="Q1874" i="1"/>
  <c r="P1874" i="1"/>
  <c r="Q1875" i="1"/>
  <c r="P1875" i="1"/>
  <c r="Q1876" i="1"/>
  <c r="P1876" i="1"/>
  <c r="Q1877" i="1"/>
  <c r="P1877" i="1"/>
  <c r="Q1878" i="1"/>
  <c r="P1878" i="1"/>
  <c r="Q1879" i="1"/>
  <c r="P1879" i="1"/>
  <c r="Q1880" i="1"/>
  <c r="P1880" i="1"/>
  <c r="Q1881" i="1"/>
  <c r="P1881" i="1"/>
  <c r="Q1882" i="1"/>
  <c r="P1882" i="1"/>
  <c r="Q1883" i="1"/>
  <c r="P1883" i="1"/>
  <c r="Q1884" i="1"/>
  <c r="P1884" i="1"/>
  <c r="Q1885" i="1"/>
  <c r="P1885" i="1"/>
  <c r="Q1886" i="1"/>
  <c r="P1886" i="1"/>
  <c r="Q1887" i="1"/>
  <c r="P1887" i="1"/>
  <c r="Q1888" i="1"/>
  <c r="P1888" i="1"/>
  <c r="Q1889" i="1"/>
  <c r="P1889" i="1"/>
  <c r="Q1890" i="1"/>
  <c r="P1890" i="1"/>
  <c r="Q1891" i="1"/>
  <c r="P1891" i="1"/>
  <c r="Q1892" i="1"/>
  <c r="P1892" i="1"/>
  <c r="Q1893" i="1"/>
  <c r="P1893" i="1"/>
  <c r="Q1894" i="1"/>
  <c r="P1894" i="1"/>
  <c r="Q1895" i="1"/>
  <c r="P1895" i="1"/>
  <c r="Q1896" i="1"/>
  <c r="P1896" i="1"/>
  <c r="Q1897" i="1"/>
  <c r="P1897" i="1"/>
  <c r="Q1898" i="1"/>
  <c r="P1898" i="1"/>
  <c r="Q1899" i="1"/>
  <c r="P1899" i="1"/>
  <c r="Q1900" i="1"/>
  <c r="P1900" i="1"/>
  <c r="Q1901" i="1"/>
  <c r="P1901" i="1"/>
  <c r="Q1902" i="1"/>
  <c r="P1902" i="1"/>
  <c r="Q1903" i="1"/>
  <c r="P1903" i="1"/>
  <c r="Q1904" i="1"/>
  <c r="P1904" i="1"/>
  <c r="Q1905" i="1"/>
  <c r="P1905" i="1"/>
  <c r="Q1906" i="1"/>
  <c r="P1906" i="1"/>
  <c r="Q1907" i="1"/>
  <c r="P1907" i="1"/>
  <c r="Q1908" i="1"/>
  <c r="P1908" i="1"/>
  <c r="Q1909" i="1"/>
  <c r="P1909" i="1"/>
  <c r="Q1910" i="1"/>
  <c r="P1910" i="1"/>
  <c r="Q1911" i="1"/>
  <c r="P1911" i="1"/>
  <c r="H1814" i="1"/>
  <c r="J1814" i="1"/>
  <c r="K1814" i="1"/>
  <c r="Q1814" i="1"/>
  <c r="P1814" i="1"/>
  <c r="H1813" i="1"/>
  <c r="J1813" i="1"/>
  <c r="K1813" i="1"/>
  <c r="Q1813" i="1"/>
  <c r="P1813" i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/>
  <c r="Q1809" i="1"/>
  <c r="P1809" i="1"/>
  <c r="Q1810" i="1"/>
  <c r="P1810" i="1"/>
  <c r="Q1811" i="1"/>
  <c r="P1811" i="1"/>
  <c r="Q1812" i="1"/>
  <c r="P1812" i="1"/>
  <c r="H1807" i="1"/>
  <c r="J1807" i="1"/>
  <c r="K1807" i="1"/>
  <c r="Q1807" i="1"/>
  <c r="P1807" i="1"/>
  <c r="H1806" i="1"/>
  <c r="J1806" i="1"/>
  <c r="K1806" i="1"/>
  <c r="Q1806" i="1"/>
  <c r="P1806" i="1"/>
  <c r="H1805" i="1"/>
  <c r="J1805" i="1"/>
  <c r="K1805" i="1"/>
  <c r="Q1805" i="1"/>
  <c r="P1805" i="1"/>
  <c r="H1804" i="1"/>
  <c r="J1804" i="1"/>
  <c r="K1804" i="1"/>
  <c r="Q1804" i="1"/>
  <c r="P1804" i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/>
  <c r="Q1801" i="1"/>
  <c r="P1801" i="1"/>
  <c r="Q1802" i="1"/>
  <c r="P1802" i="1"/>
  <c r="Q1803" i="1"/>
  <c r="P1803" i="1"/>
  <c r="H1799" i="1"/>
  <c r="J1799" i="1"/>
  <c r="K1799" i="1"/>
  <c r="Q1799" i="1"/>
  <c r="P1799" i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/>
  <c r="Q1795" i="1"/>
  <c r="P1795" i="1"/>
  <c r="Q1796" i="1"/>
  <c r="P1796" i="1"/>
  <c r="Q1797" i="1"/>
  <c r="P1797" i="1"/>
  <c r="Q1798" i="1"/>
  <c r="P1798" i="1"/>
  <c r="H1793" i="1"/>
  <c r="J1793" i="1"/>
  <c r="K1793" i="1"/>
  <c r="Q1793" i="1"/>
  <c r="P1793" i="1"/>
  <c r="H1790" i="1"/>
  <c r="H1791" i="1"/>
  <c r="H1792" i="1"/>
  <c r="J1790" i="1"/>
  <c r="J1791" i="1"/>
  <c r="J1792" i="1"/>
  <c r="K1790" i="1"/>
  <c r="K1791" i="1"/>
  <c r="K1792" i="1"/>
  <c r="Q1790" i="1"/>
  <c r="P1790" i="1"/>
  <c r="Q1791" i="1"/>
  <c r="P1791" i="1"/>
  <c r="Q1792" i="1"/>
  <c r="P1792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/>
  <c r="Q1778" i="1"/>
  <c r="P1778" i="1"/>
  <c r="Q1779" i="1"/>
  <c r="P1779" i="1"/>
  <c r="Q1780" i="1"/>
  <c r="P1780" i="1"/>
  <c r="Q1781" i="1"/>
  <c r="P1781" i="1"/>
  <c r="Q1782" i="1"/>
  <c r="P1782" i="1"/>
  <c r="Q1783" i="1"/>
  <c r="P1783" i="1"/>
  <c r="Q1784" i="1"/>
  <c r="P1784" i="1"/>
  <c r="Q1785" i="1"/>
  <c r="P1785" i="1"/>
  <c r="Q1786" i="1"/>
  <c r="P1786" i="1"/>
  <c r="Q1787" i="1"/>
  <c r="P1787" i="1"/>
  <c r="Q1788" i="1"/>
  <c r="P1788" i="1"/>
  <c r="Q1789" i="1"/>
  <c r="P1789" i="1"/>
  <c r="H1776" i="1"/>
  <c r="J1776" i="1"/>
  <c r="K1776" i="1"/>
  <c r="Q1776" i="1"/>
  <c r="P1776" i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/>
  <c r="Q1773" i="1"/>
  <c r="P1773" i="1"/>
  <c r="Q1774" i="1"/>
  <c r="P1774" i="1"/>
  <c r="Q1775" i="1"/>
  <c r="P1775" i="1"/>
  <c r="H1771" i="1"/>
  <c r="J1771" i="1"/>
  <c r="K1771" i="1"/>
  <c r="Q1771" i="1"/>
  <c r="P1771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/>
  <c r="Q1765" i="1"/>
  <c r="P1765" i="1"/>
  <c r="Q1766" i="1"/>
  <c r="P1766" i="1"/>
  <c r="Q1767" i="1"/>
  <c r="P1767" i="1"/>
  <c r="Q1768" i="1"/>
  <c r="P1768" i="1"/>
  <c r="Q1769" i="1"/>
  <c r="P1769" i="1"/>
  <c r="Q1770" i="1"/>
  <c r="P1770" i="1"/>
  <c r="H1763" i="1"/>
  <c r="J1763" i="1"/>
  <c r="K1763" i="1"/>
  <c r="Q1763" i="1"/>
  <c r="P1763" i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/>
  <c r="Q1758" i="1"/>
  <c r="P1758" i="1"/>
  <c r="Q1759" i="1"/>
  <c r="P1759" i="1"/>
  <c r="Q1760" i="1"/>
  <c r="P1760" i="1"/>
  <c r="Q1761" i="1"/>
  <c r="P1761" i="1"/>
  <c r="Q1762" i="1"/>
  <c r="P1762" i="1"/>
  <c r="H1756" i="1"/>
  <c r="J1756" i="1"/>
  <c r="K1756" i="1"/>
  <c r="Q1756" i="1"/>
  <c r="P1756" i="1"/>
  <c r="Q1755" i="1"/>
  <c r="P1755" i="1"/>
  <c r="Q1754" i="1"/>
  <c r="P1754" i="1"/>
  <c r="Q1753" i="1"/>
  <c r="P1753" i="1"/>
  <c r="Q1752" i="1"/>
  <c r="P1752" i="1"/>
  <c r="Q1751" i="1"/>
  <c r="P1751" i="1"/>
  <c r="Q1750" i="1"/>
  <c r="P1750" i="1"/>
  <c r="Q1749" i="1"/>
  <c r="P1749" i="1"/>
  <c r="Q1748" i="1"/>
  <c r="P1748" i="1"/>
  <c r="Q1747" i="1"/>
  <c r="P1747" i="1"/>
  <c r="Q1746" i="1"/>
  <c r="P1746" i="1"/>
  <c r="Q1745" i="1"/>
  <c r="P1745" i="1"/>
  <c r="Q1744" i="1"/>
  <c r="P1744" i="1"/>
  <c r="Q1743" i="1"/>
  <c r="P1743" i="1"/>
  <c r="Q1742" i="1"/>
  <c r="P1742" i="1"/>
  <c r="Q1741" i="1"/>
  <c r="P1741" i="1"/>
  <c r="Q1740" i="1"/>
  <c r="P1740" i="1"/>
  <c r="Q1739" i="1"/>
  <c r="P1739" i="1"/>
  <c r="Q1738" i="1"/>
  <c r="P1738" i="1"/>
  <c r="Q1737" i="1"/>
  <c r="P1737" i="1"/>
  <c r="Q1736" i="1"/>
  <c r="P1736" i="1"/>
  <c r="Q1735" i="1"/>
  <c r="P1735" i="1"/>
  <c r="Q1734" i="1"/>
  <c r="P1734" i="1"/>
  <c r="Q1733" i="1"/>
  <c r="P1733" i="1"/>
  <c r="Q1732" i="1"/>
  <c r="P1732" i="1"/>
  <c r="Q1731" i="1"/>
  <c r="P1731" i="1"/>
  <c r="Q1730" i="1"/>
  <c r="P1730" i="1"/>
  <c r="Q1729" i="1"/>
  <c r="P1729" i="1"/>
  <c r="Q1728" i="1"/>
  <c r="P1728" i="1"/>
  <c r="Q1727" i="1"/>
  <c r="P1727" i="1"/>
  <c r="Q1726" i="1"/>
  <c r="P1726" i="1"/>
  <c r="Q1725" i="1"/>
  <c r="P1725" i="1"/>
  <c r="Q1724" i="1"/>
  <c r="P1724" i="1"/>
  <c r="Q1723" i="1"/>
  <c r="P1723" i="1"/>
  <c r="Q1722" i="1"/>
  <c r="P1722" i="1"/>
  <c r="Q1721" i="1"/>
  <c r="P1721" i="1"/>
  <c r="Q1720" i="1"/>
  <c r="P1720" i="1"/>
  <c r="Q1719" i="1"/>
  <c r="P1719" i="1"/>
  <c r="Q1718" i="1"/>
  <c r="P1718" i="1"/>
  <c r="Q1717" i="1"/>
  <c r="P1717" i="1"/>
  <c r="Q1716" i="1"/>
  <c r="P1716" i="1"/>
  <c r="Q1715" i="1"/>
  <c r="P1715" i="1"/>
  <c r="Q1714" i="1"/>
  <c r="P1714" i="1"/>
  <c r="Q1713" i="1"/>
  <c r="P1713" i="1"/>
  <c r="Q1712" i="1"/>
  <c r="P1712" i="1"/>
  <c r="Q1711" i="1"/>
  <c r="P1711" i="1"/>
  <c r="Q1710" i="1"/>
  <c r="P1710" i="1"/>
  <c r="Q1709" i="1"/>
  <c r="P1709" i="1"/>
  <c r="Q1708" i="1"/>
  <c r="P1708" i="1"/>
  <c r="Q1707" i="1"/>
  <c r="P1707" i="1"/>
  <c r="Q1706" i="1"/>
  <c r="P1706" i="1"/>
  <c r="Q1705" i="1"/>
  <c r="P1705" i="1"/>
  <c r="Q1704" i="1"/>
  <c r="P1704" i="1"/>
  <c r="Q1703" i="1"/>
  <c r="P1703" i="1"/>
  <c r="Q1702" i="1"/>
  <c r="P1702" i="1"/>
  <c r="Q1701" i="1"/>
  <c r="P1701" i="1"/>
  <c r="Q1700" i="1"/>
  <c r="P1700" i="1"/>
  <c r="Q1699" i="1"/>
  <c r="P1699" i="1"/>
  <c r="Q1698" i="1"/>
  <c r="P1698" i="1"/>
  <c r="Q1697" i="1"/>
  <c r="P1697" i="1"/>
  <c r="Q1696" i="1"/>
  <c r="P1696" i="1"/>
  <c r="Q1695" i="1"/>
  <c r="P1695" i="1"/>
  <c r="Q1694" i="1"/>
  <c r="P1694" i="1"/>
  <c r="Q1693" i="1"/>
  <c r="P1693" i="1"/>
  <c r="Q1692" i="1"/>
  <c r="P1692" i="1"/>
  <c r="Q1691" i="1"/>
  <c r="P1691" i="1"/>
  <c r="Q1690" i="1"/>
  <c r="P1690" i="1"/>
  <c r="Q1689" i="1"/>
  <c r="P1689" i="1"/>
  <c r="Q1688" i="1"/>
  <c r="P1688" i="1"/>
  <c r="Q1687" i="1"/>
  <c r="P1687" i="1"/>
  <c r="Q1686" i="1"/>
  <c r="P1686" i="1"/>
  <c r="Q1685" i="1"/>
  <c r="P1685" i="1"/>
  <c r="Q1684" i="1"/>
  <c r="P1684" i="1"/>
  <c r="Q1683" i="1"/>
  <c r="P1683" i="1"/>
  <c r="Q1682" i="1"/>
  <c r="P1682" i="1"/>
  <c r="Q1681" i="1"/>
  <c r="P1681" i="1"/>
  <c r="Q1680" i="1"/>
  <c r="P1680" i="1"/>
  <c r="Q1679" i="1"/>
  <c r="P1679" i="1"/>
  <c r="Q1678" i="1"/>
  <c r="P1678" i="1"/>
  <c r="Q1677" i="1"/>
  <c r="P1677" i="1"/>
  <c r="Q1676" i="1"/>
  <c r="P1676" i="1"/>
  <c r="Q1675" i="1"/>
  <c r="P1675" i="1"/>
  <c r="Q1674" i="1"/>
  <c r="P1674" i="1"/>
  <c r="Q1673" i="1"/>
  <c r="P1673" i="1"/>
  <c r="Q1672" i="1"/>
  <c r="P1672" i="1"/>
  <c r="Q1671" i="1"/>
  <c r="P1671" i="1"/>
  <c r="Q1670" i="1"/>
  <c r="P1670" i="1"/>
  <c r="Q1669" i="1"/>
  <c r="P1669" i="1"/>
  <c r="Q1668" i="1"/>
  <c r="P1668" i="1"/>
  <c r="Q1667" i="1"/>
  <c r="P1667" i="1"/>
  <c r="Q1666" i="1"/>
  <c r="P1666" i="1"/>
  <c r="Q1665" i="1"/>
  <c r="P1665" i="1"/>
  <c r="Q1664" i="1"/>
  <c r="P1664" i="1"/>
  <c r="Q1663" i="1"/>
  <c r="P1663" i="1"/>
  <c r="Q1662" i="1"/>
  <c r="P1662" i="1"/>
  <c r="Q1661" i="1"/>
  <c r="P1661" i="1"/>
  <c r="Q1660" i="1"/>
  <c r="P1660" i="1"/>
  <c r="Q1659" i="1"/>
  <c r="P1659" i="1"/>
  <c r="Q1658" i="1"/>
  <c r="P1658" i="1"/>
  <c r="Q1657" i="1"/>
  <c r="P1657" i="1"/>
  <c r="Q1656" i="1"/>
  <c r="P1656" i="1"/>
  <c r="Q1655" i="1"/>
  <c r="P1655" i="1"/>
  <c r="Q1654" i="1"/>
  <c r="P1654" i="1"/>
  <c r="Q1653" i="1"/>
  <c r="P1653" i="1"/>
  <c r="Q1652" i="1"/>
  <c r="P1652" i="1"/>
  <c r="Q1651" i="1"/>
  <c r="P1651" i="1"/>
  <c r="Q1650" i="1"/>
  <c r="P1650" i="1"/>
  <c r="Q1649" i="1"/>
  <c r="P1649" i="1"/>
  <c r="Q1648" i="1"/>
  <c r="P1648" i="1"/>
  <c r="Q1647" i="1"/>
  <c r="P1647" i="1"/>
  <c r="Q1646" i="1"/>
  <c r="P1646" i="1"/>
  <c r="Q1645" i="1"/>
  <c r="P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H1644" i="1"/>
  <c r="J1644" i="1"/>
  <c r="K1644" i="1"/>
  <c r="Q1644" i="1"/>
  <c r="P1644" i="1"/>
  <c r="H1643" i="1"/>
  <c r="J1643" i="1"/>
  <c r="K1643" i="1"/>
  <c r="Q1643" i="1"/>
  <c r="P1643" i="1"/>
  <c r="Q1642" i="1"/>
  <c r="P1642" i="1"/>
  <c r="Q1641" i="1"/>
  <c r="P1641" i="1"/>
  <c r="Q1640" i="1"/>
  <c r="P1640" i="1"/>
  <c r="Q1639" i="1"/>
  <c r="P1639" i="1"/>
  <c r="Q1638" i="1"/>
  <c r="P1638" i="1"/>
  <c r="Q1637" i="1"/>
  <c r="P1637" i="1"/>
  <c r="Q1636" i="1"/>
  <c r="P1636" i="1"/>
  <c r="Q1635" i="1"/>
  <c r="P1635" i="1"/>
  <c r="Q1634" i="1"/>
  <c r="P1634" i="1"/>
  <c r="Q1633" i="1"/>
  <c r="P1633" i="1"/>
  <c r="Q1632" i="1"/>
  <c r="P1632" i="1"/>
  <c r="Q1631" i="1"/>
  <c r="P1631" i="1"/>
  <c r="Q1630" i="1"/>
  <c r="P1630" i="1"/>
  <c r="Q1629" i="1"/>
  <c r="P1629" i="1"/>
  <c r="Q1628" i="1"/>
  <c r="P1628" i="1"/>
  <c r="Q1627" i="1"/>
  <c r="P1627" i="1"/>
  <c r="Q1626" i="1"/>
  <c r="P1626" i="1"/>
  <c r="Q1625" i="1"/>
  <c r="P1625" i="1"/>
  <c r="Q1624" i="1"/>
  <c r="P1624" i="1"/>
  <c r="Q1623" i="1"/>
  <c r="P1623" i="1"/>
  <c r="Q1622" i="1"/>
  <c r="P1622" i="1"/>
  <c r="Q1621" i="1"/>
  <c r="P1621" i="1"/>
  <c r="Q1620" i="1"/>
  <c r="P1620" i="1"/>
  <c r="Q1619" i="1"/>
  <c r="P1619" i="1"/>
  <c r="Q1618" i="1"/>
  <c r="P1618" i="1"/>
  <c r="Q1617" i="1"/>
  <c r="P1617" i="1"/>
  <c r="Q1616" i="1"/>
  <c r="P1616" i="1"/>
  <c r="Q1615" i="1"/>
  <c r="P1615" i="1"/>
  <c r="Q1614" i="1"/>
  <c r="P1614" i="1"/>
  <c r="Q1613" i="1"/>
  <c r="P1613" i="1"/>
  <c r="Q1612" i="1"/>
  <c r="P1612" i="1"/>
  <c r="Q1611" i="1"/>
  <c r="P1611" i="1"/>
  <c r="Q1610" i="1"/>
  <c r="P1610" i="1"/>
  <c r="Q1609" i="1"/>
  <c r="P1609" i="1"/>
  <c r="Q1608" i="1"/>
  <c r="P1608" i="1"/>
  <c r="Q1607" i="1"/>
  <c r="P1607" i="1"/>
  <c r="Q1606" i="1"/>
  <c r="P1606" i="1"/>
  <c r="Q1605" i="1"/>
  <c r="P1605" i="1"/>
  <c r="Q1604" i="1"/>
  <c r="P1604" i="1"/>
  <c r="Q1603" i="1"/>
  <c r="P1603" i="1"/>
  <c r="Q1602" i="1"/>
  <c r="P1602" i="1"/>
  <c r="Q1601" i="1"/>
  <c r="P1601" i="1"/>
  <c r="Q1600" i="1"/>
  <c r="P1600" i="1"/>
  <c r="Q1599" i="1"/>
  <c r="P1599" i="1"/>
  <c r="Q1598" i="1"/>
  <c r="P1598" i="1"/>
  <c r="Q1597" i="1"/>
  <c r="P1597" i="1"/>
  <c r="Q1596" i="1"/>
  <c r="P1596" i="1"/>
  <c r="Q1595" i="1"/>
  <c r="P1595" i="1"/>
  <c r="Q1594" i="1"/>
  <c r="P1594" i="1"/>
  <c r="Q1593" i="1"/>
  <c r="P1593" i="1"/>
  <c r="Q1592" i="1"/>
  <c r="P1592" i="1"/>
  <c r="Q1591" i="1"/>
  <c r="P1591" i="1"/>
  <c r="Q1590" i="1"/>
  <c r="P1590" i="1"/>
  <c r="Q1589" i="1"/>
  <c r="P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H1588" i="1"/>
  <c r="J1588" i="1"/>
  <c r="K1588" i="1"/>
  <c r="Q1588" i="1"/>
  <c r="P1588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/>
  <c r="Q1581" i="1"/>
  <c r="P1581" i="1"/>
  <c r="Q1582" i="1"/>
  <c r="P1582" i="1"/>
  <c r="Q1583" i="1"/>
  <c r="P1583" i="1"/>
  <c r="Q1584" i="1"/>
  <c r="P1584" i="1"/>
  <c r="Q1585" i="1"/>
  <c r="P1585" i="1"/>
  <c r="Q1586" i="1"/>
  <c r="P1586" i="1"/>
  <c r="Q1587" i="1"/>
  <c r="P1587" i="1"/>
  <c r="H1579" i="1"/>
  <c r="J1579" i="1"/>
  <c r="K1579" i="1"/>
  <c r="Q1579" i="1"/>
  <c r="P1579" i="1"/>
  <c r="H1577" i="1"/>
  <c r="H1578" i="1"/>
  <c r="J1577" i="1"/>
  <c r="J1578" i="1"/>
  <c r="K1577" i="1"/>
  <c r="K1578" i="1"/>
  <c r="Q1577" i="1"/>
  <c r="P1577" i="1"/>
  <c r="Q1578" i="1"/>
  <c r="P1578" i="1"/>
  <c r="H1576" i="1"/>
  <c r="J1576" i="1"/>
  <c r="K1576" i="1"/>
  <c r="Q1576" i="1"/>
  <c r="P1576" i="1"/>
  <c r="H1575" i="1"/>
  <c r="J1575" i="1"/>
  <c r="K1575" i="1"/>
  <c r="Q1575" i="1"/>
  <c r="P1575" i="1"/>
  <c r="H1574" i="1"/>
  <c r="J1574" i="1"/>
  <c r="K1574" i="1"/>
  <c r="Q1574" i="1"/>
  <c r="P1574" i="1"/>
  <c r="H1573" i="1"/>
  <c r="J1573" i="1"/>
  <c r="K1573" i="1"/>
  <c r="Q1573" i="1"/>
  <c r="P1573" i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/>
  <c r="Q1570" i="1"/>
  <c r="P1570" i="1"/>
  <c r="Q1571" i="1"/>
  <c r="P1571" i="1"/>
  <c r="Q1572" i="1"/>
  <c r="P1572" i="1"/>
  <c r="H1568" i="1"/>
  <c r="J1568" i="1"/>
  <c r="K1568" i="1"/>
  <c r="Q1568" i="1"/>
  <c r="P1568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/>
  <c r="Q1563" i="1"/>
  <c r="P1563" i="1"/>
  <c r="Q1564" i="1"/>
  <c r="P1564" i="1"/>
  <c r="Q1565" i="1"/>
  <c r="P1565" i="1"/>
  <c r="Q1566" i="1"/>
  <c r="P1566" i="1"/>
  <c r="Q1567" i="1"/>
  <c r="P1567" i="1"/>
  <c r="H1561" i="1"/>
  <c r="J1561" i="1"/>
  <c r="K1561" i="1"/>
  <c r="Q1561" i="1"/>
  <c r="P1561" i="1"/>
  <c r="H1560" i="1"/>
  <c r="J1560" i="1"/>
  <c r="K1560" i="1"/>
  <c r="Q1560" i="1"/>
  <c r="P1560" i="1"/>
  <c r="H1559" i="1"/>
  <c r="J1559" i="1"/>
  <c r="K1559" i="1"/>
  <c r="Q1559" i="1"/>
  <c r="P1559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/>
  <c r="Q1551" i="1"/>
  <c r="P1551" i="1"/>
  <c r="Q1552" i="1"/>
  <c r="P1552" i="1"/>
  <c r="Q1553" i="1"/>
  <c r="P1553" i="1"/>
  <c r="Q1554" i="1"/>
  <c r="P1554" i="1"/>
  <c r="Q1555" i="1"/>
  <c r="P1555" i="1"/>
  <c r="Q1556" i="1"/>
  <c r="P1556" i="1"/>
  <c r="Q1557" i="1"/>
  <c r="P1557" i="1"/>
  <c r="Q1558" i="1"/>
  <c r="P1558" i="1"/>
  <c r="H1549" i="1"/>
  <c r="J1549" i="1"/>
  <c r="K1549" i="1"/>
  <c r="Q1549" i="1"/>
  <c r="P1549" i="1"/>
  <c r="H1548" i="1"/>
  <c r="J1548" i="1"/>
  <c r="K1548" i="1"/>
  <c r="Q1548" i="1"/>
  <c r="P1548" i="1"/>
  <c r="H1547" i="1"/>
  <c r="J1547" i="1"/>
  <c r="K1547" i="1"/>
  <c r="Q1547" i="1"/>
  <c r="P1547" i="1"/>
  <c r="Q1546" i="1"/>
  <c r="P1546" i="1"/>
  <c r="K1546" i="1"/>
  <c r="Q1545" i="1"/>
  <c r="P1545" i="1"/>
  <c r="K1545" i="1"/>
  <c r="Q1544" i="1"/>
  <c r="P1544" i="1"/>
  <c r="K1544" i="1"/>
  <c r="Q1543" i="1"/>
  <c r="P1543" i="1"/>
  <c r="K1543" i="1"/>
  <c r="Q1542" i="1"/>
  <c r="P1542" i="1"/>
  <c r="K1542" i="1"/>
  <c r="Q1541" i="1"/>
  <c r="P1541" i="1"/>
  <c r="K1541" i="1"/>
  <c r="Q1540" i="1"/>
  <c r="P1540" i="1"/>
  <c r="K1540" i="1"/>
  <c r="Q1539" i="1"/>
  <c r="P1539" i="1"/>
  <c r="K1539" i="1"/>
  <c r="Q1538" i="1"/>
  <c r="P1538" i="1"/>
  <c r="K1538" i="1"/>
  <c r="Q1537" i="1"/>
  <c r="P1537" i="1"/>
  <c r="K1537" i="1"/>
  <c r="Q1536" i="1"/>
  <c r="P1536" i="1"/>
  <c r="K1536" i="1"/>
  <c r="Q1535" i="1"/>
  <c r="P1535" i="1"/>
  <c r="K1535" i="1"/>
  <c r="Q1534" i="1"/>
  <c r="P1534" i="1"/>
  <c r="K1534" i="1"/>
  <c r="Q1533" i="1"/>
  <c r="P1533" i="1"/>
  <c r="K1533" i="1"/>
  <c r="Q1532" i="1"/>
  <c r="P1532" i="1"/>
  <c r="K1532" i="1"/>
  <c r="Q1531" i="1"/>
  <c r="P1531" i="1"/>
  <c r="K1531" i="1"/>
  <c r="Q1530" i="1"/>
  <c r="P1530" i="1"/>
  <c r="K1530" i="1"/>
  <c r="Q1529" i="1"/>
  <c r="P1529" i="1"/>
  <c r="K1529" i="1"/>
  <c r="Q1528" i="1"/>
  <c r="P1528" i="1"/>
  <c r="K1528" i="1"/>
  <c r="Q1527" i="1"/>
  <c r="P1527" i="1"/>
  <c r="K1527" i="1"/>
  <c r="Q1526" i="1"/>
  <c r="P1526" i="1"/>
  <c r="K1526" i="1"/>
  <c r="Q1525" i="1"/>
  <c r="P1525" i="1"/>
  <c r="K1525" i="1"/>
  <c r="Q1524" i="1"/>
  <c r="P1524" i="1"/>
  <c r="K1524" i="1"/>
  <c r="Q1523" i="1"/>
  <c r="P1523" i="1"/>
  <c r="K1523" i="1"/>
  <c r="Q1522" i="1"/>
  <c r="P1522" i="1"/>
  <c r="K1522" i="1"/>
  <c r="Q1521" i="1"/>
  <c r="P1521" i="1"/>
  <c r="K1521" i="1"/>
  <c r="Q1520" i="1"/>
  <c r="P1520" i="1"/>
  <c r="K1520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/>
  <c r="H1518" i="1"/>
  <c r="J1518" i="1"/>
  <c r="K1518" i="1"/>
  <c r="Q1518" i="1"/>
  <c r="P1518" i="1"/>
  <c r="H1517" i="1"/>
  <c r="J1517" i="1"/>
  <c r="K1517" i="1"/>
  <c r="Q1517" i="1"/>
  <c r="P1517" i="1"/>
  <c r="H1514" i="1"/>
  <c r="J1513" i="1"/>
  <c r="J1514" i="1"/>
  <c r="K1513" i="1"/>
  <c r="K1514" i="1"/>
  <c r="Q1513" i="1"/>
  <c r="P1513" i="1"/>
  <c r="Q1514" i="1"/>
  <c r="P1514" i="1"/>
  <c r="H1512" i="1"/>
  <c r="J1512" i="1"/>
  <c r="K1512" i="1"/>
  <c r="Q1512" i="1"/>
  <c r="P151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/>
  <c r="Q1503" i="1"/>
  <c r="P1503" i="1"/>
  <c r="Q1504" i="1"/>
  <c r="P1504" i="1"/>
  <c r="Q1505" i="1"/>
  <c r="P1505" i="1"/>
  <c r="Q1506" i="1"/>
  <c r="P1506" i="1"/>
  <c r="Q1507" i="1"/>
  <c r="P1507" i="1"/>
  <c r="Q1508" i="1"/>
  <c r="P1508" i="1"/>
  <c r="Q1509" i="1"/>
  <c r="P1509" i="1"/>
  <c r="Q1510" i="1"/>
  <c r="P1510" i="1"/>
  <c r="Q1511" i="1"/>
  <c r="P1511" i="1"/>
  <c r="H1501" i="1"/>
  <c r="J1501" i="1"/>
  <c r="K1501" i="1"/>
  <c r="Q1501" i="1"/>
  <c r="P1501" i="1"/>
  <c r="H1499" i="1"/>
  <c r="H1500" i="1"/>
  <c r="J1499" i="1"/>
  <c r="J1500" i="1"/>
  <c r="K1499" i="1"/>
  <c r="K1500" i="1"/>
  <c r="Q1499" i="1"/>
  <c r="P1499" i="1"/>
  <c r="Q1500" i="1"/>
  <c r="P1500" i="1"/>
  <c r="H1498" i="1"/>
  <c r="J1498" i="1"/>
  <c r="K1498" i="1"/>
  <c r="Q1498" i="1"/>
  <c r="P1498" i="1"/>
  <c r="H1497" i="1"/>
  <c r="J1497" i="1"/>
  <c r="K1497" i="1"/>
  <c r="Q1497" i="1"/>
  <c r="P1497" i="1"/>
  <c r="H1496" i="1"/>
  <c r="J1496" i="1"/>
  <c r="K1496" i="1"/>
  <c r="Q1496" i="1"/>
  <c r="P1496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/>
  <c r="Q1479" i="1"/>
  <c r="P1479" i="1"/>
  <c r="Q1480" i="1"/>
  <c r="P1480" i="1"/>
  <c r="Q1481" i="1"/>
  <c r="P1481" i="1"/>
  <c r="Q1482" i="1"/>
  <c r="P1482" i="1"/>
  <c r="Q1483" i="1"/>
  <c r="P1483" i="1"/>
  <c r="Q1484" i="1"/>
  <c r="P1484" i="1"/>
  <c r="Q1485" i="1"/>
  <c r="P1485" i="1"/>
  <c r="Q1486" i="1"/>
  <c r="P1486" i="1"/>
  <c r="Q1487" i="1"/>
  <c r="P1487" i="1"/>
  <c r="Q1488" i="1"/>
  <c r="P1488" i="1"/>
  <c r="Q1489" i="1"/>
  <c r="P1489" i="1"/>
  <c r="Q1490" i="1"/>
  <c r="P1490" i="1"/>
  <c r="Q1491" i="1"/>
  <c r="P1491" i="1"/>
  <c r="Q1492" i="1"/>
  <c r="P1492" i="1"/>
  <c r="Q1493" i="1"/>
  <c r="P1493" i="1"/>
  <c r="Q1494" i="1"/>
  <c r="P1494" i="1"/>
  <c r="Q1495" i="1"/>
  <c r="P1495" i="1"/>
  <c r="H1477" i="1"/>
  <c r="J1477" i="1"/>
  <c r="K1477" i="1"/>
  <c r="Q1477" i="1"/>
  <c r="P1477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/>
  <c r="Q1456" i="1"/>
  <c r="P1456" i="1"/>
  <c r="Q1457" i="1"/>
  <c r="P1457" i="1"/>
  <c r="Q1458" i="1"/>
  <c r="P1458" i="1"/>
  <c r="Q1459" i="1"/>
  <c r="P1459" i="1"/>
  <c r="Q1460" i="1"/>
  <c r="P1460" i="1"/>
  <c r="Q1461" i="1"/>
  <c r="P1461" i="1"/>
  <c r="Q1462" i="1"/>
  <c r="P1462" i="1"/>
  <c r="Q1463" i="1"/>
  <c r="P1463" i="1"/>
  <c r="Q1464" i="1"/>
  <c r="P1464" i="1"/>
  <c r="Q1465" i="1"/>
  <c r="P1465" i="1"/>
  <c r="Q1466" i="1"/>
  <c r="P1466" i="1"/>
  <c r="Q1467" i="1"/>
  <c r="P1467" i="1"/>
  <c r="Q1468" i="1"/>
  <c r="P1468" i="1"/>
  <c r="Q1469" i="1"/>
  <c r="P1469" i="1"/>
  <c r="Q1470" i="1"/>
  <c r="P1470" i="1"/>
  <c r="Q1471" i="1"/>
  <c r="P1471" i="1"/>
  <c r="Q1472" i="1"/>
  <c r="P1472" i="1"/>
  <c r="Q1473" i="1"/>
  <c r="P1473" i="1"/>
  <c r="Q1474" i="1"/>
  <c r="P1474" i="1"/>
  <c r="Q1475" i="1"/>
  <c r="P1475" i="1"/>
  <c r="Q1476" i="1"/>
  <c r="P1476" i="1"/>
  <c r="H1454" i="1"/>
  <c r="J1454" i="1"/>
  <c r="K1454" i="1"/>
  <c r="Q1454" i="1"/>
  <c r="P145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/>
  <c r="Q1436" i="1"/>
  <c r="P1436" i="1"/>
  <c r="Q1437" i="1"/>
  <c r="P1437" i="1"/>
  <c r="Q1438" i="1"/>
  <c r="P1438" i="1"/>
  <c r="Q1439" i="1"/>
  <c r="P1439" i="1"/>
  <c r="Q1440" i="1"/>
  <c r="P1440" i="1"/>
  <c r="Q1441" i="1"/>
  <c r="P1441" i="1"/>
  <c r="Q1442" i="1"/>
  <c r="P1442" i="1"/>
  <c r="Q1443" i="1"/>
  <c r="P1443" i="1"/>
  <c r="Q1444" i="1"/>
  <c r="P1444" i="1"/>
  <c r="Q1445" i="1"/>
  <c r="P1445" i="1"/>
  <c r="Q1446" i="1"/>
  <c r="P1446" i="1"/>
  <c r="Q1447" i="1"/>
  <c r="P1447" i="1"/>
  <c r="Q1448" i="1"/>
  <c r="P1448" i="1"/>
  <c r="Q1449" i="1"/>
  <c r="P1449" i="1"/>
  <c r="Q1450" i="1"/>
  <c r="P1450" i="1"/>
  <c r="Q1451" i="1"/>
  <c r="P1451" i="1"/>
  <c r="Q1452" i="1"/>
  <c r="P1452" i="1"/>
  <c r="Q1453" i="1"/>
  <c r="P1453" i="1"/>
  <c r="H1434" i="1"/>
  <c r="J1434" i="1"/>
  <c r="K1434" i="1"/>
  <c r="Q1434" i="1"/>
  <c r="P1434" i="1"/>
  <c r="H1433" i="1"/>
  <c r="J1433" i="1"/>
  <c r="K1433" i="1"/>
  <c r="Q1433" i="1"/>
  <c r="P1433" i="1"/>
  <c r="Q1432" i="1"/>
  <c r="P1432" i="1"/>
  <c r="K1432" i="1"/>
  <c r="H1432" i="1"/>
  <c r="J1432" i="1"/>
  <c r="H1431" i="1"/>
  <c r="J1431" i="1"/>
  <c r="K1431" i="1"/>
  <c r="Q1431" i="1"/>
  <c r="P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/>
  <c r="Q1355" i="1"/>
  <c r="P1355" i="1"/>
  <c r="Q1356" i="1"/>
  <c r="P1356" i="1"/>
  <c r="Q1357" i="1"/>
  <c r="P1357" i="1"/>
  <c r="Q1358" i="1"/>
  <c r="P1358" i="1"/>
  <c r="Q1359" i="1"/>
  <c r="P1359" i="1"/>
  <c r="Q1360" i="1"/>
  <c r="P1360" i="1"/>
  <c r="Q1361" i="1"/>
  <c r="P1361" i="1"/>
  <c r="Q1362" i="1"/>
  <c r="P1362" i="1"/>
  <c r="Q1363" i="1"/>
  <c r="P1363" i="1"/>
  <c r="Q1364" i="1"/>
  <c r="P1364" i="1"/>
  <c r="Q1365" i="1"/>
  <c r="P1365" i="1"/>
  <c r="Q1366" i="1"/>
  <c r="P1366" i="1"/>
  <c r="Q1367" i="1"/>
  <c r="P1367" i="1"/>
  <c r="Q1368" i="1"/>
  <c r="P1368" i="1"/>
  <c r="Q1369" i="1"/>
  <c r="P1369" i="1"/>
  <c r="Q1370" i="1"/>
  <c r="P1370" i="1"/>
  <c r="Q1371" i="1"/>
  <c r="P1371" i="1"/>
  <c r="Q1372" i="1"/>
  <c r="P1372" i="1"/>
  <c r="Q1373" i="1"/>
  <c r="P1373" i="1"/>
  <c r="Q1374" i="1"/>
  <c r="P1374" i="1"/>
  <c r="Q1375" i="1"/>
  <c r="P1375" i="1"/>
  <c r="Q1376" i="1"/>
  <c r="P1376" i="1"/>
  <c r="Q1377" i="1"/>
  <c r="P1377" i="1"/>
  <c r="Q1378" i="1"/>
  <c r="P1378" i="1"/>
  <c r="Q1379" i="1"/>
  <c r="P1379" i="1"/>
  <c r="Q1380" i="1"/>
  <c r="P1380" i="1"/>
  <c r="Q1381" i="1"/>
  <c r="P1381" i="1"/>
  <c r="Q1382" i="1"/>
  <c r="P1382" i="1"/>
  <c r="Q1383" i="1"/>
  <c r="P1383" i="1"/>
  <c r="Q1384" i="1"/>
  <c r="P1384" i="1"/>
  <c r="Q1385" i="1"/>
  <c r="P1385" i="1"/>
  <c r="Q1386" i="1"/>
  <c r="P1386" i="1"/>
  <c r="Q1387" i="1"/>
  <c r="P1387" i="1"/>
  <c r="Q1388" i="1"/>
  <c r="P1388" i="1"/>
  <c r="Q1389" i="1"/>
  <c r="P1389" i="1"/>
  <c r="Q1390" i="1"/>
  <c r="P1390" i="1"/>
  <c r="Q1391" i="1"/>
  <c r="P1391" i="1"/>
  <c r="Q1392" i="1"/>
  <c r="P1392" i="1"/>
  <c r="Q1393" i="1"/>
  <c r="P1393" i="1"/>
  <c r="Q1394" i="1"/>
  <c r="P1394" i="1"/>
  <c r="Q1395" i="1"/>
  <c r="P1395" i="1"/>
  <c r="Q1396" i="1"/>
  <c r="P1396" i="1"/>
  <c r="Q1397" i="1"/>
  <c r="P1397" i="1"/>
  <c r="Q1398" i="1"/>
  <c r="P1398" i="1"/>
  <c r="Q1399" i="1"/>
  <c r="P1399" i="1"/>
  <c r="Q1400" i="1"/>
  <c r="P1400" i="1"/>
  <c r="Q1401" i="1"/>
  <c r="P1401" i="1"/>
  <c r="Q1402" i="1"/>
  <c r="P1402" i="1"/>
  <c r="Q1403" i="1"/>
  <c r="P1403" i="1"/>
  <c r="Q1404" i="1"/>
  <c r="P1404" i="1"/>
  <c r="Q1405" i="1"/>
  <c r="P1405" i="1"/>
  <c r="Q1406" i="1"/>
  <c r="P1406" i="1"/>
  <c r="Q1407" i="1"/>
  <c r="P1407" i="1"/>
  <c r="Q1408" i="1"/>
  <c r="P1408" i="1"/>
  <c r="Q1409" i="1"/>
  <c r="P1409" i="1"/>
  <c r="Q1410" i="1"/>
  <c r="P1410" i="1"/>
  <c r="Q1411" i="1"/>
  <c r="P1411" i="1"/>
  <c r="Q1412" i="1"/>
  <c r="P1412" i="1"/>
  <c r="Q1413" i="1"/>
  <c r="P1413" i="1"/>
  <c r="Q1414" i="1"/>
  <c r="P1414" i="1"/>
  <c r="Q1415" i="1"/>
  <c r="P1415" i="1"/>
  <c r="Q1416" i="1"/>
  <c r="P1416" i="1"/>
  <c r="Q1417" i="1"/>
  <c r="P1417" i="1"/>
  <c r="Q1418" i="1"/>
  <c r="P1418" i="1"/>
  <c r="Q1419" i="1"/>
  <c r="P1419" i="1"/>
  <c r="Q1420" i="1"/>
  <c r="P1420" i="1"/>
  <c r="Q1421" i="1"/>
  <c r="P1421" i="1"/>
  <c r="Q1422" i="1"/>
  <c r="P1422" i="1"/>
  <c r="Q1423" i="1"/>
  <c r="P1423" i="1"/>
  <c r="Q1424" i="1"/>
  <c r="P1424" i="1"/>
  <c r="Q1425" i="1"/>
  <c r="P1425" i="1"/>
  <c r="Q1426" i="1"/>
  <c r="P1426" i="1"/>
  <c r="Q1427" i="1"/>
  <c r="P1427" i="1"/>
  <c r="Q1428" i="1"/>
  <c r="P1428" i="1"/>
  <c r="Q1429" i="1"/>
  <c r="P1429" i="1"/>
  <c r="Q1430" i="1"/>
  <c r="P1430" i="1"/>
  <c r="H1353" i="1"/>
  <c r="J1353" i="1"/>
  <c r="K1353" i="1"/>
  <c r="Q1353" i="1"/>
  <c r="P1353" i="1"/>
  <c r="H1352" i="1"/>
  <c r="J1352" i="1"/>
  <c r="K1352" i="1"/>
  <c r="Q1352" i="1"/>
  <c r="P1352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/>
  <c r="Q1336" i="1"/>
  <c r="P1336" i="1"/>
  <c r="Q1337" i="1"/>
  <c r="P1337" i="1"/>
  <c r="Q1338" i="1"/>
  <c r="P1338" i="1"/>
  <c r="Q1339" i="1"/>
  <c r="P1339" i="1"/>
  <c r="Q1340" i="1"/>
  <c r="P1340" i="1"/>
  <c r="Q1341" i="1"/>
  <c r="P1341" i="1"/>
  <c r="Q1342" i="1"/>
  <c r="P1342" i="1"/>
  <c r="Q1343" i="1"/>
  <c r="P1343" i="1"/>
  <c r="Q1344" i="1"/>
  <c r="P1344" i="1"/>
  <c r="Q1345" i="1"/>
  <c r="P1345" i="1"/>
  <c r="Q1346" i="1"/>
  <c r="P1346" i="1"/>
  <c r="Q1347" i="1"/>
  <c r="P1347" i="1"/>
  <c r="Q1348" i="1"/>
  <c r="P1348" i="1"/>
  <c r="Q1349" i="1"/>
  <c r="P1349" i="1"/>
  <c r="Q1350" i="1"/>
  <c r="P1350" i="1"/>
  <c r="Q1351" i="1"/>
  <c r="P1351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/>
  <c r="Q1300" i="1"/>
  <c r="P1300" i="1"/>
  <c r="Q1301" i="1"/>
  <c r="P1301" i="1"/>
  <c r="Q1302" i="1"/>
  <c r="P1302" i="1"/>
  <c r="Q1303" i="1"/>
  <c r="P1303" i="1"/>
  <c r="Q1304" i="1"/>
  <c r="P1304" i="1"/>
  <c r="Q1305" i="1"/>
  <c r="P1305" i="1"/>
  <c r="Q1306" i="1"/>
  <c r="P1306" i="1"/>
  <c r="Q1307" i="1"/>
  <c r="P1307" i="1"/>
  <c r="Q1308" i="1"/>
  <c r="P1308" i="1"/>
  <c r="Q1309" i="1"/>
  <c r="P1309" i="1"/>
  <c r="Q1310" i="1"/>
  <c r="P1310" i="1"/>
  <c r="Q1311" i="1"/>
  <c r="P1311" i="1"/>
  <c r="Q1312" i="1"/>
  <c r="P1312" i="1"/>
  <c r="Q1313" i="1"/>
  <c r="P1313" i="1"/>
  <c r="Q1314" i="1"/>
  <c r="P1314" i="1"/>
  <c r="Q1315" i="1"/>
  <c r="P1315" i="1"/>
  <c r="Q1316" i="1"/>
  <c r="P1316" i="1"/>
  <c r="Q1317" i="1"/>
  <c r="P1317" i="1"/>
  <c r="Q1318" i="1"/>
  <c r="P1318" i="1"/>
  <c r="Q1319" i="1"/>
  <c r="P1319" i="1"/>
  <c r="Q1320" i="1"/>
  <c r="P1320" i="1"/>
  <c r="Q1321" i="1"/>
  <c r="P1321" i="1"/>
  <c r="Q1322" i="1"/>
  <c r="P1322" i="1"/>
  <c r="Q1323" i="1"/>
  <c r="P1323" i="1"/>
  <c r="Q1324" i="1"/>
  <c r="P1324" i="1"/>
  <c r="Q1325" i="1"/>
  <c r="P1325" i="1"/>
  <c r="Q1326" i="1"/>
  <c r="P1326" i="1"/>
  <c r="Q1327" i="1"/>
  <c r="P1327" i="1"/>
  <c r="Q1328" i="1"/>
  <c r="P1328" i="1"/>
  <c r="Q1329" i="1"/>
  <c r="P1329" i="1"/>
  <c r="Q1330" i="1"/>
  <c r="P1330" i="1"/>
  <c r="Q1331" i="1"/>
  <c r="P1331" i="1"/>
  <c r="Q1332" i="1"/>
  <c r="P1332" i="1"/>
  <c r="Q1333" i="1"/>
  <c r="P1333" i="1"/>
  <c r="Q1334" i="1"/>
  <c r="P1334" i="1"/>
  <c r="H1298" i="1"/>
  <c r="J1298" i="1"/>
  <c r="K1298" i="1"/>
  <c r="Q1298" i="1"/>
  <c r="P1298" i="1"/>
  <c r="H1297" i="1"/>
  <c r="J1297" i="1"/>
  <c r="K1297" i="1"/>
  <c r="Q1297" i="1"/>
  <c r="P1297" i="1"/>
  <c r="K1296" i="1"/>
  <c r="K1295" i="1"/>
  <c r="H1296" i="1"/>
  <c r="J1296" i="1"/>
  <c r="Q1296" i="1"/>
  <c r="P1296" i="1"/>
  <c r="H1295" i="1"/>
  <c r="J1295" i="1"/>
  <c r="Q1295" i="1"/>
  <c r="P1295" i="1"/>
  <c r="H1294" i="1"/>
  <c r="J1294" i="1"/>
  <c r="K1294" i="1"/>
  <c r="Q1294" i="1"/>
  <c r="P1294" i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/>
  <c r="Q1195" i="1"/>
  <c r="P1195" i="1"/>
  <c r="Q1196" i="1"/>
  <c r="P1196" i="1"/>
  <c r="Q1197" i="1"/>
  <c r="P1197" i="1"/>
  <c r="Q1198" i="1"/>
  <c r="P1198" i="1"/>
  <c r="Q1199" i="1"/>
  <c r="P1199" i="1"/>
  <c r="Q1200" i="1"/>
  <c r="P1200" i="1"/>
  <c r="Q1201" i="1"/>
  <c r="P1201" i="1"/>
  <c r="Q1202" i="1"/>
  <c r="P1202" i="1"/>
  <c r="Q1203" i="1"/>
  <c r="P1203" i="1"/>
  <c r="Q1204" i="1"/>
  <c r="P1204" i="1"/>
  <c r="Q1205" i="1"/>
  <c r="P1205" i="1"/>
  <c r="Q1206" i="1"/>
  <c r="P1206" i="1"/>
  <c r="Q1207" i="1"/>
  <c r="P1207" i="1"/>
  <c r="Q1208" i="1"/>
  <c r="P1208" i="1"/>
  <c r="Q1209" i="1"/>
  <c r="P1209" i="1"/>
  <c r="Q1210" i="1"/>
  <c r="P1210" i="1"/>
  <c r="Q1211" i="1"/>
  <c r="P1211" i="1"/>
  <c r="Q1212" i="1"/>
  <c r="P1212" i="1"/>
  <c r="Q1213" i="1"/>
  <c r="P1213" i="1"/>
  <c r="Q1214" i="1"/>
  <c r="P1214" i="1"/>
  <c r="Q1215" i="1"/>
  <c r="P1215" i="1"/>
  <c r="Q1216" i="1"/>
  <c r="P1216" i="1"/>
  <c r="Q1217" i="1"/>
  <c r="P1217" i="1"/>
  <c r="Q1218" i="1"/>
  <c r="P1218" i="1"/>
  <c r="Q1219" i="1"/>
  <c r="P1219" i="1"/>
  <c r="Q1220" i="1"/>
  <c r="P1220" i="1"/>
  <c r="Q1221" i="1"/>
  <c r="P1221" i="1"/>
  <c r="Q1222" i="1"/>
  <c r="P1222" i="1"/>
  <c r="Q1223" i="1"/>
  <c r="P1223" i="1"/>
  <c r="Q1224" i="1"/>
  <c r="P1224" i="1"/>
  <c r="Q1225" i="1"/>
  <c r="P1225" i="1"/>
  <c r="Q1226" i="1"/>
  <c r="P1226" i="1"/>
  <c r="Q1227" i="1"/>
  <c r="P1227" i="1"/>
  <c r="Q1228" i="1"/>
  <c r="P1228" i="1"/>
  <c r="Q1229" i="1"/>
  <c r="P1229" i="1"/>
  <c r="Q1230" i="1"/>
  <c r="P1230" i="1"/>
  <c r="Q1231" i="1"/>
  <c r="P1231" i="1"/>
  <c r="Q1232" i="1"/>
  <c r="P1232" i="1"/>
  <c r="Q1233" i="1"/>
  <c r="P1233" i="1"/>
  <c r="Q1234" i="1"/>
  <c r="P1234" i="1"/>
  <c r="Q1235" i="1"/>
  <c r="P1235" i="1"/>
  <c r="Q1236" i="1"/>
  <c r="P1236" i="1"/>
  <c r="Q1237" i="1"/>
  <c r="P1237" i="1"/>
  <c r="Q1238" i="1"/>
  <c r="P1238" i="1"/>
  <c r="Q1239" i="1"/>
  <c r="P1239" i="1"/>
  <c r="Q1240" i="1"/>
  <c r="P1240" i="1"/>
  <c r="Q1241" i="1"/>
  <c r="P1241" i="1"/>
  <c r="Q1242" i="1"/>
  <c r="P1242" i="1"/>
  <c r="Q1243" i="1"/>
  <c r="P1243" i="1"/>
  <c r="Q1244" i="1"/>
  <c r="P1244" i="1"/>
  <c r="Q1245" i="1"/>
  <c r="P1245" i="1"/>
  <c r="Q1246" i="1"/>
  <c r="P1246" i="1"/>
  <c r="Q1247" i="1"/>
  <c r="P1247" i="1"/>
  <c r="Q1248" i="1"/>
  <c r="P1248" i="1"/>
  <c r="Q1249" i="1"/>
  <c r="P1249" i="1"/>
  <c r="Q1250" i="1"/>
  <c r="P1250" i="1"/>
  <c r="Q1251" i="1"/>
  <c r="P1251" i="1"/>
  <c r="Q1252" i="1"/>
  <c r="P1252" i="1"/>
  <c r="Q1253" i="1"/>
  <c r="P1253" i="1"/>
  <c r="Q1254" i="1"/>
  <c r="P1254" i="1"/>
  <c r="Q1255" i="1"/>
  <c r="P1255" i="1"/>
  <c r="Q1256" i="1"/>
  <c r="P1256" i="1"/>
  <c r="Q1257" i="1"/>
  <c r="P1257" i="1"/>
  <c r="Q1258" i="1"/>
  <c r="P1258" i="1"/>
  <c r="Q1259" i="1"/>
  <c r="P1259" i="1"/>
  <c r="Q1260" i="1"/>
  <c r="P1260" i="1"/>
  <c r="Q1261" i="1"/>
  <c r="P1261" i="1"/>
  <c r="Q1262" i="1"/>
  <c r="P1262" i="1"/>
  <c r="Q1263" i="1"/>
  <c r="P1263" i="1"/>
  <c r="Q1264" i="1"/>
  <c r="P1264" i="1"/>
  <c r="Q1265" i="1"/>
  <c r="P1265" i="1"/>
  <c r="Q1266" i="1"/>
  <c r="P1266" i="1"/>
  <c r="Q1267" i="1"/>
  <c r="P1267" i="1"/>
  <c r="Q1268" i="1"/>
  <c r="P1268" i="1"/>
  <c r="Q1269" i="1"/>
  <c r="P1269" i="1"/>
  <c r="Q1270" i="1"/>
  <c r="P1270" i="1"/>
  <c r="Q1271" i="1"/>
  <c r="P1271" i="1"/>
  <c r="Q1272" i="1"/>
  <c r="P1272" i="1"/>
  <c r="Q1273" i="1"/>
  <c r="P1273" i="1"/>
  <c r="Q1274" i="1"/>
  <c r="P1274" i="1"/>
  <c r="Q1275" i="1"/>
  <c r="P1275" i="1"/>
  <c r="Q1276" i="1"/>
  <c r="P1276" i="1"/>
  <c r="Q1277" i="1"/>
  <c r="P1277" i="1"/>
  <c r="Q1278" i="1"/>
  <c r="P1278" i="1"/>
  <c r="Q1279" i="1"/>
  <c r="P1279" i="1"/>
  <c r="Q1280" i="1"/>
  <c r="P1280" i="1"/>
  <c r="Q1281" i="1"/>
  <c r="P1281" i="1"/>
  <c r="Q1282" i="1"/>
  <c r="P1282" i="1"/>
  <c r="Q1283" i="1"/>
  <c r="P1283" i="1"/>
  <c r="Q1284" i="1"/>
  <c r="P1284" i="1"/>
  <c r="Q1285" i="1"/>
  <c r="P1285" i="1"/>
  <c r="Q1286" i="1"/>
  <c r="P1286" i="1"/>
  <c r="Q1287" i="1"/>
  <c r="P1287" i="1"/>
  <c r="Q1288" i="1"/>
  <c r="P1288" i="1"/>
  <c r="Q1289" i="1"/>
  <c r="P1289" i="1"/>
  <c r="Q1290" i="1"/>
  <c r="P1290" i="1"/>
  <c r="Q1291" i="1"/>
  <c r="P1291" i="1"/>
  <c r="Q1292" i="1"/>
  <c r="P1292" i="1"/>
  <c r="Q1293" i="1"/>
  <c r="P1293" i="1"/>
  <c r="H1193" i="1"/>
  <c r="J1193" i="1"/>
  <c r="K1193" i="1"/>
  <c r="Q1193" i="1"/>
  <c r="P1193" i="1"/>
  <c r="H1192" i="1"/>
  <c r="J1192" i="1"/>
  <c r="K1192" i="1"/>
  <c r="Q1192" i="1"/>
  <c r="P1192" i="1"/>
  <c r="H1191" i="1"/>
  <c r="J1191" i="1"/>
  <c r="K1191" i="1"/>
  <c r="Q1191" i="1"/>
  <c r="P1191" i="1"/>
  <c r="H1190" i="1"/>
  <c r="J1190" i="1"/>
  <c r="K1190" i="1"/>
  <c r="Q1190" i="1"/>
  <c r="P1190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/>
  <c r="Q1187" i="1"/>
  <c r="P1187" i="1"/>
  <c r="Q1188" i="1"/>
  <c r="P1188" i="1"/>
  <c r="Q1189" i="1"/>
  <c r="P1189" i="1"/>
  <c r="H1185" i="1"/>
  <c r="J1185" i="1"/>
  <c r="K1185" i="1"/>
  <c r="Q1185" i="1"/>
  <c r="P1185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/>
  <c r="Q1178" i="1"/>
  <c r="P1178" i="1"/>
  <c r="Q1179" i="1"/>
  <c r="P1179" i="1"/>
  <c r="Q1180" i="1"/>
  <c r="P1180" i="1"/>
  <c r="Q1181" i="1"/>
  <c r="P1181" i="1"/>
  <c r="Q1182" i="1"/>
  <c r="P1182" i="1"/>
  <c r="Q1183" i="1"/>
  <c r="P1183" i="1"/>
  <c r="Q1184" i="1"/>
  <c r="P1184" i="1"/>
  <c r="H1176" i="1"/>
  <c r="J1176" i="1"/>
  <c r="K1176" i="1"/>
  <c r="Q1176" i="1"/>
  <c r="P1176" i="1"/>
  <c r="H1175" i="1"/>
  <c r="J1175" i="1"/>
  <c r="K1175" i="1"/>
  <c r="Q1175" i="1"/>
  <c r="P1175" i="1"/>
  <c r="H1174" i="1"/>
  <c r="J1174" i="1"/>
  <c r="K1174" i="1"/>
  <c r="Q1174" i="1"/>
  <c r="P1174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/>
  <c r="Q1171" i="1"/>
  <c r="P1171" i="1"/>
  <c r="Q1172" i="1"/>
  <c r="P1172" i="1"/>
  <c r="Q1173" i="1"/>
  <c r="P1173" i="1"/>
  <c r="H1169" i="1"/>
  <c r="J1169" i="1"/>
  <c r="K1169" i="1"/>
  <c r="Q1169" i="1"/>
  <c r="P1169" i="1"/>
  <c r="H1168" i="1"/>
  <c r="J1168" i="1"/>
  <c r="K1168" i="1"/>
  <c r="Q1168" i="1"/>
  <c r="P1168" i="1"/>
  <c r="H1167" i="1"/>
  <c r="J1167" i="1"/>
  <c r="K1167" i="1"/>
  <c r="Q1167" i="1"/>
  <c r="P1167" i="1"/>
  <c r="H1164" i="1"/>
  <c r="H1165" i="1"/>
  <c r="H1166" i="1"/>
  <c r="J1164" i="1"/>
  <c r="J1165" i="1"/>
  <c r="J1166" i="1"/>
  <c r="K1164" i="1"/>
  <c r="K1165" i="1"/>
  <c r="K1166" i="1"/>
  <c r="Q1164" i="1"/>
  <c r="P1164" i="1"/>
  <c r="Q1165" i="1"/>
  <c r="P1165" i="1"/>
  <c r="Q1166" i="1"/>
  <c r="P1166" i="1"/>
  <c r="H1163" i="1"/>
  <c r="J1163" i="1"/>
  <c r="K1163" i="1"/>
  <c r="Q1163" i="1"/>
  <c r="P1163" i="1"/>
  <c r="H1162" i="1"/>
  <c r="J1162" i="1"/>
  <c r="K1162" i="1"/>
  <c r="Q1162" i="1"/>
  <c r="P1162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/>
  <c r="Q1157" i="1"/>
  <c r="P1157" i="1"/>
  <c r="Q1158" i="1"/>
  <c r="P1158" i="1"/>
  <c r="Q1159" i="1"/>
  <c r="P1159" i="1"/>
  <c r="Q1160" i="1"/>
  <c r="P1160" i="1"/>
  <c r="Q1161" i="1"/>
  <c r="P1161" i="1"/>
  <c r="H1155" i="1"/>
  <c r="J1155" i="1"/>
  <c r="K1155" i="1"/>
  <c r="Q1155" i="1"/>
  <c r="P1155" i="1"/>
  <c r="H1152" i="1"/>
  <c r="H1153" i="1"/>
  <c r="H1154" i="1"/>
  <c r="J1152" i="1"/>
  <c r="J1153" i="1"/>
  <c r="J1154" i="1"/>
  <c r="K1152" i="1"/>
  <c r="K1153" i="1"/>
  <c r="K1154" i="1"/>
  <c r="Q1152" i="1"/>
  <c r="P1152" i="1"/>
  <c r="Q1153" i="1"/>
  <c r="P1153" i="1"/>
  <c r="Q1154" i="1"/>
  <c r="P1154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/>
  <c r="Q1149" i="1"/>
  <c r="P1149" i="1"/>
  <c r="Q1150" i="1"/>
  <c r="P1150" i="1"/>
  <c r="Q1151" i="1"/>
  <c r="P1151" i="1"/>
  <c r="H1147" i="1"/>
  <c r="J1147" i="1"/>
  <c r="K1147" i="1"/>
  <c r="Q1147" i="1"/>
  <c r="P1147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/>
  <c r="Q1139" i="1"/>
  <c r="P1139" i="1"/>
  <c r="Q1140" i="1"/>
  <c r="P1140" i="1"/>
  <c r="Q1141" i="1"/>
  <c r="P1141" i="1"/>
  <c r="Q1142" i="1"/>
  <c r="P1142" i="1"/>
  <c r="Q1143" i="1"/>
  <c r="P1143" i="1"/>
  <c r="Q1144" i="1"/>
  <c r="P1144" i="1"/>
  <c r="Q1145" i="1"/>
  <c r="P1145" i="1"/>
  <c r="Q1146" i="1"/>
  <c r="P1146" i="1"/>
  <c r="H1137" i="1"/>
  <c r="J1137" i="1"/>
  <c r="K1137" i="1"/>
  <c r="Q1137" i="1"/>
  <c r="P1137" i="1"/>
  <c r="H1136" i="1"/>
  <c r="J1136" i="1"/>
  <c r="K1136" i="1"/>
  <c r="Q1136" i="1"/>
  <c r="P1136" i="1"/>
  <c r="H1135" i="1"/>
  <c r="J1135" i="1"/>
  <c r="K1135" i="1"/>
  <c r="Q1135" i="1"/>
  <c r="P1135" i="1"/>
  <c r="H1133" i="1"/>
  <c r="H1134" i="1"/>
  <c r="J1133" i="1"/>
  <c r="J1134" i="1"/>
  <c r="K1133" i="1"/>
  <c r="K1134" i="1"/>
  <c r="Q1133" i="1"/>
  <c r="P1133" i="1"/>
  <c r="Q1134" i="1"/>
  <c r="P1134" i="1"/>
  <c r="H1132" i="1"/>
  <c r="J1132" i="1"/>
  <c r="K1132" i="1"/>
  <c r="Q1132" i="1"/>
  <c r="P1132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/>
  <c r="Q1126" i="1"/>
  <c r="P1126" i="1"/>
  <c r="Q1127" i="1"/>
  <c r="P1127" i="1"/>
  <c r="Q1128" i="1"/>
  <c r="P1128" i="1"/>
  <c r="Q1129" i="1"/>
  <c r="P1129" i="1"/>
  <c r="Q1130" i="1"/>
  <c r="P1130" i="1"/>
  <c r="Q1131" i="1"/>
  <c r="P1131" i="1"/>
  <c r="H1124" i="1"/>
  <c r="J1124" i="1"/>
  <c r="K1124" i="1"/>
  <c r="Q1124" i="1"/>
  <c r="P1124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/>
  <c r="Q1074" i="1"/>
  <c r="P1074" i="1"/>
  <c r="Q1075" i="1"/>
  <c r="P1075" i="1"/>
  <c r="Q1076" i="1"/>
  <c r="P1076" i="1"/>
  <c r="Q1077" i="1"/>
  <c r="P1077" i="1"/>
  <c r="Q1078" i="1"/>
  <c r="P1078" i="1"/>
  <c r="Q1079" i="1"/>
  <c r="P1079" i="1"/>
  <c r="Q1080" i="1"/>
  <c r="P1080" i="1"/>
  <c r="Q1081" i="1"/>
  <c r="P1081" i="1"/>
  <c r="Q1082" i="1"/>
  <c r="P1082" i="1"/>
  <c r="Q1083" i="1"/>
  <c r="P1083" i="1"/>
  <c r="Q1084" i="1"/>
  <c r="P1084" i="1"/>
  <c r="Q1085" i="1"/>
  <c r="P1085" i="1"/>
  <c r="Q1086" i="1"/>
  <c r="P1086" i="1"/>
  <c r="Q1087" i="1"/>
  <c r="P1087" i="1"/>
  <c r="Q1088" i="1"/>
  <c r="P1088" i="1"/>
  <c r="Q1089" i="1"/>
  <c r="P1089" i="1"/>
  <c r="Q1090" i="1"/>
  <c r="P1090" i="1"/>
  <c r="Q1091" i="1"/>
  <c r="P1091" i="1"/>
  <c r="Q1092" i="1"/>
  <c r="P1092" i="1"/>
  <c r="Q1093" i="1"/>
  <c r="P1093" i="1"/>
  <c r="Q1094" i="1"/>
  <c r="P1094" i="1"/>
  <c r="Q1095" i="1"/>
  <c r="P1095" i="1"/>
  <c r="Q1096" i="1"/>
  <c r="P1096" i="1"/>
  <c r="Q1097" i="1"/>
  <c r="P1097" i="1"/>
  <c r="Q1098" i="1"/>
  <c r="P1098" i="1"/>
  <c r="Q1099" i="1"/>
  <c r="P1099" i="1"/>
  <c r="Q1100" i="1"/>
  <c r="P1100" i="1"/>
  <c r="Q1101" i="1"/>
  <c r="P1101" i="1"/>
  <c r="Q1102" i="1"/>
  <c r="P1102" i="1"/>
  <c r="Q1103" i="1"/>
  <c r="P1103" i="1"/>
  <c r="Q1104" i="1"/>
  <c r="P1104" i="1"/>
  <c r="Q1105" i="1"/>
  <c r="P1105" i="1"/>
  <c r="Q1106" i="1"/>
  <c r="P1106" i="1"/>
  <c r="Q1107" i="1"/>
  <c r="P1107" i="1"/>
  <c r="Q1108" i="1"/>
  <c r="P1108" i="1"/>
  <c r="Q1109" i="1"/>
  <c r="P1109" i="1"/>
  <c r="Q1110" i="1"/>
  <c r="P1110" i="1"/>
  <c r="Q1111" i="1"/>
  <c r="P1111" i="1"/>
  <c r="Q1112" i="1"/>
  <c r="P1112" i="1"/>
  <c r="Q1113" i="1"/>
  <c r="P1113" i="1"/>
  <c r="Q1114" i="1"/>
  <c r="P1114" i="1"/>
  <c r="Q1115" i="1"/>
  <c r="P1115" i="1"/>
  <c r="Q1116" i="1"/>
  <c r="P1116" i="1"/>
  <c r="Q1117" i="1"/>
  <c r="P1117" i="1"/>
  <c r="Q1118" i="1"/>
  <c r="P1118" i="1"/>
  <c r="Q1119" i="1"/>
  <c r="P1119" i="1"/>
  <c r="Q1120" i="1"/>
  <c r="P1120" i="1"/>
  <c r="Q1121" i="1"/>
  <c r="P1121" i="1"/>
  <c r="Q1122" i="1"/>
  <c r="P1122" i="1"/>
  <c r="Q1123" i="1"/>
  <c r="P1123" i="1"/>
  <c r="H1072" i="1"/>
  <c r="J1072" i="1"/>
  <c r="K1072" i="1"/>
  <c r="Q1072" i="1"/>
  <c r="P1072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/>
  <c r="Q1058" i="1"/>
  <c r="P1058" i="1"/>
  <c r="Q1059" i="1"/>
  <c r="P1059" i="1"/>
  <c r="Q1060" i="1"/>
  <c r="P1060" i="1"/>
  <c r="Q1061" i="1"/>
  <c r="P1061" i="1"/>
  <c r="Q1062" i="1"/>
  <c r="P1062" i="1"/>
  <c r="Q1063" i="1"/>
  <c r="P1063" i="1"/>
  <c r="Q1064" i="1"/>
  <c r="P1064" i="1"/>
  <c r="Q1065" i="1"/>
  <c r="P1065" i="1"/>
  <c r="Q1066" i="1"/>
  <c r="P1066" i="1"/>
  <c r="Q1067" i="1"/>
  <c r="P1067" i="1"/>
  <c r="Q1068" i="1"/>
  <c r="P1068" i="1"/>
  <c r="Q1069" i="1"/>
  <c r="P1069" i="1"/>
  <c r="Q1070" i="1"/>
  <c r="P1070" i="1"/>
  <c r="Q1071" i="1"/>
  <c r="P1071" i="1"/>
  <c r="H1055" i="1"/>
  <c r="H1056" i="1"/>
  <c r="J1055" i="1"/>
  <c r="J1056" i="1"/>
  <c r="K1055" i="1"/>
  <c r="K1056" i="1"/>
  <c r="Q1055" i="1"/>
  <c r="P1055" i="1"/>
  <c r="Q1056" i="1"/>
  <c r="P1056" i="1"/>
  <c r="H1054" i="1"/>
  <c r="J1054" i="1"/>
  <c r="K1054" i="1"/>
  <c r="Q1054" i="1"/>
  <c r="P1054" i="1"/>
  <c r="H1023" i="1"/>
  <c r="J1023" i="1"/>
  <c r="K1023" i="1"/>
  <c r="Q1023" i="1"/>
  <c r="P1023" i="1"/>
  <c r="H1022" i="1"/>
  <c r="J1022" i="1"/>
  <c r="K1022" i="1"/>
  <c r="Q1022" i="1"/>
  <c r="P1022" i="1"/>
  <c r="H1015" i="1"/>
  <c r="J1015" i="1"/>
  <c r="K1015" i="1"/>
  <c r="Q1015" i="1"/>
  <c r="P1015" i="1"/>
  <c r="H1017" i="1"/>
  <c r="H1018" i="1"/>
  <c r="J1017" i="1"/>
  <c r="J1018" i="1"/>
  <c r="K1017" i="1"/>
  <c r="K1018" i="1"/>
  <c r="Q1017" i="1"/>
  <c r="P1017" i="1"/>
  <c r="Q1018" i="1"/>
  <c r="P1018" i="1"/>
  <c r="H1016" i="1"/>
  <c r="J1016" i="1"/>
  <c r="K1016" i="1"/>
  <c r="Q1016" i="1"/>
  <c r="P1016" i="1"/>
  <c r="H1014" i="1"/>
  <c r="J1014" i="1"/>
  <c r="K1014" i="1"/>
  <c r="Q1014" i="1"/>
  <c r="P1014" i="1"/>
  <c r="H1019" i="1"/>
  <c r="J1019" i="1"/>
  <c r="K1019" i="1"/>
  <c r="Q1019" i="1"/>
  <c r="P1019" i="1"/>
  <c r="H1021" i="1"/>
  <c r="J1021" i="1"/>
  <c r="K1021" i="1"/>
  <c r="Q1021" i="1"/>
  <c r="P1021" i="1"/>
  <c r="H1020" i="1"/>
  <c r="J1020" i="1"/>
  <c r="K1020" i="1"/>
  <c r="Q1020" i="1"/>
  <c r="P1020" i="1"/>
  <c r="H1053" i="1"/>
  <c r="J1053" i="1"/>
  <c r="K1053" i="1"/>
  <c r="Q1053" i="1"/>
  <c r="P1053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/>
  <c r="Q1028" i="1"/>
  <c r="P1028" i="1"/>
  <c r="Q1029" i="1"/>
  <c r="P1029" i="1"/>
  <c r="Q1030" i="1"/>
  <c r="P1030" i="1"/>
  <c r="Q1031" i="1"/>
  <c r="P1031" i="1"/>
  <c r="Q1032" i="1"/>
  <c r="P1032" i="1"/>
  <c r="Q1033" i="1"/>
  <c r="P1033" i="1"/>
  <c r="Q1034" i="1"/>
  <c r="P1034" i="1"/>
  <c r="Q1035" i="1"/>
  <c r="P1035" i="1"/>
  <c r="Q1036" i="1"/>
  <c r="P1036" i="1"/>
  <c r="Q1037" i="1"/>
  <c r="P1037" i="1"/>
  <c r="Q1038" i="1"/>
  <c r="P1038" i="1"/>
  <c r="Q1039" i="1"/>
  <c r="P1039" i="1"/>
  <c r="Q1040" i="1"/>
  <c r="P1040" i="1"/>
  <c r="Q1041" i="1"/>
  <c r="P1041" i="1"/>
  <c r="Q1042" i="1"/>
  <c r="P1042" i="1"/>
  <c r="Q1043" i="1"/>
  <c r="P1043" i="1"/>
  <c r="Q1044" i="1"/>
  <c r="P1044" i="1"/>
  <c r="Q1045" i="1"/>
  <c r="P1045" i="1"/>
  <c r="Q1046" i="1"/>
  <c r="P1046" i="1"/>
  <c r="Q1047" i="1"/>
  <c r="P1047" i="1"/>
  <c r="Q1048" i="1"/>
  <c r="P1048" i="1"/>
  <c r="Q1049" i="1"/>
  <c r="P1049" i="1"/>
  <c r="Q1050" i="1"/>
  <c r="P1050" i="1"/>
  <c r="Q1051" i="1"/>
  <c r="P1051" i="1"/>
  <c r="Q1052" i="1"/>
  <c r="P1052" i="1"/>
  <c r="H1024" i="1"/>
  <c r="H1025" i="1"/>
  <c r="H1026" i="1"/>
  <c r="J1024" i="1"/>
  <c r="J1025" i="1"/>
  <c r="J1026" i="1"/>
  <c r="K1024" i="1"/>
  <c r="K1025" i="1"/>
  <c r="K1026" i="1"/>
  <c r="Q1024" i="1"/>
  <c r="P1024" i="1"/>
  <c r="Q1025" i="1"/>
  <c r="P1025" i="1"/>
  <c r="Q1026" i="1"/>
  <c r="P1026" i="1"/>
  <c r="H1009" i="1"/>
  <c r="J1009" i="1"/>
  <c r="K1009" i="1"/>
  <c r="Q1009" i="1"/>
  <c r="P1009" i="1"/>
  <c r="H1008" i="1"/>
  <c r="J1008" i="1"/>
  <c r="K1008" i="1"/>
  <c r="Q1008" i="1"/>
  <c r="P1008" i="1"/>
  <c r="H1011" i="1"/>
  <c r="J1011" i="1"/>
  <c r="K1011" i="1"/>
  <c r="Q1011" i="1"/>
  <c r="P1011" i="1"/>
  <c r="H1010" i="1"/>
  <c r="J1010" i="1"/>
  <c r="K1010" i="1"/>
  <c r="Q1010" i="1"/>
  <c r="P1010" i="1"/>
  <c r="H1012" i="1"/>
  <c r="H1013" i="1"/>
  <c r="J1012" i="1"/>
  <c r="J1013" i="1"/>
  <c r="K1012" i="1"/>
  <c r="K1013" i="1"/>
  <c r="Q1012" i="1"/>
  <c r="P1012" i="1"/>
  <c r="Q1013" i="1"/>
  <c r="P1013" i="1"/>
  <c r="H969" i="1"/>
  <c r="J969" i="1"/>
  <c r="K969" i="1"/>
  <c r="Q969" i="1"/>
  <c r="P969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/>
  <c r="Q1003" i="1"/>
  <c r="P1003" i="1"/>
  <c r="Q1004" i="1"/>
  <c r="P1004" i="1"/>
  <c r="Q1005" i="1"/>
  <c r="P1005" i="1"/>
  <c r="H1001" i="1"/>
  <c r="J1001" i="1"/>
  <c r="K1001" i="1"/>
  <c r="Q1001" i="1"/>
  <c r="P1001" i="1"/>
  <c r="H1007" i="1"/>
  <c r="J1007" i="1"/>
  <c r="K1007" i="1"/>
  <c r="Q1007" i="1"/>
  <c r="P1007" i="1"/>
  <c r="H1006" i="1"/>
  <c r="J1006" i="1"/>
  <c r="K1006" i="1"/>
  <c r="Q1006" i="1"/>
  <c r="P1006" i="1"/>
  <c r="H965" i="1"/>
  <c r="J965" i="1"/>
  <c r="K965" i="1"/>
  <c r="Q965" i="1"/>
  <c r="P965" i="1"/>
  <c r="H1000" i="1"/>
  <c r="J1000" i="1"/>
  <c r="K1000" i="1"/>
  <c r="Q1000" i="1"/>
  <c r="P1000" i="1"/>
  <c r="H988" i="1"/>
  <c r="H989" i="1"/>
  <c r="H990" i="1"/>
  <c r="J988" i="1"/>
  <c r="J989" i="1"/>
  <c r="J990" i="1"/>
  <c r="K988" i="1"/>
  <c r="K989" i="1"/>
  <c r="K990" i="1"/>
  <c r="Q988" i="1"/>
  <c r="P988" i="1"/>
  <c r="Q989" i="1"/>
  <c r="P989" i="1"/>
  <c r="Q990" i="1"/>
  <c r="P990" i="1"/>
  <c r="H992" i="1"/>
  <c r="H993" i="1"/>
  <c r="H994" i="1"/>
  <c r="J992" i="1"/>
  <c r="J993" i="1"/>
  <c r="J994" i="1"/>
  <c r="K992" i="1"/>
  <c r="K993" i="1"/>
  <c r="K994" i="1"/>
  <c r="Q992" i="1"/>
  <c r="P992" i="1"/>
  <c r="Q993" i="1"/>
  <c r="P993" i="1"/>
  <c r="Q994" i="1"/>
  <c r="P994" i="1"/>
  <c r="H991" i="1"/>
  <c r="J991" i="1"/>
  <c r="K991" i="1"/>
  <c r="Q991" i="1"/>
  <c r="P991" i="1"/>
  <c r="K996" i="1"/>
  <c r="K995" i="1"/>
  <c r="H995" i="1"/>
  <c r="H996" i="1"/>
  <c r="H997" i="1"/>
  <c r="H998" i="1"/>
  <c r="J995" i="1"/>
  <c r="J996" i="1"/>
  <c r="J997" i="1"/>
  <c r="J998" i="1"/>
  <c r="K997" i="1"/>
  <c r="K998" i="1"/>
  <c r="Q995" i="1"/>
  <c r="P995" i="1"/>
  <c r="Q996" i="1"/>
  <c r="P996" i="1"/>
  <c r="Q997" i="1"/>
  <c r="P997" i="1"/>
  <c r="Q998" i="1"/>
  <c r="P998" i="1"/>
  <c r="H999" i="1"/>
  <c r="J999" i="1"/>
  <c r="K999" i="1"/>
  <c r="Q999" i="1"/>
  <c r="P999" i="1"/>
  <c r="H966" i="1"/>
  <c r="J966" i="1"/>
  <c r="K966" i="1"/>
  <c r="Q966" i="1"/>
  <c r="P966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/>
  <c r="Q981" i="1"/>
  <c r="P981" i="1"/>
  <c r="Q982" i="1"/>
  <c r="P982" i="1"/>
  <c r="Q983" i="1"/>
  <c r="P983" i="1"/>
  <c r="Q984" i="1"/>
  <c r="P984" i="1"/>
  <c r="Q985" i="1"/>
  <c r="P985" i="1"/>
  <c r="Q986" i="1"/>
  <c r="P986" i="1"/>
  <c r="Q987" i="1"/>
  <c r="P987" i="1"/>
  <c r="H977" i="1"/>
  <c r="J977" i="1"/>
  <c r="K977" i="1"/>
  <c r="Q977" i="1"/>
  <c r="P977" i="1"/>
  <c r="H978" i="1"/>
  <c r="J978" i="1"/>
  <c r="K978" i="1"/>
  <c r="Q978" i="1"/>
  <c r="P978" i="1"/>
  <c r="H979" i="1"/>
  <c r="J979" i="1"/>
  <c r="K979" i="1"/>
  <c r="Q979" i="1"/>
  <c r="P979" i="1"/>
  <c r="H976" i="1"/>
  <c r="J976" i="1"/>
  <c r="K976" i="1"/>
  <c r="Q976" i="1"/>
  <c r="P976" i="1"/>
  <c r="H968" i="1"/>
  <c r="J968" i="1"/>
  <c r="K968" i="1"/>
  <c r="Q968" i="1"/>
  <c r="P968" i="1"/>
  <c r="H967" i="1"/>
  <c r="J967" i="1"/>
  <c r="K967" i="1"/>
  <c r="Q967" i="1"/>
  <c r="P967" i="1"/>
  <c r="H970" i="1"/>
  <c r="J970" i="1"/>
  <c r="K970" i="1"/>
  <c r="Q970" i="1"/>
  <c r="P970" i="1"/>
  <c r="H971" i="1"/>
  <c r="J971" i="1"/>
  <c r="K971" i="1"/>
  <c r="Q971" i="1"/>
  <c r="P971" i="1"/>
  <c r="H972" i="1"/>
  <c r="J972" i="1"/>
  <c r="K972" i="1"/>
  <c r="Q972" i="1"/>
  <c r="P972" i="1"/>
  <c r="H973" i="1"/>
  <c r="J973" i="1"/>
  <c r="K973" i="1"/>
  <c r="Q973" i="1"/>
  <c r="P973" i="1"/>
  <c r="J866" i="1"/>
  <c r="H866" i="1"/>
  <c r="K866" i="1"/>
  <c r="Q866" i="1"/>
  <c r="P866" i="1"/>
  <c r="H949" i="1"/>
  <c r="J949" i="1"/>
  <c r="K949" i="1"/>
  <c r="Q949" i="1"/>
  <c r="P949" i="1"/>
  <c r="H950" i="1"/>
  <c r="J950" i="1"/>
  <c r="K950" i="1"/>
  <c r="Q950" i="1"/>
  <c r="P950" i="1"/>
  <c r="H951" i="1"/>
  <c r="J951" i="1"/>
  <c r="K951" i="1"/>
  <c r="Q951" i="1"/>
  <c r="P951" i="1"/>
  <c r="H952" i="1"/>
  <c r="J952" i="1"/>
  <c r="K952" i="1"/>
  <c r="Q952" i="1"/>
  <c r="P952" i="1"/>
  <c r="H953" i="1"/>
  <c r="J953" i="1"/>
  <c r="K953" i="1"/>
  <c r="Q953" i="1"/>
  <c r="P953" i="1"/>
  <c r="H954" i="1"/>
  <c r="J954" i="1"/>
  <c r="K954" i="1"/>
  <c r="Q954" i="1"/>
  <c r="P954" i="1"/>
  <c r="H948" i="1"/>
  <c r="J948" i="1"/>
  <c r="K948" i="1"/>
  <c r="Q948" i="1"/>
  <c r="P948" i="1"/>
  <c r="H946" i="1"/>
  <c r="J946" i="1"/>
  <c r="K946" i="1"/>
  <c r="Q946" i="1"/>
  <c r="P946" i="1"/>
  <c r="H947" i="1"/>
  <c r="J947" i="1"/>
  <c r="K947" i="1"/>
  <c r="Q947" i="1"/>
  <c r="P947" i="1"/>
  <c r="H938" i="1"/>
  <c r="J938" i="1"/>
  <c r="K938" i="1"/>
  <c r="Q938" i="1"/>
  <c r="P938" i="1"/>
  <c r="H939" i="1"/>
  <c r="J939" i="1"/>
  <c r="K939" i="1"/>
  <c r="Q939" i="1"/>
  <c r="P939" i="1"/>
  <c r="H940" i="1"/>
  <c r="J940" i="1"/>
  <c r="K940" i="1"/>
  <c r="Q940" i="1"/>
  <c r="P940" i="1"/>
  <c r="H941" i="1"/>
  <c r="J941" i="1"/>
  <c r="K941" i="1"/>
  <c r="Q941" i="1"/>
  <c r="P941" i="1"/>
  <c r="H942" i="1"/>
  <c r="J942" i="1"/>
  <c r="K942" i="1"/>
  <c r="Q942" i="1"/>
  <c r="P942" i="1"/>
  <c r="H943" i="1"/>
  <c r="J943" i="1"/>
  <c r="K943" i="1"/>
  <c r="Q943" i="1"/>
  <c r="P943" i="1"/>
  <c r="H944" i="1"/>
  <c r="J944" i="1"/>
  <c r="K944" i="1"/>
  <c r="Q944" i="1"/>
  <c r="P944" i="1"/>
  <c r="H945" i="1"/>
  <c r="J945" i="1"/>
  <c r="K945" i="1"/>
  <c r="Q945" i="1"/>
  <c r="P945" i="1"/>
  <c r="H975" i="1"/>
  <c r="J975" i="1"/>
  <c r="K975" i="1"/>
  <c r="Q975" i="1"/>
  <c r="P975" i="1"/>
  <c r="H974" i="1"/>
  <c r="J974" i="1"/>
  <c r="K974" i="1"/>
  <c r="Q974" i="1"/>
  <c r="P97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/>
  <c r="Q957" i="1"/>
  <c r="P957" i="1"/>
  <c r="Q958" i="1"/>
  <c r="P958" i="1"/>
  <c r="Q959" i="1"/>
  <c r="P959" i="1"/>
  <c r="Q960" i="1"/>
  <c r="P960" i="1"/>
  <c r="Q961" i="1"/>
  <c r="P961" i="1"/>
  <c r="Q962" i="1"/>
  <c r="P962" i="1"/>
  <c r="Q963" i="1"/>
  <c r="P963" i="1"/>
  <c r="Q964" i="1"/>
  <c r="P964" i="1"/>
  <c r="H955" i="1"/>
  <c r="J955" i="1"/>
  <c r="K955" i="1"/>
  <c r="Q955" i="1"/>
  <c r="P955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/>
  <c r="Q935" i="1"/>
  <c r="P935" i="1"/>
  <c r="Q936" i="1"/>
  <c r="P936" i="1"/>
  <c r="Q937" i="1"/>
  <c r="P937" i="1"/>
  <c r="H931" i="1"/>
  <c r="H932" i="1"/>
  <c r="H933" i="1"/>
  <c r="J931" i="1"/>
  <c r="J932" i="1"/>
  <c r="J933" i="1"/>
  <c r="K931" i="1"/>
  <c r="K932" i="1"/>
  <c r="K933" i="1"/>
  <c r="Q931" i="1"/>
  <c r="P931" i="1"/>
  <c r="Q932" i="1"/>
  <c r="P932" i="1"/>
  <c r="Q933" i="1"/>
  <c r="P933" i="1"/>
  <c r="Q929" i="1"/>
  <c r="P929" i="1"/>
  <c r="Q928" i="1"/>
  <c r="P928" i="1"/>
  <c r="Q927" i="1"/>
  <c r="P927" i="1"/>
  <c r="H927" i="1"/>
  <c r="H928" i="1"/>
  <c r="H929" i="1"/>
  <c r="J927" i="1"/>
  <c r="J928" i="1"/>
  <c r="J929" i="1"/>
  <c r="K927" i="1"/>
  <c r="K928" i="1"/>
  <c r="K929" i="1"/>
  <c r="H926" i="1"/>
  <c r="J926" i="1"/>
  <c r="K926" i="1"/>
  <c r="Q926" i="1"/>
  <c r="P926" i="1"/>
  <c r="H930" i="1"/>
  <c r="J930" i="1"/>
  <c r="K930" i="1"/>
  <c r="Q930" i="1"/>
  <c r="P930" i="1"/>
  <c r="H925" i="1"/>
  <c r="J925" i="1"/>
  <c r="K925" i="1"/>
  <c r="Q925" i="1"/>
  <c r="P925" i="1"/>
  <c r="H924" i="1"/>
  <c r="J924" i="1"/>
  <c r="K924" i="1"/>
  <c r="Q924" i="1"/>
  <c r="P924" i="1"/>
  <c r="H923" i="1"/>
  <c r="J923" i="1"/>
  <c r="K923" i="1"/>
  <c r="Q923" i="1"/>
  <c r="P923" i="1"/>
  <c r="H922" i="1"/>
  <c r="J922" i="1"/>
  <c r="K922" i="1"/>
  <c r="Q922" i="1"/>
  <c r="P922" i="1"/>
  <c r="H921" i="1"/>
  <c r="J921" i="1"/>
  <c r="K921" i="1"/>
  <c r="Q921" i="1"/>
  <c r="P921" i="1"/>
  <c r="H920" i="1"/>
  <c r="J920" i="1"/>
  <c r="K920" i="1"/>
  <c r="Q920" i="1"/>
  <c r="P920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/>
  <c r="Q910" i="1"/>
  <c r="P910" i="1"/>
  <c r="Q911" i="1"/>
  <c r="P911" i="1"/>
  <c r="Q912" i="1"/>
  <c r="P912" i="1"/>
  <c r="Q913" i="1"/>
  <c r="P913" i="1"/>
  <c r="Q914" i="1"/>
  <c r="P914" i="1"/>
  <c r="Q915" i="1"/>
  <c r="P915" i="1"/>
  <c r="Q916" i="1"/>
  <c r="P916" i="1"/>
  <c r="Q917" i="1"/>
  <c r="P917" i="1"/>
  <c r="Q918" i="1"/>
  <c r="P918" i="1"/>
  <c r="Q919" i="1"/>
  <c r="P919" i="1"/>
  <c r="H907" i="1"/>
  <c r="J907" i="1"/>
  <c r="K907" i="1"/>
  <c r="Q907" i="1"/>
  <c r="P907" i="1"/>
  <c r="H883" i="1"/>
  <c r="J883" i="1"/>
  <c r="K883" i="1"/>
  <c r="Q883" i="1"/>
  <c r="P883" i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K908" i="1"/>
  <c r="Q908" i="1"/>
  <c r="P908" i="1"/>
  <c r="H906" i="1"/>
  <c r="J906" i="1"/>
  <c r="K906" i="1"/>
  <c r="Q906" i="1"/>
  <c r="P906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/>
  <c r="Q899" i="1"/>
  <c r="P899" i="1"/>
  <c r="Q900" i="1"/>
  <c r="P900" i="1"/>
  <c r="Q901" i="1"/>
  <c r="P901" i="1"/>
  <c r="Q902" i="1"/>
  <c r="P902" i="1"/>
  <c r="Q903" i="1"/>
  <c r="P903" i="1"/>
  <c r="Q904" i="1"/>
  <c r="P904" i="1"/>
  <c r="Q905" i="1"/>
  <c r="P905" i="1"/>
  <c r="H897" i="1"/>
  <c r="J897" i="1"/>
  <c r="K897" i="1"/>
  <c r="Q897" i="1"/>
  <c r="P897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/>
  <c r="Q892" i="1"/>
  <c r="P892" i="1"/>
  <c r="Q893" i="1"/>
  <c r="P893" i="1"/>
  <c r="Q894" i="1"/>
  <c r="P894" i="1"/>
  <c r="H895" i="1"/>
  <c r="J895" i="1"/>
  <c r="K895" i="1"/>
  <c r="Q895" i="1"/>
  <c r="P895" i="1"/>
  <c r="H896" i="1"/>
  <c r="J896" i="1"/>
  <c r="K896" i="1"/>
  <c r="Q896" i="1"/>
  <c r="P896" i="1"/>
  <c r="H886" i="1"/>
  <c r="H887" i="1"/>
  <c r="H888" i="1"/>
  <c r="H889" i="1"/>
  <c r="K886" i="1"/>
  <c r="K887" i="1"/>
  <c r="K888" i="1"/>
  <c r="K889" i="1"/>
  <c r="Q886" i="1"/>
  <c r="P886" i="1"/>
  <c r="Q887" i="1"/>
  <c r="P887" i="1"/>
  <c r="Q888" i="1"/>
  <c r="P888" i="1"/>
  <c r="Q889" i="1"/>
  <c r="P889" i="1"/>
  <c r="H890" i="1"/>
  <c r="J890" i="1"/>
  <c r="K890" i="1"/>
  <c r="Q890" i="1"/>
  <c r="P890" i="1"/>
  <c r="H832" i="1"/>
  <c r="K832" i="1"/>
  <c r="Q832" i="1"/>
  <c r="P832" i="1"/>
  <c r="J832" i="1"/>
  <c r="H884" i="1"/>
  <c r="H885" i="1"/>
  <c r="J884" i="1"/>
  <c r="J885" i="1"/>
  <c r="K884" i="1"/>
  <c r="K885" i="1"/>
  <c r="Q884" i="1"/>
  <c r="P884" i="1"/>
  <c r="Q885" i="1"/>
  <c r="P885" i="1"/>
  <c r="H882" i="1"/>
  <c r="J882" i="1"/>
  <c r="K882" i="1"/>
  <c r="Q882" i="1"/>
  <c r="P882" i="1"/>
  <c r="H881" i="1"/>
  <c r="J881" i="1"/>
  <c r="K881" i="1"/>
  <c r="Q881" i="1"/>
  <c r="P881" i="1"/>
  <c r="Q851" i="1"/>
  <c r="P851" i="1"/>
  <c r="K851" i="1"/>
  <c r="Q850" i="1"/>
  <c r="P850" i="1"/>
  <c r="K850" i="1"/>
  <c r="Q849" i="1"/>
  <c r="P849" i="1"/>
  <c r="K849" i="1"/>
  <c r="Q848" i="1"/>
  <c r="P848" i="1"/>
  <c r="K848" i="1"/>
  <c r="Q847" i="1"/>
  <c r="P847" i="1"/>
  <c r="K847" i="1"/>
  <c r="Q846" i="1"/>
  <c r="P846" i="1"/>
  <c r="K846" i="1"/>
  <c r="Q845" i="1"/>
  <c r="P845" i="1"/>
  <c r="K845" i="1"/>
  <c r="Q844" i="1"/>
  <c r="P844" i="1"/>
  <c r="K844" i="1"/>
  <c r="Q843" i="1"/>
  <c r="P843" i="1"/>
  <c r="K843" i="1"/>
  <c r="Q842" i="1"/>
  <c r="P842" i="1"/>
  <c r="K842" i="1"/>
  <c r="Q841" i="1"/>
  <c r="P841" i="1"/>
  <c r="K841" i="1"/>
  <c r="Q840" i="1"/>
  <c r="P840" i="1"/>
  <c r="K840" i="1"/>
  <c r="Q839" i="1"/>
  <c r="P839" i="1"/>
  <c r="K839" i="1"/>
  <c r="Q838" i="1"/>
  <c r="P838" i="1"/>
  <c r="K838" i="1"/>
  <c r="Q837" i="1"/>
  <c r="P837" i="1"/>
  <c r="K837" i="1"/>
  <c r="Q836" i="1"/>
  <c r="P836" i="1"/>
  <c r="K836" i="1"/>
  <c r="Q835" i="1"/>
  <c r="P835" i="1"/>
  <c r="K835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/>
  <c r="H852" i="1"/>
  <c r="H853" i="1"/>
  <c r="H854" i="1"/>
  <c r="J852" i="1"/>
  <c r="J853" i="1"/>
  <c r="J854" i="1"/>
  <c r="K852" i="1"/>
  <c r="K853" i="1"/>
  <c r="K854" i="1"/>
  <c r="Q852" i="1"/>
  <c r="P852" i="1"/>
  <c r="Q853" i="1"/>
  <c r="P853" i="1"/>
  <c r="Q854" i="1"/>
  <c r="P854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/>
  <c r="Q856" i="1"/>
  <c r="P856" i="1"/>
  <c r="Q857" i="1"/>
  <c r="P857" i="1"/>
  <c r="Q858" i="1"/>
  <c r="P858" i="1"/>
  <c r="Q859" i="1"/>
  <c r="P859" i="1"/>
  <c r="Q860" i="1"/>
  <c r="P860" i="1"/>
  <c r="Q879" i="1"/>
  <c r="P879" i="1"/>
  <c r="K879" i="1"/>
  <c r="Q878" i="1"/>
  <c r="P878" i="1"/>
  <c r="K878" i="1"/>
  <c r="Q877" i="1"/>
  <c r="P877" i="1"/>
  <c r="K877" i="1"/>
  <c r="Q876" i="1"/>
  <c r="P876" i="1"/>
  <c r="K876" i="1"/>
  <c r="Q875" i="1"/>
  <c r="P875" i="1"/>
  <c r="K875" i="1"/>
  <c r="Q874" i="1"/>
  <c r="P874" i="1"/>
  <c r="K874" i="1"/>
  <c r="Q873" i="1"/>
  <c r="P873" i="1"/>
  <c r="K873" i="1"/>
  <c r="Q872" i="1"/>
  <c r="P872" i="1"/>
  <c r="K872" i="1"/>
  <c r="Q871" i="1"/>
  <c r="P871" i="1"/>
  <c r="K871" i="1"/>
  <c r="Q870" i="1"/>
  <c r="P870" i="1"/>
  <c r="K870" i="1"/>
  <c r="Q869" i="1"/>
  <c r="P869" i="1"/>
  <c r="K869" i="1"/>
  <c r="Q868" i="1"/>
  <c r="P868" i="1"/>
  <c r="K868" i="1"/>
  <c r="Q867" i="1"/>
  <c r="P867" i="1"/>
  <c r="K867" i="1"/>
  <c r="Q865" i="1"/>
  <c r="P865" i="1"/>
  <c r="K865" i="1"/>
  <c r="Q864" i="1"/>
  <c r="P864" i="1"/>
  <c r="K864" i="1"/>
  <c r="Q863" i="1"/>
  <c r="P863" i="1"/>
  <c r="K863" i="1"/>
  <c r="Q862" i="1"/>
  <c r="P862" i="1"/>
  <c r="K862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/>
  <c r="H880" i="1"/>
  <c r="J880" i="1"/>
  <c r="K880" i="1"/>
  <c r="Q880" i="1"/>
  <c r="P880" i="1"/>
  <c r="H831" i="1"/>
  <c r="J831" i="1"/>
  <c r="K831" i="1"/>
  <c r="Q831" i="1"/>
  <c r="P831" i="1"/>
  <c r="H833" i="1"/>
  <c r="K833" i="1"/>
  <c r="Q833" i="1"/>
  <c r="P833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/>
  <c r="Q809" i="1"/>
  <c r="P809" i="1"/>
  <c r="Q810" i="1"/>
  <c r="P810" i="1"/>
  <c r="Q811" i="1"/>
  <c r="P811" i="1"/>
  <c r="Q812" i="1"/>
  <c r="P812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/>
  <c r="Q815" i="1"/>
  <c r="P815" i="1"/>
  <c r="Q816" i="1"/>
  <c r="P816" i="1"/>
  <c r="Q817" i="1"/>
  <c r="P817" i="1"/>
  <c r="Q818" i="1"/>
  <c r="P818" i="1"/>
  <c r="Q819" i="1"/>
  <c r="P819" i="1"/>
  <c r="Q820" i="1"/>
  <c r="P820" i="1"/>
  <c r="Q821" i="1"/>
  <c r="P821" i="1"/>
  <c r="Q822" i="1"/>
  <c r="P822" i="1"/>
  <c r="Q823" i="1"/>
  <c r="P823" i="1"/>
  <c r="Q824" i="1"/>
  <c r="P824" i="1"/>
  <c r="Q825" i="1"/>
  <c r="P825" i="1"/>
  <c r="Q826" i="1"/>
  <c r="P826" i="1"/>
  <c r="Q827" i="1"/>
  <c r="P827" i="1"/>
  <c r="Q828" i="1"/>
  <c r="P828" i="1"/>
  <c r="Q829" i="1"/>
  <c r="P829" i="1"/>
  <c r="Q830" i="1"/>
  <c r="P830" i="1"/>
  <c r="H813" i="1"/>
  <c r="J813" i="1"/>
  <c r="K813" i="1"/>
  <c r="Q813" i="1"/>
  <c r="P813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/>
  <c r="Q765" i="1"/>
  <c r="P765" i="1"/>
  <c r="Q766" i="1"/>
  <c r="P766" i="1"/>
  <c r="Q767" i="1"/>
  <c r="P767" i="1"/>
  <c r="Q768" i="1"/>
  <c r="P768" i="1"/>
  <c r="Q769" i="1"/>
  <c r="P769" i="1"/>
  <c r="Q770" i="1"/>
  <c r="P770" i="1"/>
  <c r="Q771" i="1"/>
  <c r="P771" i="1"/>
  <c r="Q773" i="1"/>
  <c r="P773" i="1"/>
  <c r="Q772" i="1"/>
  <c r="P772" i="1"/>
  <c r="K773" i="1"/>
  <c r="J773" i="1"/>
  <c r="K772" i="1"/>
  <c r="J772" i="1"/>
  <c r="H773" i="1"/>
  <c r="H772" i="1"/>
  <c r="H774" i="1"/>
  <c r="J774" i="1"/>
  <c r="K774" i="1"/>
  <c r="Q774" i="1"/>
  <c r="P774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/>
  <c r="Q776" i="1"/>
  <c r="P776" i="1"/>
  <c r="Q777" i="1"/>
  <c r="P777" i="1"/>
  <c r="Q778" i="1"/>
  <c r="P778" i="1"/>
  <c r="Q779" i="1"/>
  <c r="P779" i="1"/>
  <c r="Q780" i="1"/>
  <c r="P780" i="1"/>
  <c r="Q781" i="1"/>
  <c r="P781" i="1"/>
  <c r="Q782" i="1"/>
  <c r="P782" i="1"/>
  <c r="Q783" i="1"/>
  <c r="P783" i="1"/>
  <c r="Q784" i="1"/>
  <c r="P784" i="1"/>
  <c r="Q785" i="1"/>
  <c r="P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/>
  <c r="Q787" i="1"/>
  <c r="P787" i="1"/>
  <c r="Q788" i="1"/>
  <c r="P788" i="1"/>
  <c r="Q789" i="1"/>
  <c r="P789" i="1"/>
  <c r="Q790" i="1"/>
  <c r="P790" i="1"/>
  <c r="Q791" i="1"/>
  <c r="P791" i="1"/>
  <c r="Q792" i="1"/>
  <c r="P792" i="1"/>
  <c r="Q793" i="1"/>
  <c r="P793" i="1"/>
  <c r="Q794" i="1"/>
  <c r="P794" i="1"/>
  <c r="Q795" i="1"/>
  <c r="P795" i="1"/>
  <c r="Q796" i="1"/>
  <c r="P796" i="1"/>
  <c r="Q797" i="1"/>
  <c r="P797" i="1"/>
  <c r="Q798" i="1"/>
  <c r="P798" i="1"/>
  <c r="Q799" i="1"/>
  <c r="P799" i="1"/>
  <c r="Q800" i="1"/>
  <c r="P800" i="1"/>
  <c r="Q801" i="1"/>
  <c r="P801" i="1"/>
  <c r="Q802" i="1"/>
  <c r="P802" i="1"/>
  <c r="Q803" i="1"/>
  <c r="P803" i="1"/>
  <c r="Q804" i="1"/>
  <c r="P804" i="1"/>
  <c r="Q805" i="1"/>
  <c r="P805" i="1"/>
  <c r="Q806" i="1"/>
  <c r="P806" i="1"/>
  <c r="Q807" i="1"/>
  <c r="P807" i="1"/>
  <c r="H761" i="1"/>
  <c r="J761" i="1"/>
  <c r="K761" i="1"/>
  <c r="Q761" i="1"/>
  <c r="P761" i="1"/>
  <c r="H762" i="1"/>
  <c r="H763" i="1"/>
  <c r="J762" i="1"/>
  <c r="J763" i="1"/>
  <c r="K762" i="1"/>
  <c r="K763" i="1"/>
  <c r="Q762" i="1"/>
  <c r="P762" i="1"/>
  <c r="Q763" i="1"/>
  <c r="P763" i="1"/>
  <c r="H755" i="1"/>
  <c r="J755" i="1"/>
  <c r="K755" i="1"/>
  <c r="Q755" i="1"/>
  <c r="P755" i="1"/>
  <c r="H754" i="1"/>
  <c r="J754" i="1"/>
  <c r="K754" i="1"/>
  <c r="Q754" i="1"/>
  <c r="P754" i="1"/>
  <c r="H757" i="1"/>
  <c r="H758" i="1"/>
  <c r="H759" i="1"/>
  <c r="J757" i="1"/>
  <c r="J758" i="1"/>
  <c r="J759" i="1"/>
  <c r="K757" i="1"/>
  <c r="K758" i="1"/>
  <c r="K759" i="1"/>
  <c r="Q757" i="1"/>
  <c r="P757" i="1"/>
  <c r="Q758" i="1"/>
  <c r="P758" i="1"/>
  <c r="Q759" i="1"/>
  <c r="P759" i="1"/>
  <c r="H756" i="1"/>
  <c r="J756" i="1"/>
  <c r="K756" i="1"/>
  <c r="Q756" i="1"/>
  <c r="P756" i="1"/>
  <c r="H760" i="1"/>
  <c r="J760" i="1"/>
  <c r="K760" i="1"/>
  <c r="Q760" i="1"/>
  <c r="P760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/>
  <c r="Q740" i="1"/>
  <c r="P740" i="1"/>
  <c r="Q741" i="1"/>
  <c r="P741" i="1"/>
  <c r="Q742" i="1"/>
  <c r="P742" i="1"/>
  <c r="Q743" i="1"/>
  <c r="P743" i="1"/>
  <c r="Q744" i="1"/>
  <c r="P744" i="1"/>
  <c r="Q745" i="1"/>
  <c r="P745" i="1"/>
  <c r="Q746" i="1"/>
  <c r="P746" i="1"/>
  <c r="Q747" i="1"/>
  <c r="P747" i="1"/>
  <c r="Q748" i="1"/>
  <c r="P748" i="1"/>
  <c r="Q749" i="1"/>
  <c r="P749" i="1"/>
  <c r="Q750" i="1"/>
  <c r="P750" i="1"/>
  <c r="Q751" i="1"/>
  <c r="P751" i="1"/>
  <c r="Q752" i="1"/>
  <c r="P752" i="1"/>
  <c r="Q753" i="1"/>
  <c r="P753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/>
  <c r="Q677" i="1"/>
  <c r="P677" i="1"/>
  <c r="Q678" i="1"/>
  <c r="P678" i="1"/>
  <c r="Q679" i="1"/>
  <c r="P679" i="1"/>
  <c r="Q680" i="1"/>
  <c r="P680" i="1"/>
  <c r="Q681" i="1"/>
  <c r="P681" i="1"/>
  <c r="Q682" i="1"/>
  <c r="P682" i="1"/>
  <c r="Q683" i="1"/>
  <c r="P683" i="1"/>
  <c r="Q684" i="1"/>
  <c r="P684" i="1"/>
  <c r="Q685" i="1"/>
  <c r="P685" i="1"/>
  <c r="Q686" i="1"/>
  <c r="P686" i="1"/>
  <c r="Q687" i="1"/>
  <c r="P687" i="1"/>
  <c r="Q688" i="1"/>
  <c r="P688" i="1"/>
  <c r="Q689" i="1"/>
  <c r="P689" i="1"/>
  <c r="Q735" i="1"/>
  <c r="P735" i="1"/>
  <c r="K735" i="1"/>
  <c r="Q734" i="1"/>
  <c r="P734" i="1"/>
  <c r="K734" i="1"/>
  <c r="Q733" i="1"/>
  <c r="P733" i="1"/>
  <c r="K733" i="1"/>
  <c r="Q732" i="1"/>
  <c r="P732" i="1"/>
  <c r="K732" i="1"/>
  <c r="Q731" i="1"/>
  <c r="P731" i="1"/>
  <c r="K731" i="1"/>
  <c r="Q730" i="1"/>
  <c r="P730" i="1"/>
  <c r="K730" i="1"/>
  <c r="Q729" i="1"/>
  <c r="P729" i="1"/>
  <c r="K729" i="1"/>
  <c r="Q728" i="1"/>
  <c r="P728" i="1"/>
  <c r="K728" i="1"/>
  <c r="Q727" i="1"/>
  <c r="P727" i="1"/>
  <c r="K727" i="1"/>
  <c r="Q726" i="1"/>
  <c r="P726" i="1"/>
  <c r="K726" i="1"/>
  <c r="Q725" i="1"/>
  <c r="P725" i="1"/>
  <c r="K725" i="1"/>
  <c r="Q724" i="1"/>
  <c r="P724" i="1"/>
  <c r="K724" i="1"/>
  <c r="Q723" i="1"/>
  <c r="P723" i="1"/>
  <c r="K723" i="1"/>
  <c r="Q722" i="1"/>
  <c r="P722" i="1"/>
  <c r="K722" i="1"/>
  <c r="Q721" i="1"/>
  <c r="P721" i="1"/>
  <c r="K721" i="1"/>
  <c r="Q720" i="1"/>
  <c r="P720" i="1"/>
  <c r="K720" i="1"/>
  <c r="Q719" i="1"/>
  <c r="P719" i="1"/>
  <c r="K719" i="1"/>
  <c r="Q718" i="1"/>
  <c r="P718" i="1"/>
  <c r="K718" i="1"/>
  <c r="Q717" i="1"/>
  <c r="P717" i="1"/>
  <c r="K717" i="1"/>
  <c r="Q716" i="1"/>
  <c r="P716" i="1"/>
  <c r="K716" i="1"/>
  <c r="Q715" i="1"/>
  <c r="P715" i="1"/>
  <c r="K715" i="1"/>
  <c r="Q714" i="1"/>
  <c r="P714" i="1"/>
  <c r="K714" i="1"/>
  <c r="Q713" i="1"/>
  <c r="P713" i="1"/>
  <c r="K713" i="1"/>
  <c r="Q712" i="1"/>
  <c r="P712" i="1"/>
  <c r="K712" i="1"/>
  <c r="Q711" i="1"/>
  <c r="P711" i="1"/>
  <c r="K711" i="1"/>
  <c r="Q710" i="1"/>
  <c r="P710" i="1"/>
  <c r="K710" i="1"/>
  <c r="Q709" i="1"/>
  <c r="P709" i="1"/>
  <c r="K709" i="1"/>
  <c r="Q708" i="1"/>
  <c r="P708" i="1"/>
  <c r="K708" i="1"/>
  <c r="Q707" i="1"/>
  <c r="P707" i="1"/>
  <c r="K707" i="1"/>
  <c r="Q706" i="1"/>
  <c r="P706" i="1"/>
  <c r="K706" i="1"/>
  <c r="Q705" i="1"/>
  <c r="P705" i="1"/>
  <c r="K705" i="1"/>
  <c r="Q704" i="1"/>
  <c r="P704" i="1"/>
  <c r="K704" i="1"/>
  <c r="Q703" i="1"/>
  <c r="P703" i="1"/>
  <c r="K703" i="1"/>
  <c r="Q702" i="1"/>
  <c r="P702" i="1"/>
  <c r="K702" i="1"/>
  <c r="Q701" i="1"/>
  <c r="P701" i="1"/>
  <c r="K701" i="1"/>
  <c r="Q700" i="1"/>
  <c r="P700" i="1"/>
  <c r="K700" i="1"/>
  <c r="Q699" i="1"/>
  <c r="P699" i="1"/>
  <c r="K699" i="1"/>
  <c r="Q698" i="1"/>
  <c r="P698" i="1"/>
  <c r="K698" i="1"/>
  <c r="Q697" i="1"/>
  <c r="P697" i="1"/>
  <c r="K697" i="1"/>
  <c r="Q696" i="1"/>
  <c r="P696" i="1"/>
  <c r="K696" i="1"/>
  <c r="Q695" i="1"/>
  <c r="P695" i="1"/>
  <c r="K695" i="1"/>
  <c r="Q694" i="1"/>
  <c r="P694" i="1"/>
  <c r="K694" i="1"/>
  <c r="Q693" i="1"/>
  <c r="P693" i="1"/>
  <c r="K693" i="1"/>
  <c r="Q692" i="1"/>
  <c r="P692" i="1"/>
  <c r="K692" i="1"/>
  <c r="Q691" i="1"/>
  <c r="P691" i="1"/>
  <c r="K691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K690" i="1"/>
  <c r="Q690" i="1"/>
  <c r="P690" i="1"/>
  <c r="Q738" i="1"/>
  <c r="P738" i="1"/>
  <c r="Q737" i="1"/>
  <c r="P737" i="1"/>
  <c r="H737" i="1"/>
  <c r="H738" i="1"/>
  <c r="J737" i="1"/>
  <c r="J738" i="1"/>
  <c r="K737" i="1"/>
  <c r="K738" i="1"/>
  <c r="H736" i="1"/>
  <c r="J736" i="1"/>
  <c r="K736" i="1"/>
  <c r="Q736" i="1"/>
  <c r="P736" i="1"/>
  <c r="H663" i="1"/>
  <c r="H664" i="1"/>
  <c r="H665" i="1"/>
  <c r="J663" i="1"/>
  <c r="J664" i="1"/>
  <c r="J665" i="1"/>
  <c r="K663" i="1"/>
  <c r="K664" i="1"/>
  <c r="K665" i="1"/>
  <c r="Q663" i="1"/>
  <c r="P663" i="1"/>
  <c r="Q664" i="1"/>
  <c r="P664" i="1"/>
  <c r="Q665" i="1"/>
  <c r="P665" i="1"/>
  <c r="H662" i="1"/>
  <c r="J662" i="1"/>
  <c r="K662" i="1"/>
  <c r="Q662" i="1"/>
  <c r="P662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/>
  <c r="Q668" i="1"/>
  <c r="P668" i="1"/>
  <c r="Q669" i="1"/>
  <c r="P669" i="1"/>
  <c r="Q670" i="1"/>
  <c r="P670" i="1"/>
  <c r="Q671" i="1"/>
  <c r="P671" i="1"/>
  <c r="Q672" i="1"/>
  <c r="P672" i="1"/>
  <c r="Q673" i="1"/>
  <c r="P673" i="1"/>
  <c r="Q674" i="1"/>
  <c r="P674" i="1"/>
  <c r="Q675" i="1"/>
  <c r="P675" i="1"/>
  <c r="H666" i="1"/>
  <c r="J666" i="1"/>
  <c r="K666" i="1"/>
  <c r="Q666" i="1"/>
  <c r="P666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/>
  <c r="Q654" i="1"/>
  <c r="P654" i="1"/>
  <c r="Q655" i="1"/>
  <c r="P655" i="1"/>
  <c r="Q656" i="1"/>
  <c r="P656" i="1"/>
  <c r="Q657" i="1"/>
  <c r="P657" i="1"/>
  <c r="Q658" i="1"/>
  <c r="P658" i="1"/>
  <c r="Q659" i="1"/>
  <c r="P659" i="1"/>
  <c r="Q660" i="1"/>
  <c r="P660" i="1"/>
  <c r="Q661" i="1"/>
  <c r="P661" i="1"/>
  <c r="H652" i="1"/>
  <c r="J652" i="1"/>
  <c r="K652" i="1"/>
  <c r="Q652" i="1"/>
  <c r="P652" i="1"/>
  <c r="H643" i="1"/>
  <c r="J643" i="1"/>
  <c r="K643" i="1"/>
  <c r="Q643" i="1"/>
  <c r="P643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/>
  <c r="Q645" i="1"/>
  <c r="P645" i="1"/>
  <c r="Q646" i="1"/>
  <c r="P646" i="1"/>
  <c r="Q647" i="1"/>
  <c r="P647" i="1"/>
  <c r="Q648" i="1"/>
  <c r="P648" i="1"/>
  <c r="Q649" i="1"/>
  <c r="P649" i="1"/>
  <c r="Q650" i="1"/>
  <c r="P650" i="1"/>
  <c r="H651" i="1"/>
  <c r="J651" i="1"/>
  <c r="K651" i="1"/>
  <c r="Q651" i="1"/>
  <c r="P651" i="1"/>
  <c r="H642" i="1"/>
  <c r="J642" i="1"/>
  <c r="K642" i="1"/>
  <c r="Q642" i="1"/>
  <c r="P642" i="1"/>
  <c r="H641" i="1"/>
  <c r="J641" i="1"/>
  <c r="K641" i="1"/>
  <c r="Q641" i="1"/>
  <c r="P641" i="1"/>
  <c r="H640" i="1"/>
  <c r="J640" i="1"/>
  <c r="K640" i="1"/>
  <c r="Q640" i="1"/>
  <c r="P640" i="1"/>
  <c r="H633" i="1"/>
  <c r="H634" i="1"/>
  <c r="J633" i="1"/>
  <c r="J634" i="1"/>
  <c r="K633" i="1"/>
  <c r="K634" i="1"/>
  <c r="Q633" i="1"/>
  <c r="P633" i="1"/>
  <c r="Q634" i="1"/>
  <c r="P634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/>
  <c r="Q625" i="1"/>
  <c r="P625" i="1"/>
  <c r="Q626" i="1"/>
  <c r="P626" i="1"/>
  <c r="Q627" i="1"/>
  <c r="P627" i="1"/>
  <c r="Q628" i="1"/>
  <c r="P628" i="1"/>
  <c r="Q629" i="1"/>
  <c r="P629" i="1"/>
  <c r="Q630" i="1"/>
  <c r="P630" i="1"/>
  <c r="Q631" i="1"/>
  <c r="P631" i="1"/>
  <c r="Q632" i="1"/>
  <c r="P632" i="1"/>
  <c r="H623" i="1"/>
  <c r="J623" i="1"/>
  <c r="K623" i="1"/>
  <c r="Q623" i="1"/>
  <c r="P623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/>
  <c r="Q637" i="1"/>
  <c r="P637" i="1"/>
  <c r="Q638" i="1"/>
  <c r="P638" i="1"/>
  <c r="Q639" i="1"/>
  <c r="P639" i="1"/>
  <c r="H635" i="1"/>
  <c r="J635" i="1"/>
  <c r="K635" i="1"/>
  <c r="Q635" i="1"/>
  <c r="P635" i="1"/>
  <c r="H377" i="1"/>
  <c r="J377" i="1"/>
  <c r="K377" i="1"/>
  <c r="Q377" i="1"/>
  <c r="P377" i="1"/>
  <c r="H382" i="1"/>
  <c r="J382" i="1"/>
  <c r="K382" i="1"/>
  <c r="Q382" i="1"/>
  <c r="P382" i="1"/>
  <c r="H499" i="1"/>
  <c r="J499" i="1"/>
  <c r="K499" i="1"/>
  <c r="Q499" i="1"/>
  <c r="P499" i="1"/>
  <c r="H500" i="1"/>
  <c r="J500" i="1"/>
  <c r="K500" i="1"/>
  <c r="Q500" i="1"/>
  <c r="P500" i="1"/>
  <c r="H501" i="1"/>
  <c r="J501" i="1"/>
  <c r="K501" i="1"/>
  <c r="Q501" i="1"/>
  <c r="P501" i="1"/>
  <c r="H502" i="1"/>
  <c r="J502" i="1"/>
  <c r="K502" i="1"/>
  <c r="Q502" i="1"/>
  <c r="P502" i="1"/>
  <c r="H503" i="1"/>
  <c r="J503" i="1"/>
  <c r="K503" i="1"/>
  <c r="Q503" i="1"/>
  <c r="P503" i="1"/>
  <c r="H504" i="1"/>
  <c r="J504" i="1"/>
  <c r="K504" i="1"/>
  <c r="Q504" i="1"/>
  <c r="P504" i="1"/>
  <c r="H505" i="1"/>
  <c r="J505" i="1"/>
  <c r="K505" i="1"/>
  <c r="Q505" i="1"/>
  <c r="P505" i="1"/>
  <c r="H506" i="1"/>
  <c r="J506" i="1"/>
  <c r="K506" i="1"/>
  <c r="Q506" i="1"/>
  <c r="P506" i="1"/>
  <c r="H507" i="1"/>
  <c r="J507" i="1"/>
  <c r="K507" i="1"/>
  <c r="Q507" i="1"/>
  <c r="P507" i="1"/>
  <c r="H508" i="1"/>
  <c r="J508" i="1"/>
  <c r="K508" i="1"/>
  <c r="Q508" i="1"/>
  <c r="P508" i="1"/>
  <c r="H514" i="1"/>
  <c r="J514" i="1"/>
  <c r="K514" i="1"/>
  <c r="Q514" i="1"/>
  <c r="P514" i="1"/>
  <c r="H515" i="1"/>
  <c r="J515" i="1"/>
  <c r="K515" i="1"/>
  <c r="Q515" i="1"/>
  <c r="P515" i="1"/>
  <c r="H516" i="1"/>
  <c r="J516" i="1"/>
  <c r="K516" i="1"/>
  <c r="Q516" i="1"/>
  <c r="P516" i="1"/>
  <c r="H517" i="1"/>
  <c r="J517" i="1"/>
  <c r="K517" i="1"/>
  <c r="Q517" i="1"/>
  <c r="P517" i="1"/>
  <c r="H518" i="1"/>
  <c r="J518" i="1"/>
  <c r="K518" i="1"/>
  <c r="Q518" i="1"/>
  <c r="P518" i="1"/>
  <c r="H519" i="1"/>
  <c r="J519" i="1"/>
  <c r="K519" i="1"/>
  <c r="Q519" i="1"/>
  <c r="P519" i="1"/>
  <c r="H520" i="1"/>
  <c r="J520" i="1"/>
  <c r="K520" i="1"/>
  <c r="Q520" i="1"/>
  <c r="P520" i="1"/>
  <c r="H521" i="1"/>
  <c r="J521" i="1"/>
  <c r="K521" i="1"/>
  <c r="Q521" i="1"/>
  <c r="P521" i="1"/>
  <c r="H522" i="1"/>
  <c r="J522" i="1"/>
  <c r="K522" i="1"/>
  <c r="Q522" i="1"/>
  <c r="P522" i="1"/>
  <c r="H523" i="1"/>
  <c r="J523" i="1"/>
  <c r="K523" i="1"/>
  <c r="Q523" i="1"/>
  <c r="P523" i="1"/>
  <c r="H524" i="1"/>
  <c r="J524" i="1"/>
  <c r="K524" i="1"/>
  <c r="Q524" i="1"/>
  <c r="P524" i="1"/>
  <c r="H525" i="1"/>
  <c r="J525" i="1"/>
  <c r="K525" i="1"/>
  <c r="Q525" i="1"/>
  <c r="P525" i="1"/>
  <c r="H526" i="1"/>
  <c r="J526" i="1"/>
  <c r="K526" i="1"/>
  <c r="Q526" i="1"/>
  <c r="P526" i="1"/>
  <c r="H527" i="1"/>
  <c r="J527" i="1"/>
  <c r="K527" i="1"/>
  <c r="Q527" i="1"/>
  <c r="P527" i="1"/>
  <c r="H528" i="1"/>
  <c r="J528" i="1"/>
  <c r="K528" i="1"/>
  <c r="Q528" i="1"/>
  <c r="P528" i="1"/>
  <c r="H529" i="1"/>
  <c r="J529" i="1"/>
  <c r="K529" i="1"/>
  <c r="Q529" i="1"/>
  <c r="P529" i="1"/>
  <c r="H530" i="1"/>
  <c r="J530" i="1"/>
  <c r="K530" i="1"/>
  <c r="Q530" i="1"/>
  <c r="P530" i="1"/>
  <c r="H531" i="1"/>
  <c r="J531" i="1"/>
  <c r="K531" i="1"/>
  <c r="Q531" i="1"/>
  <c r="P531" i="1"/>
  <c r="H532" i="1"/>
  <c r="J532" i="1"/>
  <c r="K532" i="1"/>
  <c r="Q532" i="1"/>
  <c r="P532" i="1"/>
  <c r="H533" i="1"/>
  <c r="J533" i="1"/>
  <c r="K533" i="1"/>
  <c r="Q533" i="1"/>
  <c r="P533" i="1"/>
  <c r="H534" i="1"/>
  <c r="J534" i="1"/>
  <c r="K534" i="1"/>
  <c r="Q534" i="1"/>
  <c r="P534" i="1"/>
  <c r="H535" i="1"/>
  <c r="J535" i="1"/>
  <c r="K535" i="1"/>
  <c r="Q535" i="1"/>
  <c r="P535" i="1"/>
  <c r="H536" i="1"/>
  <c r="J536" i="1"/>
  <c r="K536" i="1"/>
  <c r="Q536" i="1"/>
  <c r="P536" i="1"/>
  <c r="H537" i="1"/>
  <c r="J537" i="1"/>
  <c r="K537" i="1"/>
  <c r="Q537" i="1"/>
  <c r="P537" i="1"/>
  <c r="H538" i="1"/>
  <c r="J538" i="1"/>
  <c r="K538" i="1"/>
  <c r="Q538" i="1"/>
  <c r="P538" i="1"/>
  <c r="H539" i="1"/>
  <c r="J539" i="1"/>
  <c r="K539" i="1"/>
  <c r="Q539" i="1"/>
  <c r="P539" i="1"/>
  <c r="H540" i="1"/>
  <c r="J540" i="1"/>
  <c r="K540" i="1"/>
  <c r="Q540" i="1"/>
  <c r="P540" i="1"/>
  <c r="H541" i="1"/>
  <c r="J541" i="1"/>
  <c r="K541" i="1"/>
  <c r="Q541" i="1"/>
  <c r="P541" i="1"/>
  <c r="H542" i="1"/>
  <c r="J542" i="1"/>
  <c r="K542" i="1"/>
  <c r="Q542" i="1"/>
  <c r="P542" i="1"/>
  <c r="H543" i="1"/>
  <c r="J543" i="1"/>
  <c r="K543" i="1"/>
  <c r="Q543" i="1"/>
  <c r="P543" i="1"/>
  <c r="H544" i="1"/>
  <c r="J544" i="1"/>
  <c r="K544" i="1"/>
  <c r="Q544" i="1"/>
  <c r="P544" i="1"/>
  <c r="H545" i="1"/>
  <c r="J545" i="1"/>
  <c r="K545" i="1"/>
  <c r="Q545" i="1"/>
  <c r="P545" i="1"/>
  <c r="H546" i="1"/>
  <c r="J546" i="1"/>
  <c r="K546" i="1"/>
  <c r="Q546" i="1"/>
  <c r="P546" i="1"/>
  <c r="H547" i="1"/>
  <c r="J547" i="1"/>
  <c r="K547" i="1"/>
  <c r="Q547" i="1"/>
  <c r="P547" i="1"/>
  <c r="H548" i="1"/>
  <c r="J548" i="1"/>
  <c r="K548" i="1"/>
  <c r="Q548" i="1"/>
  <c r="P548" i="1"/>
  <c r="H549" i="1"/>
  <c r="J549" i="1"/>
  <c r="K549" i="1"/>
  <c r="Q549" i="1"/>
  <c r="P549" i="1"/>
  <c r="H550" i="1"/>
  <c r="J550" i="1"/>
  <c r="K550" i="1"/>
  <c r="Q550" i="1"/>
  <c r="P550" i="1"/>
  <c r="H551" i="1"/>
  <c r="J551" i="1"/>
  <c r="K551" i="1"/>
  <c r="Q551" i="1"/>
  <c r="P551" i="1"/>
  <c r="H552" i="1"/>
  <c r="J552" i="1"/>
  <c r="K552" i="1"/>
  <c r="Q552" i="1"/>
  <c r="P552" i="1"/>
  <c r="H553" i="1"/>
  <c r="J553" i="1"/>
  <c r="K553" i="1"/>
  <c r="Q553" i="1"/>
  <c r="P553" i="1"/>
  <c r="H554" i="1"/>
  <c r="J554" i="1"/>
  <c r="K554" i="1"/>
  <c r="Q554" i="1"/>
  <c r="P554" i="1"/>
  <c r="H555" i="1"/>
  <c r="J555" i="1"/>
  <c r="K555" i="1"/>
  <c r="Q555" i="1"/>
  <c r="P555" i="1"/>
  <c r="H556" i="1"/>
  <c r="J556" i="1"/>
  <c r="K556" i="1"/>
  <c r="Q556" i="1"/>
  <c r="P556" i="1"/>
  <c r="H557" i="1"/>
  <c r="J557" i="1"/>
  <c r="K557" i="1"/>
  <c r="Q557" i="1"/>
  <c r="P557" i="1"/>
  <c r="H558" i="1"/>
  <c r="J558" i="1"/>
  <c r="K558" i="1"/>
  <c r="Q558" i="1"/>
  <c r="P558" i="1"/>
  <c r="H559" i="1"/>
  <c r="J559" i="1"/>
  <c r="K559" i="1"/>
  <c r="Q559" i="1"/>
  <c r="P559" i="1"/>
  <c r="H560" i="1"/>
  <c r="J560" i="1"/>
  <c r="K560" i="1"/>
  <c r="Q560" i="1"/>
  <c r="P560" i="1"/>
  <c r="H561" i="1"/>
  <c r="J561" i="1"/>
  <c r="K561" i="1"/>
  <c r="Q561" i="1"/>
  <c r="P561" i="1"/>
  <c r="H562" i="1"/>
  <c r="J562" i="1"/>
  <c r="K562" i="1"/>
  <c r="Q562" i="1"/>
  <c r="P562" i="1"/>
  <c r="H563" i="1"/>
  <c r="J563" i="1"/>
  <c r="K563" i="1"/>
  <c r="Q563" i="1"/>
  <c r="P563" i="1"/>
  <c r="H564" i="1"/>
  <c r="J564" i="1"/>
  <c r="K564" i="1"/>
  <c r="Q564" i="1"/>
  <c r="P564" i="1"/>
  <c r="H565" i="1"/>
  <c r="J565" i="1"/>
  <c r="K565" i="1"/>
  <c r="Q565" i="1"/>
  <c r="P565" i="1"/>
  <c r="H566" i="1"/>
  <c r="J566" i="1"/>
  <c r="K566" i="1"/>
  <c r="Q566" i="1"/>
  <c r="P566" i="1"/>
  <c r="H567" i="1"/>
  <c r="J567" i="1"/>
  <c r="K567" i="1"/>
  <c r="Q567" i="1"/>
  <c r="P567" i="1"/>
  <c r="H568" i="1"/>
  <c r="J568" i="1"/>
  <c r="K568" i="1"/>
  <c r="Q568" i="1"/>
  <c r="P568" i="1"/>
  <c r="H569" i="1"/>
  <c r="J569" i="1"/>
  <c r="K569" i="1"/>
  <c r="Q569" i="1"/>
  <c r="P569" i="1"/>
  <c r="H570" i="1"/>
  <c r="J570" i="1"/>
  <c r="K570" i="1"/>
  <c r="Q570" i="1"/>
  <c r="P570" i="1"/>
  <c r="H571" i="1"/>
  <c r="J571" i="1"/>
  <c r="K571" i="1"/>
  <c r="Q571" i="1"/>
  <c r="P571" i="1"/>
  <c r="H572" i="1"/>
  <c r="J572" i="1"/>
  <c r="K572" i="1"/>
  <c r="Q572" i="1"/>
  <c r="P572" i="1"/>
  <c r="H573" i="1"/>
  <c r="J573" i="1"/>
  <c r="K573" i="1"/>
  <c r="Q573" i="1"/>
  <c r="P573" i="1"/>
  <c r="H574" i="1"/>
  <c r="J574" i="1"/>
  <c r="K574" i="1"/>
  <c r="Q574" i="1"/>
  <c r="P574" i="1"/>
  <c r="H575" i="1"/>
  <c r="J575" i="1"/>
  <c r="K575" i="1"/>
  <c r="Q575" i="1"/>
  <c r="P575" i="1"/>
  <c r="H576" i="1"/>
  <c r="J576" i="1"/>
  <c r="K576" i="1"/>
  <c r="Q576" i="1"/>
  <c r="P576" i="1"/>
  <c r="H577" i="1"/>
  <c r="J577" i="1"/>
  <c r="K577" i="1"/>
  <c r="Q577" i="1"/>
  <c r="P577" i="1"/>
  <c r="H578" i="1"/>
  <c r="J578" i="1"/>
  <c r="K578" i="1"/>
  <c r="Q578" i="1"/>
  <c r="P578" i="1"/>
  <c r="H579" i="1"/>
  <c r="J579" i="1"/>
  <c r="K579" i="1"/>
  <c r="Q579" i="1"/>
  <c r="P579" i="1"/>
  <c r="H580" i="1"/>
  <c r="J580" i="1"/>
  <c r="K580" i="1"/>
  <c r="Q580" i="1"/>
  <c r="P580" i="1"/>
  <c r="H581" i="1"/>
  <c r="J581" i="1"/>
  <c r="K581" i="1"/>
  <c r="Q581" i="1"/>
  <c r="P581" i="1"/>
  <c r="H582" i="1"/>
  <c r="J582" i="1"/>
  <c r="K582" i="1"/>
  <c r="Q582" i="1"/>
  <c r="P582" i="1"/>
  <c r="H583" i="1"/>
  <c r="J583" i="1"/>
  <c r="K583" i="1"/>
  <c r="Q583" i="1"/>
  <c r="P583" i="1"/>
  <c r="H584" i="1"/>
  <c r="J584" i="1"/>
  <c r="K584" i="1"/>
  <c r="Q584" i="1"/>
  <c r="P584" i="1"/>
  <c r="H585" i="1"/>
  <c r="J585" i="1"/>
  <c r="K585" i="1"/>
  <c r="Q585" i="1"/>
  <c r="P585" i="1"/>
  <c r="H586" i="1"/>
  <c r="J586" i="1"/>
  <c r="K586" i="1"/>
  <c r="Q586" i="1"/>
  <c r="P586" i="1"/>
  <c r="H587" i="1"/>
  <c r="J587" i="1"/>
  <c r="K587" i="1"/>
  <c r="Q587" i="1"/>
  <c r="P587" i="1"/>
  <c r="H588" i="1"/>
  <c r="J588" i="1"/>
  <c r="K588" i="1"/>
  <c r="Q588" i="1"/>
  <c r="P588" i="1"/>
  <c r="H589" i="1"/>
  <c r="J589" i="1"/>
  <c r="K589" i="1"/>
  <c r="Q589" i="1"/>
  <c r="P589" i="1"/>
  <c r="H590" i="1"/>
  <c r="J590" i="1"/>
  <c r="K590" i="1"/>
  <c r="Q590" i="1"/>
  <c r="P590" i="1"/>
  <c r="H591" i="1"/>
  <c r="J591" i="1"/>
  <c r="K591" i="1"/>
  <c r="Q591" i="1"/>
  <c r="P591" i="1"/>
  <c r="H592" i="1"/>
  <c r="J592" i="1"/>
  <c r="K592" i="1"/>
  <c r="Q592" i="1"/>
  <c r="P592" i="1"/>
  <c r="H593" i="1"/>
  <c r="J593" i="1"/>
  <c r="K593" i="1"/>
  <c r="Q593" i="1"/>
  <c r="P593" i="1"/>
  <c r="H594" i="1"/>
  <c r="J594" i="1"/>
  <c r="K594" i="1"/>
  <c r="Q594" i="1"/>
  <c r="P594" i="1"/>
  <c r="H595" i="1"/>
  <c r="J595" i="1"/>
  <c r="K595" i="1"/>
  <c r="Q595" i="1"/>
  <c r="P595" i="1"/>
  <c r="H596" i="1"/>
  <c r="J596" i="1"/>
  <c r="K596" i="1"/>
  <c r="Q596" i="1"/>
  <c r="P596" i="1"/>
  <c r="H597" i="1"/>
  <c r="J597" i="1"/>
  <c r="K597" i="1"/>
  <c r="Q597" i="1"/>
  <c r="P597" i="1"/>
  <c r="H598" i="1"/>
  <c r="J598" i="1"/>
  <c r="K598" i="1"/>
  <c r="Q598" i="1"/>
  <c r="P598" i="1"/>
  <c r="H599" i="1"/>
  <c r="J599" i="1"/>
  <c r="K599" i="1"/>
  <c r="Q599" i="1"/>
  <c r="P599" i="1"/>
  <c r="H600" i="1"/>
  <c r="J600" i="1"/>
  <c r="K600" i="1"/>
  <c r="Q600" i="1"/>
  <c r="P600" i="1"/>
  <c r="H601" i="1"/>
  <c r="J601" i="1"/>
  <c r="K601" i="1"/>
  <c r="Q601" i="1"/>
  <c r="P601" i="1"/>
  <c r="H602" i="1"/>
  <c r="J602" i="1"/>
  <c r="K602" i="1"/>
  <c r="Q602" i="1"/>
  <c r="P602" i="1"/>
  <c r="H603" i="1"/>
  <c r="J603" i="1"/>
  <c r="K603" i="1"/>
  <c r="Q603" i="1"/>
  <c r="P603" i="1"/>
  <c r="H604" i="1"/>
  <c r="J604" i="1"/>
  <c r="K604" i="1"/>
  <c r="Q604" i="1"/>
  <c r="P604" i="1"/>
  <c r="H605" i="1"/>
  <c r="J605" i="1"/>
  <c r="K605" i="1"/>
  <c r="Q605" i="1"/>
  <c r="P605" i="1"/>
  <c r="H606" i="1"/>
  <c r="J606" i="1"/>
  <c r="K606" i="1"/>
  <c r="Q606" i="1"/>
  <c r="P606" i="1"/>
  <c r="H607" i="1"/>
  <c r="J607" i="1"/>
  <c r="K607" i="1"/>
  <c r="Q607" i="1"/>
  <c r="P607" i="1"/>
  <c r="H608" i="1"/>
  <c r="J608" i="1"/>
  <c r="K608" i="1"/>
  <c r="Q608" i="1"/>
  <c r="P608" i="1"/>
  <c r="H609" i="1"/>
  <c r="J609" i="1"/>
  <c r="K609" i="1"/>
  <c r="Q609" i="1"/>
  <c r="P609" i="1"/>
  <c r="H610" i="1"/>
  <c r="J610" i="1"/>
  <c r="K610" i="1"/>
  <c r="Q610" i="1"/>
  <c r="P610" i="1"/>
  <c r="H611" i="1"/>
  <c r="J611" i="1"/>
  <c r="K611" i="1"/>
  <c r="Q611" i="1"/>
  <c r="P611" i="1"/>
  <c r="H612" i="1"/>
  <c r="J612" i="1"/>
  <c r="K612" i="1"/>
  <c r="Q612" i="1"/>
  <c r="P612" i="1"/>
  <c r="H613" i="1"/>
  <c r="J613" i="1"/>
  <c r="K613" i="1"/>
  <c r="Q613" i="1"/>
  <c r="P613" i="1"/>
  <c r="H614" i="1"/>
  <c r="J614" i="1"/>
  <c r="K614" i="1"/>
  <c r="Q614" i="1"/>
  <c r="P614" i="1"/>
  <c r="H615" i="1"/>
  <c r="J615" i="1"/>
  <c r="K615" i="1"/>
  <c r="Q615" i="1"/>
  <c r="P615" i="1"/>
  <c r="H616" i="1"/>
  <c r="J616" i="1"/>
  <c r="K616" i="1"/>
  <c r="Q616" i="1"/>
  <c r="P616" i="1"/>
  <c r="H617" i="1"/>
  <c r="J617" i="1"/>
  <c r="K617" i="1"/>
  <c r="Q617" i="1"/>
  <c r="P617" i="1"/>
  <c r="H618" i="1"/>
  <c r="J618" i="1"/>
  <c r="K618" i="1"/>
  <c r="Q618" i="1"/>
  <c r="P618" i="1"/>
  <c r="H619" i="1"/>
  <c r="J619" i="1"/>
  <c r="K619" i="1"/>
  <c r="Q619" i="1"/>
  <c r="P619" i="1"/>
  <c r="H620" i="1"/>
  <c r="J620" i="1"/>
  <c r="K620" i="1"/>
  <c r="Q620" i="1"/>
  <c r="P620" i="1"/>
  <c r="H621" i="1"/>
  <c r="J621" i="1"/>
  <c r="K621" i="1"/>
  <c r="Q621" i="1"/>
  <c r="P621" i="1"/>
  <c r="H622" i="1"/>
  <c r="J622" i="1"/>
  <c r="K622" i="1"/>
  <c r="Q622" i="1"/>
  <c r="P622" i="1"/>
  <c r="H513" i="1"/>
  <c r="J513" i="1"/>
  <c r="K513" i="1"/>
  <c r="Q513" i="1"/>
  <c r="P513" i="1"/>
  <c r="H512" i="1"/>
  <c r="J512" i="1"/>
  <c r="K512" i="1"/>
  <c r="Q512" i="1"/>
  <c r="P512" i="1"/>
  <c r="H511" i="1"/>
  <c r="J511" i="1"/>
  <c r="K511" i="1"/>
  <c r="Q511" i="1"/>
  <c r="P511" i="1"/>
  <c r="H510" i="1"/>
  <c r="J510" i="1"/>
  <c r="K510" i="1"/>
  <c r="Q510" i="1"/>
  <c r="P510" i="1"/>
  <c r="H509" i="1"/>
  <c r="J509" i="1"/>
  <c r="K509" i="1"/>
  <c r="Q509" i="1"/>
  <c r="P509" i="1"/>
  <c r="H498" i="1"/>
  <c r="J498" i="1"/>
  <c r="K498" i="1"/>
  <c r="Q498" i="1"/>
  <c r="P498" i="1"/>
  <c r="H2" i="1"/>
  <c r="J2" i="1"/>
  <c r="K2" i="1"/>
  <c r="Q2" i="1"/>
  <c r="P2" i="1"/>
  <c r="H3" i="1"/>
  <c r="J3" i="1"/>
  <c r="K3" i="1"/>
  <c r="Q3" i="1"/>
  <c r="P3" i="1"/>
  <c r="H4" i="1"/>
  <c r="J4" i="1"/>
  <c r="K4" i="1"/>
  <c r="Q4" i="1"/>
  <c r="P4" i="1"/>
  <c r="H5" i="1"/>
  <c r="J5" i="1"/>
  <c r="K5" i="1"/>
  <c r="Q5" i="1"/>
  <c r="P5" i="1"/>
  <c r="H6" i="1"/>
  <c r="J6" i="1"/>
  <c r="K6" i="1"/>
  <c r="Q6" i="1"/>
  <c r="P6" i="1"/>
  <c r="H7" i="1"/>
  <c r="J7" i="1"/>
  <c r="K7" i="1"/>
  <c r="Q7" i="1"/>
  <c r="P7" i="1"/>
  <c r="H8" i="1"/>
  <c r="J8" i="1"/>
  <c r="K8" i="1"/>
  <c r="Q8" i="1"/>
  <c r="P8" i="1"/>
  <c r="H9" i="1"/>
  <c r="J9" i="1"/>
  <c r="K9" i="1"/>
  <c r="Q9" i="1"/>
  <c r="P9" i="1"/>
  <c r="H10" i="1"/>
  <c r="J10" i="1"/>
  <c r="K10" i="1"/>
  <c r="Q10" i="1"/>
  <c r="P10" i="1"/>
  <c r="H496" i="1"/>
  <c r="H497" i="1"/>
  <c r="J496" i="1"/>
  <c r="J497" i="1"/>
  <c r="K496" i="1"/>
  <c r="K497" i="1"/>
  <c r="Q496" i="1"/>
  <c r="P496" i="1"/>
  <c r="Q497" i="1"/>
  <c r="P497" i="1"/>
  <c r="H495" i="1"/>
  <c r="J495" i="1"/>
  <c r="K495" i="1"/>
  <c r="Q495" i="1"/>
  <c r="P495" i="1"/>
  <c r="H494" i="1"/>
  <c r="J494" i="1"/>
  <c r="K494" i="1"/>
  <c r="Q494" i="1"/>
  <c r="P494" i="1"/>
  <c r="H493" i="1"/>
  <c r="J493" i="1"/>
  <c r="K493" i="1"/>
  <c r="Q493" i="1"/>
  <c r="P493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/>
  <c r="Q489" i="1"/>
  <c r="P489" i="1"/>
  <c r="Q490" i="1"/>
  <c r="P490" i="1"/>
  <c r="Q491" i="1"/>
  <c r="P491" i="1"/>
  <c r="Q492" i="1"/>
  <c r="P492" i="1"/>
  <c r="H430" i="1"/>
  <c r="H431" i="1"/>
  <c r="J430" i="1"/>
  <c r="J431" i="1"/>
  <c r="K430" i="1"/>
  <c r="K431" i="1"/>
  <c r="Q430" i="1"/>
  <c r="P430" i="1"/>
  <c r="Q431" i="1"/>
  <c r="P431" i="1"/>
  <c r="H429" i="1"/>
  <c r="J429" i="1"/>
  <c r="K429" i="1"/>
  <c r="Q429" i="1"/>
  <c r="P429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/>
  <c r="Q434" i="1"/>
  <c r="P434" i="1"/>
  <c r="Q435" i="1"/>
  <c r="P435" i="1"/>
  <c r="Q436" i="1"/>
  <c r="P436" i="1"/>
  <c r="Q437" i="1"/>
  <c r="P437" i="1"/>
  <c r="Q438" i="1"/>
  <c r="P438" i="1"/>
  <c r="Q439" i="1"/>
  <c r="P439" i="1"/>
  <c r="Q440" i="1"/>
  <c r="P440" i="1"/>
  <c r="Q441" i="1"/>
  <c r="P441" i="1"/>
  <c r="Q442" i="1"/>
  <c r="P442" i="1"/>
  <c r="Q443" i="1"/>
  <c r="P443" i="1"/>
  <c r="Q444" i="1"/>
  <c r="P444" i="1"/>
  <c r="Q445" i="1"/>
  <c r="P445" i="1"/>
  <c r="Q446" i="1"/>
  <c r="P446" i="1"/>
  <c r="Q447" i="1"/>
  <c r="P447" i="1"/>
  <c r="Q448" i="1"/>
  <c r="P448" i="1"/>
  <c r="Q449" i="1"/>
  <c r="P449" i="1"/>
  <c r="Q450" i="1"/>
  <c r="P450" i="1"/>
  <c r="Q451" i="1"/>
  <c r="P451" i="1"/>
  <c r="Q452" i="1"/>
  <c r="P452" i="1"/>
  <c r="Q453" i="1"/>
  <c r="P453" i="1"/>
  <c r="Q454" i="1"/>
  <c r="P454" i="1"/>
  <c r="Q455" i="1"/>
  <c r="P455" i="1"/>
  <c r="Q456" i="1"/>
  <c r="P456" i="1"/>
  <c r="Q457" i="1"/>
  <c r="P457" i="1"/>
  <c r="Q458" i="1"/>
  <c r="P458" i="1"/>
  <c r="Q459" i="1"/>
  <c r="P459" i="1"/>
  <c r="Q460" i="1"/>
  <c r="P460" i="1"/>
  <c r="Q461" i="1"/>
  <c r="P461" i="1"/>
  <c r="Q462" i="1"/>
  <c r="P462" i="1"/>
  <c r="Q463" i="1"/>
  <c r="P463" i="1"/>
  <c r="Q464" i="1"/>
  <c r="P464" i="1"/>
  <c r="Q465" i="1"/>
  <c r="P465" i="1"/>
  <c r="Q466" i="1"/>
  <c r="P466" i="1"/>
  <c r="Q467" i="1"/>
  <c r="P467" i="1"/>
  <c r="Q468" i="1"/>
  <c r="P468" i="1"/>
  <c r="Q469" i="1"/>
  <c r="P469" i="1"/>
  <c r="Q470" i="1"/>
  <c r="P470" i="1"/>
  <c r="Q471" i="1"/>
  <c r="P471" i="1"/>
  <c r="Q472" i="1"/>
  <c r="P472" i="1"/>
  <c r="Q473" i="1"/>
  <c r="P473" i="1"/>
  <c r="Q474" i="1"/>
  <c r="P474" i="1"/>
  <c r="Q475" i="1"/>
  <c r="P475" i="1"/>
  <c r="Q476" i="1"/>
  <c r="P476" i="1"/>
  <c r="Q477" i="1"/>
  <c r="P477" i="1"/>
  <c r="Q478" i="1"/>
  <c r="P478" i="1"/>
  <c r="Q479" i="1"/>
  <c r="P479" i="1"/>
  <c r="Q480" i="1"/>
  <c r="P480" i="1"/>
  <c r="Q481" i="1"/>
  <c r="P481" i="1"/>
  <c r="Q482" i="1"/>
  <c r="P482" i="1"/>
  <c r="Q483" i="1"/>
  <c r="P483" i="1"/>
  <c r="Q484" i="1"/>
  <c r="P484" i="1"/>
  <c r="Q485" i="1"/>
  <c r="P485" i="1"/>
  <c r="Q486" i="1"/>
  <c r="P486" i="1"/>
  <c r="Q487" i="1"/>
  <c r="P487" i="1"/>
  <c r="H432" i="1"/>
  <c r="J432" i="1"/>
  <c r="K432" i="1"/>
  <c r="Q432" i="1"/>
  <c r="P432" i="1"/>
  <c r="H384" i="1"/>
  <c r="H385" i="1"/>
  <c r="H386" i="1"/>
  <c r="J384" i="1"/>
  <c r="J385" i="1"/>
  <c r="J386" i="1"/>
  <c r="K384" i="1"/>
  <c r="K385" i="1"/>
  <c r="K386" i="1"/>
  <c r="Q384" i="1"/>
  <c r="P384" i="1"/>
  <c r="Q385" i="1"/>
  <c r="P385" i="1"/>
  <c r="Q386" i="1"/>
  <c r="P386" i="1"/>
  <c r="H383" i="1"/>
  <c r="J383" i="1"/>
  <c r="K383" i="1"/>
  <c r="Q383" i="1"/>
  <c r="P383" i="1"/>
  <c r="H387" i="1"/>
  <c r="J387" i="1"/>
  <c r="K387" i="1"/>
  <c r="Q387" i="1"/>
  <c r="P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/>
  <c r="Q389" i="1"/>
  <c r="P389" i="1"/>
  <c r="Q390" i="1"/>
  <c r="P390" i="1"/>
  <c r="Q391" i="1"/>
  <c r="P391" i="1"/>
  <c r="Q392" i="1"/>
  <c r="P392" i="1"/>
  <c r="Q393" i="1"/>
  <c r="P393" i="1"/>
  <c r="Q394" i="1"/>
  <c r="P394" i="1"/>
  <c r="Q395" i="1"/>
  <c r="P395" i="1"/>
  <c r="Q396" i="1"/>
  <c r="P396" i="1"/>
  <c r="Q397" i="1"/>
  <c r="P397" i="1"/>
  <c r="Q398" i="1"/>
  <c r="P398" i="1"/>
  <c r="Q399" i="1"/>
  <c r="P399" i="1"/>
  <c r="Q400" i="1"/>
  <c r="P400" i="1"/>
  <c r="Q401" i="1"/>
  <c r="P401" i="1"/>
  <c r="Q402" i="1"/>
  <c r="P402" i="1"/>
  <c r="Q403" i="1"/>
  <c r="P403" i="1"/>
  <c r="Q404" i="1"/>
  <c r="P404" i="1"/>
  <c r="Q405" i="1"/>
  <c r="P405" i="1"/>
  <c r="Q406" i="1"/>
  <c r="P406" i="1"/>
  <c r="Q407" i="1"/>
  <c r="P407" i="1"/>
  <c r="Q408" i="1"/>
  <c r="P408" i="1"/>
  <c r="Q409" i="1"/>
  <c r="P409" i="1"/>
  <c r="Q410" i="1"/>
  <c r="P410" i="1"/>
  <c r="Q411" i="1"/>
  <c r="P411" i="1"/>
  <c r="Q412" i="1"/>
  <c r="P412" i="1"/>
  <c r="Q413" i="1"/>
  <c r="P413" i="1"/>
  <c r="Q414" i="1"/>
  <c r="P414" i="1"/>
  <c r="Q415" i="1"/>
  <c r="P415" i="1"/>
  <c r="Q416" i="1"/>
  <c r="P416" i="1"/>
  <c r="Q417" i="1"/>
  <c r="P417" i="1"/>
  <c r="Q418" i="1"/>
  <c r="P418" i="1"/>
  <c r="Q419" i="1"/>
  <c r="P419" i="1"/>
  <c r="Q420" i="1"/>
  <c r="P420" i="1"/>
  <c r="Q421" i="1"/>
  <c r="P421" i="1"/>
  <c r="Q422" i="1"/>
  <c r="P422" i="1"/>
  <c r="Q423" i="1"/>
  <c r="P423" i="1"/>
  <c r="Q424" i="1"/>
  <c r="P424" i="1"/>
  <c r="Q425" i="1"/>
  <c r="P425" i="1"/>
  <c r="Q426" i="1"/>
  <c r="P426" i="1"/>
  <c r="Q427" i="1"/>
  <c r="P427" i="1"/>
  <c r="Q428" i="1"/>
  <c r="P428" i="1"/>
  <c r="H365" i="1"/>
  <c r="J365" i="1"/>
  <c r="K365" i="1"/>
  <c r="Q365" i="1"/>
  <c r="P365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/>
  <c r="Q368" i="1"/>
  <c r="P368" i="1"/>
  <c r="Q369" i="1"/>
  <c r="P369" i="1"/>
  <c r="Q370" i="1"/>
  <c r="P370" i="1"/>
  <c r="Q371" i="1"/>
  <c r="P371" i="1"/>
  <c r="Q372" i="1"/>
  <c r="P372" i="1"/>
  <c r="Q373" i="1"/>
  <c r="P373" i="1"/>
  <c r="Q374" i="1"/>
  <c r="P374" i="1"/>
  <c r="Q375" i="1"/>
  <c r="P375" i="1"/>
  <c r="Q376" i="1"/>
  <c r="P376" i="1"/>
  <c r="Q378" i="1"/>
  <c r="P378" i="1"/>
  <c r="Q379" i="1"/>
  <c r="P379" i="1"/>
  <c r="Q380" i="1"/>
  <c r="P380" i="1"/>
  <c r="Q381" i="1"/>
  <c r="P381" i="1"/>
  <c r="H366" i="1"/>
  <c r="J366" i="1"/>
  <c r="K366" i="1"/>
  <c r="Q366" i="1"/>
  <c r="P36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/>
  <c r="Q343" i="1"/>
  <c r="P343" i="1"/>
  <c r="Q344" i="1"/>
  <c r="P344" i="1"/>
  <c r="Q345" i="1"/>
  <c r="P345" i="1"/>
  <c r="Q346" i="1"/>
  <c r="P346" i="1"/>
  <c r="H341" i="1"/>
  <c r="J341" i="1"/>
  <c r="K341" i="1"/>
  <c r="Q341" i="1"/>
  <c r="P341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/>
  <c r="Q348" i="1"/>
  <c r="P348" i="1"/>
  <c r="Q349" i="1"/>
  <c r="P349" i="1"/>
  <c r="Q350" i="1"/>
  <c r="P350" i="1"/>
  <c r="Q351" i="1"/>
  <c r="P351" i="1"/>
  <c r="Q352" i="1"/>
  <c r="P352" i="1"/>
  <c r="Q353" i="1"/>
  <c r="P353" i="1"/>
  <c r="Q354" i="1"/>
  <c r="P354" i="1"/>
  <c r="Q355" i="1"/>
  <c r="P355" i="1"/>
  <c r="Q356" i="1"/>
  <c r="P356" i="1"/>
  <c r="Q357" i="1"/>
  <c r="P357" i="1"/>
  <c r="Q358" i="1"/>
  <c r="P358" i="1"/>
  <c r="Q359" i="1"/>
  <c r="P359" i="1"/>
  <c r="H361" i="1"/>
  <c r="H362" i="1"/>
  <c r="H363" i="1"/>
  <c r="J361" i="1"/>
  <c r="J362" i="1"/>
  <c r="J363" i="1"/>
  <c r="K361" i="1"/>
  <c r="K362" i="1"/>
  <c r="K363" i="1"/>
  <c r="Q361" i="1"/>
  <c r="P361" i="1"/>
  <c r="Q362" i="1"/>
  <c r="P362" i="1"/>
  <c r="Q363" i="1"/>
  <c r="P363" i="1"/>
  <c r="H360" i="1"/>
  <c r="J360" i="1"/>
  <c r="K360" i="1"/>
  <c r="Q360" i="1"/>
  <c r="P360" i="1"/>
  <c r="H364" i="1"/>
  <c r="J364" i="1"/>
  <c r="K364" i="1"/>
  <c r="Q364" i="1"/>
  <c r="P364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/>
  <c r="Q324" i="1"/>
  <c r="P324" i="1"/>
  <c r="Q325" i="1"/>
  <c r="P325" i="1"/>
  <c r="Q326" i="1"/>
  <c r="P326" i="1"/>
  <c r="Q327" i="1"/>
  <c r="P327" i="1"/>
  <c r="Q328" i="1"/>
  <c r="P328" i="1"/>
  <c r="Q329" i="1"/>
  <c r="P329" i="1"/>
  <c r="Q330" i="1"/>
  <c r="P330" i="1"/>
  <c r="Q331" i="1"/>
  <c r="P331" i="1"/>
  <c r="Q332" i="1"/>
  <c r="P332" i="1"/>
  <c r="Q333" i="1"/>
  <c r="P333" i="1"/>
  <c r="Q334" i="1"/>
  <c r="P334" i="1"/>
  <c r="Q335" i="1"/>
  <c r="P335" i="1"/>
  <c r="Q336" i="1"/>
  <c r="P336" i="1"/>
  <c r="Q337" i="1"/>
  <c r="P337" i="1"/>
  <c r="Q338" i="1"/>
  <c r="P338" i="1"/>
  <c r="Q339" i="1"/>
  <c r="P339" i="1"/>
  <c r="Q340" i="1"/>
  <c r="P340" i="1"/>
  <c r="H315" i="1"/>
  <c r="J315" i="1"/>
  <c r="K315" i="1"/>
  <c r="Q315" i="1"/>
  <c r="P315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/>
  <c r="Q318" i="1"/>
  <c r="P318" i="1"/>
  <c r="Q319" i="1"/>
  <c r="P319" i="1"/>
  <c r="Q320" i="1"/>
  <c r="P320" i="1"/>
  <c r="Q321" i="1"/>
  <c r="P321" i="1"/>
  <c r="H316" i="1"/>
  <c r="J316" i="1"/>
  <c r="K316" i="1"/>
  <c r="Q316" i="1"/>
  <c r="P316" i="1"/>
  <c r="H322" i="1"/>
  <c r="J322" i="1"/>
  <c r="K322" i="1"/>
  <c r="Q322" i="1"/>
  <c r="P322" i="1"/>
  <c r="H314" i="1"/>
  <c r="J314" i="1"/>
  <c r="K314" i="1"/>
  <c r="Q314" i="1"/>
  <c r="P314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/>
  <c r="Q310" i="1"/>
  <c r="P310" i="1"/>
  <c r="Q311" i="1"/>
  <c r="P311" i="1"/>
  <c r="Q312" i="1"/>
  <c r="P312" i="1"/>
  <c r="Q313" i="1"/>
  <c r="P313" i="1"/>
  <c r="H308" i="1"/>
  <c r="J308" i="1"/>
  <c r="K308" i="1"/>
  <c r="Q308" i="1"/>
  <c r="P308" i="1"/>
  <c r="H307" i="1"/>
  <c r="J307" i="1"/>
  <c r="K307" i="1"/>
  <c r="Q307" i="1"/>
  <c r="P307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/>
  <c r="Q298" i="1"/>
  <c r="P298" i="1"/>
  <c r="Q299" i="1"/>
  <c r="P299" i="1"/>
  <c r="Q300" i="1"/>
  <c r="P300" i="1"/>
  <c r="Q301" i="1"/>
  <c r="P301" i="1"/>
  <c r="Q302" i="1"/>
  <c r="P302" i="1"/>
  <c r="Q303" i="1"/>
  <c r="P303" i="1"/>
  <c r="Q304" i="1"/>
  <c r="P304" i="1"/>
  <c r="Q305" i="1"/>
  <c r="P305" i="1"/>
  <c r="Q306" i="1"/>
  <c r="P306" i="1"/>
  <c r="H296" i="1"/>
  <c r="J296" i="1"/>
  <c r="K296" i="1"/>
  <c r="Q296" i="1"/>
  <c r="P296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/>
  <c r="Q288" i="1"/>
  <c r="P288" i="1"/>
  <c r="Q289" i="1"/>
  <c r="P289" i="1"/>
  <c r="Q290" i="1"/>
  <c r="P290" i="1"/>
  <c r="Q291" i="1"/>
  <c r="P291" i="1"/>
  <c r="Q292" i="1"/>
  <c r="P292" i="1"/>
  <c r="Q293" i="1"/>
  <c r="P293" i="1"/>
  <c r="Q294" i="1"/>
  <c r="P294" i="1"/>
  <c r="Q295" i="1"/>
  <c r="P295" i="1"/>
  <c r="H286" i="1"/>
  <c r="J286" i="1"/>
  <c r="K286" i="1"/>
  <c r="Q286" i="1"/>
  <c r="P286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/>
  <c r="Q283" i="1"/>
  <c r="P283" i="1"/>
  <c r="Q284" i="1"/>
  <c r="P284" i="1"/>
  <c r="Q285" i="1"/>
  <c r="P285" i="1"/>
  <c r="H267" i="1"/>
  <c r="H268" i="1"/>
  <c r="H269" i="1"/>
  <c r="J267" i="1"/>
  <c r="J268" i="1"/>
  <c r="J269" i="1"/>
  <c r="K267" i="1"/>
  <c r="K268" i="1"/>
  <c r="K269" i="1"/>
  <c r="Q267" i="1"/>
  <c r="P267" i="1"/>
  <c r="Q268" i="1"/>
  <c r="P268" i="1"/>
  <c r="Q269" i="1"/>
  <c r="P269" i="1"/>
  <c r="H266" i="1"/>
  <c r="J266" i="1"/>
  <c r="K266" i="1"/>
  <c r="Q266" i="1"/>
  <c r="P266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/>
  <c r="Q272" i="1"/>
  <c r="P272" i="1"/>
  <c r="Q273" i="1"/>
  <c r="P273" i="1"/>
  <c r="Q274" i="1"/>
  <c r="P274" i="1"/>
  <c r="Q275" i="1"/>
  <c r="P275" i="1"/>
  <c r="Q276" i="1"/>
  <c r="P276" i="1"/>
  <c r="Q277" i="1"/>
  <c r="P277" i="1"/>
  <c r="Q278" i="1"/>
  <c r="P278" i="1"/>
  <c r="Q279" i="1"/>
  <c r="P279" i="1"/>
  <c r="Q280" i="1"/>
  <c r="P280" i="1"/>
  <c r="Q281" i="1"/>
  <c r="P281" i="1"/>
  <c r="H270" i="1"/>
  <c r="J270" i="1"/>
  <c r="K270" i="1"/>
  <c r="Q270" i="1"/>
  <c r="P270" i="1"/>
  <c r="H263" i="1"/>
  <c r="H264" i="1"/>
  <c r="H265" i="1"/>
  <c r="J263" i="1"/>
  <c r="J264" i="1"/>
  <c r="J265" i="1"/>
  <c r="K263" i="1"/>
  <c r="K264" i="1"/>
  <c r="K265" i="1"/>
  <c r="Q263" i="1"/>
  <c r="P263" i="1"/>
  <c r="Q264" i="1"/>
  <c r="P264" i="1"/>
  <c r="Q265" i="1"/>
  <c r="P265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/>
  <c r="Q257" i="1"/>
  <c r="P257" i="1"/>
  <c r="Q258" i="1"/>
  <c r="P258" i="1"/>
  <c r="Q259" i="1"/>
  <c r="P259" i="1"/>
  <c r="Q260" i="1"/>
  <c r="P260" i="1"/>
  <c r="Q261" i="1"/>
  <c r="P261" i="1"/>
  <c r="Q262" i="1"/>
  <c r="P262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/>
  <c r="Q252" i="1"/>
  <c r="P252" i="1"/>
  <c r="Q253" i="1"/>
  <c r="P253" i="1"/>
  <c r="Q254" i="1"/>
  <c r="P254" i="1"/>
  <c r="Q255" i="1"/>
  <c r="P255" i="1"/>
  <c r="H250" i="1"/>
  <c r="J250" i="1"/>
  <c r="K250" i="1"/>
  <c r="Q250" i="1"/>
  <c r="P250" i="1"/>
  <c r="H249" i="1"/>
  <c r="J249" i="1"/>
  <c r="K249" i="1"/>
  <c r="Q249" i="1"/>
  <c r="P249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/>
  <c r="Q246" i="1"/>
  <c r="P246" i="1"/>
  <c r="Q247" i="1"/>
  <c r="P247" i="1"/>
  <c r="Q248" i="1"/>
  <c r="P248" i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/>
  <c r="Q236" i="1"/>
  <c r="P236" i="1"/>
  <c r="Q237" i="1"/>
  <c r="P237" i="1"/>
  <c r="Q238" i="1"/>
  <c r="P238" i="1"/>
  <c r="Q239" i="1"/>
  <c r="P239" i="1"/>
  <c r="Q240" i="1"/>
  <c r="P240" i="1"/>
  <c r="Q241" i="1"/>
  <c r="P241" i="1"/>
  <c r="Q242" i="1"/>
  <c r="P242" i="1"/>
  <c r="Q243" i="1"/>
  <c r="P243" i="1"/>
  <c r="Q244" i="1"/>
  <c r="P24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/>
  <c r="Q209" i="1"/>
  <c r="P209" i="1"/>
  <c r="Q210" i="1"/>
  <c r="P210" i="1"/>
  <c r="Q211" i="1"/>
  <c r="P211" i="1"/>
  <c r="Q212" i="1"/>
  <c r="P212" i="1"/>
  <c r="Q213" i="1"/>
  <c r="P213" i="1"/>
  <c r="Q214" i="1"/>
  <c r="P214" i="1"/>
  <c r="Q215" i="1"/>
  <c r="P215" i="1"/>
  <c r="Q216" i="1"/>
  <c r="P216" i="1"/>
  <c r="Q217" i="1"/>
  <c r="P217" i="1"/>
  <c r="Q218" i="1"/>
  <c r="P218" i="1"/>
  <c r="Q219" i="1"/>
  <c r="P219" i="1"/>
  <c r="Q220" i="1"/>
  <c r="P220" i="1"/>
  <c r="Q221" i="1"/>
  <c r="P221" i="1"/>
  <c r="Q222" i="1"/>
  <c r="P222" i="1"/>
  <c r="Q223" i="1"/>
  <c r="P223" i="1"/>
  <c r="Q224" i="1"/>
  <c r="P224" i="1"/>
  <c r="Q225" i="1"/>
  <c r="P225" i="1"/>
  <c r="Q226" i="1"/>
  <c r="P226" i="1"/>
  <c r="Q227" i="1"/>
  <c r="P227" i="1"/>
  <c r="Q228" i="1"/>
  <c r="P228" i="1"/>
  <c r="Q229" i="1"/>
  <c r="P229" i="1"/>
  <c r="Q230" i="1"/>
  <c r="P230" i="1"/>
  <c r="Q231" i="1"/>
  <c r="P231" i="1"/>
  <c r="Q232" i="1"/>
  <c r="P232" i="1"/>
  <c r="Q233" i="1"/>
  <c r="P233" i="1"/>
  <c r="Q234" i="1"/>
  <c r="P234" i="1"/>
  <c r="H206" i="1"/>
  <c r="H207" i="1"/>
  <c r="J206" i="1"/>
  <c r="J207" i="1"/>
  <c r="K206" i="1"/>
  <c r="K207" i="1"/>
  <c r="Q206" i="1"/>
  <c r="P206" i="1"/>
  <c r="Q207" i="1"/>
  <c r="P207" i="1"/>
  <c r="H205" i="1"/>
  <c r="J205" i="1"/>
  <c r="K205" i="1"/>
  <c r="Q205" i="1"/>
  <c r="P205" i="1"/>
  <c r="H204" i="1"/>
  <c r="J204" i="1"/>
  <c r="K204" i="1"/>
  <c r="Q204" i="1"/>
  <c r="P204" i="1"/>
  <c r="H203" i="1"/>
  <c r="J203" i="1"/>
  <c r="K203" i="1"/>
  <c r="Q203" i="1"/>
  <c r="P203" i="1"/>
  <c r="H190" i="1"/>
  <c r="J190" i="1"/>
  <c r="K190" i="1"/>
  <c r="Q190" i="1"/>
  <c r="P190" i="1"/>
  <c r="H191" i="1"/>
  <c r="J191" i="1"/>
  <c r="K191" i="1"/>
  <c r="Q191" i="1"/>
  <c r="P191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/>
  <c r="Q193" i="1"/>
  <c r="P193" i="1"/>
  <c r="Q194" i="1"/>
  <c r="P194" i="1"/>
  <c r="Q195" i="1"/>
  <c r="P195" i="1"/>
  <c r="Q196" i="1"/>
  <c r="P196" i="1"/>
  <c r="H201" i="1"/>
  <c r="H202" i="1"/>
  <c r="J201" i="1"/>
  <c r="J202" i="1"/>
  <c r="K201" i="1"/>
  <c r="K202" i="1"/>
  <c r="Q201" i="1"/>
  <c r="P201" i="1"/>
  <c r="Q202" i="1"/>
  <c r="P202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/>
  <c r="Q198" i="1"/>
  <c r="P198" i="1"/>
  <c r="Q199" i="1"/>
  <c r="P199" i="1"/>
  <c r="Q200" i="1"/>
  <c r="P200" i="1"/>
  <c r="H187" i="1"/>
  <c r="H188" i="1"/>
  <c r="H189" i="1"/>
  <c r="J187" i="1"/>
  <c r="J188" i="1"/>
  <c r="J189" i="1"/>
  <c r="K187" i="1"/>
  <c r="K188" i="1"/>
  <c r="K189" i="1"/>
  <c r="Q187" i="1"/>
  <c r="P187" i="1"/>
  <c r="Q188" i="1"/>
  <c r="P188" i="1"/>
  <c r="Q189" i="1"/>
  <c r="P189" i="1"/>
  <c r="H164" i="1"/>
  <c r="K164" i="1"/>
  <c r="Q164" i="1"/>
  <c r="P164" i="1"/>
  <c r="H165" i="1"/>
  <c r="H166" i="1"/>
  <c r="J165" i="1"/>
  <c r="J166" i="1"/>
  <c r="K165" i="1"/>
  <c r="K166" i="1"/>
  <c r="Q165" i="1"/>
  <c r="P165" i="1"/>
  <c r="Q166" i="1"/>
  <c r="P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/>
  <c r="Q168" i="1"/>
  <c r="P168" i="1"/>
  <c r="Q169" i="1"/>
  <c r="P169" i="1"/>
  <c r="Q170" i="1"/>
  <c r="P170" i="1"/>
  <c r="Q171" i="1"/>
  <c r="P171" i="1"/>
  <c r="Q172" i="1"/>
  <c r="P172" i="1"/>
  <c r="Q173" i="1"/>
  <c r="P173" i="1"/>
  <c r="Q174" i="1"/>
  <c r="P174" i="1"/>
  <c r="Q175" i="1"/>
  <c r="P175" i="1"/>
  <c r="Q176" i="1"/>
  <c r="P176" i="1"/>
  <c r="Q177" i="1"/>
  <c r="P177" i="1"/>
  <c r="Q178" i="1"/>
  <c r="P178" i="1"/>
  <c r="Q179" i="1"/>
  <c r="P179" i="1"/>
  <c r="Q180" i="1"/>
  <c r="P180" i="1"/>
  <c r="Q181" i="1"/>
  <c r="P181" i="1"/>
  <c r="Q182" i="1"/>
  <c r="P182" i="1"/>
  <c r="Q183" i="1"/>
  <c r="P183" i="1"/>
  <c r="Q184" i="1"/>
  <c r="P184" i="1"/>
  <c r="Q185" i="1"/>
  <c r="P185" i="1"/>
  <c r="Q186" i="1"/>
  <c r="P186" i="1"/>
  <c r="J164" i="1"/>
  <c r="H163" i="1"/>
  <c r="J163" i="1"/>
  <c r="K163" i="1"/>
  <c r="Q163" i="1"/>
  <c r="P163" i="1"/>
  <c r="H162" i="1"/>
  <c r="J162" i="1"/>
  <c r="K162" i="1"/>
  <c r="Q162" i="1"/>
  <c r="P162" i="1"/>
  <c r="H160" i="1"/>
  <c r="H161" i="1"/>
  <c r="J160" i="1"/>
  <c r="J161" i="1"/>
  <c r="K160" i="1"/>
  <c r="K161" i="1"/>
  <c r="Q160" i="1"/>
  <c r="P160" i="1"/>
  <c r="Q161" i="1"/>
  <c r="P161" i="1"/>
  <c r="H159" i="1"/>
  <c r="J159" i="1"/>
  <c r="K159" i="1"/>
  <c r="Q159" i="1"/>
  <c r="P159" i="1"/>
  <c r="H157" i="1"/>
  <c r="H158" i="1"/>
  <c r="J157" i="1"/>
  <c r="J158" i="1"/>
  <c r="K157" i="1"/>
  <c r="K158" i="1"/>
  <c r="Q157" i="1"/>
  <c r="P157" i="1"/>
  <c r="Q158" i="1"/>
  <c r="P158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/>
  <c r="Q133" i="1"/>
  <c r="P133" i="1"/>
  <c r="Q134" i="1"/>
  <c r="P134" i="1"/>
  <c r="Q135" i="1"/>
  <c r="P135" i="1"/>
  <c r="Q136" i="1"/>
  <c r="P136" i="1"/>
  <c r="Q137" i="1"/>
  <c r="P137" i="1"/>
  <c r="Q138" i="1"/>
  <c r="P138" i="1"/>
  <c r="Q139" i="1"/>
  <c r="P139" i="1"/>
  <c r="Q140" i="1"/>
  <c r="P140" i="1"/>
  <c r="Q141" i="1"/>
  <c r="P141" i="1"/>
  <c r="Q142" i="1"/>
  <c r="P142" i="1"/>
  <c r="Q143" i="1"/>
  <c r="P143" i="1"/>
  <c r="Q144" i="1"/>
  <c r="P144" i="1"/>
  <c r="Q145" i="1"/>
  <c r="P145" i="1"/>
  <c r="Q146" i="1"/>
  <c r="P146" i="1"/>
  <c r="Q147" i="1"/>
  <c r="P147" i="1"/>
  <c r="Q148" i="1"/>
  <c r="P148" i="1"/>
  <c r="Q149" i="1"/>
  <c r="P149" i="1"/>
  <c r="Q150" i="1"/>
  <c r="P150" i="1"/>
  <c r="Q151" i="1"/>
  <c r="P151" i="1"/>
  <c r="Q152" i="1"/>
  <c r="P152" i="1"/>
  <c r="Q153" i="1"/>
  <c r="P153" i="1"/>
  <c r="Q154" i="1"/>
  <c r="P154" i="1"/>
  <c r="Q155" i="1"/>
  <c r="P155" i="1"/>
  <c r="Q156" i="1"/>
  <c r="P156" i="1"/>
  <c r="H130" i="1"/>
  <c r="H131" i="1"/>
  <c r="J130" i="1"/>
  <c r="J131" i="1"/>
  <c r="K130" i="1"/>
  <c r="K131" i="1"/>
  <c r="Q130" i="1"/>
  <c r="P130" i="1"/>
  <c r="Q131" i="1"/>
  <c r="P131" i="1"/>
  <c r="Q129" i="1"/>
  <c r="P129" i="1"/>
  <c r="K129" i="1"/>
  <c r="Q128" i="1"/>
  <c r="P128" i="1"/>
  <c r="K128" i="1"/>
  <c r="Q127" i="1"/>
  <c r="P127" i="1"/>
  <c r="K127" i="1"/>
  <c r="Q126" i="1"/>
  <c r="P126" i="1"/>
  <c r="K126" i="1"/>
  <c r="Q125" i="1"/>
  <c r="P125" i="1"/>
  <c r="K125" i="1"/>
  <c r="Q124" i="1"/>
  <c r="P124" i="1"/>
  <c r="K124" i="1"/>
  <c r="Q123" i="1"/>
  <c r="P123" i="1"/>
  <c r="K123" i="1"/>
  <c r="Q122" i="1"/>
  <c r="P122" i="1"/>
  <c r="K122" i="1"/>
  <c r="Q121" i="1"/>
  <c r="P121" i="1"/>
  <c r="K121" i="1"/>
  <c r="Q120" i="1"/>
  <c r="P120" i="1"/>
  <c r="K120" i="1"/>
  <c r="Q119" i="1"/>
  <c r="P119" i="1"/>
  <c r="K119" i="1"/>
  <c r="Q118" i="1"/>
  <c r="P118" i="1"/>
  <c r="K118" i="1"/>
  <c r="Q117" i="1"/>
  <c r="P117" i="1"/>
  <c r="K117" i="1"/>
  <c r="Q116" i="1"/>
  <c r="P116" i="1"/>
  <c r="K116" i="1"/>
  <c r="Q115" i="1"/>
  <c r="P115" i="1"/>
  <c r="K115" i="1"/>
  <c r="Q114" i="1"/>
  <c r="P114" i="1"/>
  <c r="K114" i="1"/>
  <c r="Q113" i="1"/>
  <c r="P113" i="1"/>
  <c r="K113" i="1"/>
  <c r="Q112" i="1"/>
  <c r="P112" i="1"/>
  <c r="K112" i="1"/>
  <c r="Q111" i="1"/>
  <c r="P111" i="1"/>
  <c r="K111" i="1"/>
  <c r="Q110" i="1"/>
  <c r="P110" i="1"/>
  <c r="K110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/>
  <c r="H86" i="1"/>
  <c r="H87" i="1"/>
  <c r="H88" i="1"/>
  <c r="J86" i="1"/>
  <c r="J87" i="1"/>
  <c r="J88" i="1"/>
  <c r="K86" i="1"/>
  <c r="K87" i="1"/>
  <c r="K88" i="1"/>
  <c r="Q86" i="1"/>
  <c r="P86" i="1"/>
  <c r="Q87" i="1"/>
  <c r="P87" i="1"/>
  <c r="Q88" i="1"/>
  <c r="P88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/>
  <c r="Q91" i="1"/>
  <c r="P91" i="1"/>
  <c r="Q92" i="1"/>
  <c r="P92" i="1"/>
  <c r="Q93" i="1"/>
  <c r="P93" i="1"/>
  <c r="Q94" i="1"/>
  <c r="P94" i="1"/>
  <c r="Q95" i="1"/>
  <c r="P95" i="1"/>
  <c r="Q96" i="1"/>
  <c r="P96" i="1"/>
  <c r="Q97" i="1"/>
  <c r="P97" i="1"/>
  <c r="Q98" i="1"/>
  <c r="P98" i="1"/>
  <c r="Q99" i="1"/>
  <c r="P99" i="1"/>
  <c r="Q100" i="1"/>
  <c r="P100" i="1"/>
  <c r="Q101" i="1"/>
  <c r="P101" i="1"/>
  <c r="Q102" i="1"/>
  <c r="P102" i="1"/>
  <c r="Q103" i="1"/>
  <c r="P103" i="1"/>
  <c r="Q104" i="1"/>
  <c r="P104" i="1"/>
  <c r="Q105" i="1"/>
  <c r="P105" i="1"/>
  <c r="Q106" i="1"/>
  <c r="P106" i="1"/>
  <c r="Q107" i="1"/>
  <c r="P107" i="1"/>
  <c r="Q108" i="1"/>
  <c r="P108" i="1"/>
  <c r="H89" i="1"/>
  <c r="J89" i="1"/>
  <c r="K89" i="1"/>
  <c r="Q89" i="1"/>
  <c r="P89" i="1"/>
  <c r="Q85" i="1"/>
  <c r="P85" i="1"/>
  <c r="K85" i="1"/>
  <c r="Q84" i="1"/>
  <c r="P84" i="1"/>
  <c r="K84" i="1"/>
  <c r="Q83" i="1"/>
  <c r="P83" i="1"/>
  <c r="K83" i="1"/>
  <c r="Q82" i="1"/>
  <c r="P82" i="1"/>
  <c r="K82" i="1"/>
  <c r="Q81" i="1"/>
  <c r="P81" i="1"/>
  <c r="K81" i="1"/>
  <c r="Q80" i="1"/>
  <c r="P80" i="1"/>
  <c r="K80" i="1"/>
  <c r="Q79" i="1"/>
  <c r="P79" i="1"/>
  <c r="K79" i="1"/>
  <c r="Q78" i="1"/>
  <c r="P78" i="1"/>
  <c r="K78" i="1"/>
  <c r="Q77" i="1"/>
  <c r="P77" i="1"/>
  <c r="K77" i="1"/>
  <c r="Q76" i="1"/>
  <c r="P76" i="1"/>
  <c r="K76" i="1"/>
  <c r="Q75" i="1"/>
  <c r="P75" i="1"/>
  <c r="K75" i="1"/>
  <c r="Q74" i="1"/>
  <c r="P74" i="1"/>
  <c r="K74" i="1"/>
  <c r="Q73" i="1"/>
  <c r="P73" i="1"/>
  <c r="K73" i="1"/>
  <c r="Q72" i="1"/>
  <c r="P72" i="1"/>
  <c r="K72" i="1"/>
  <c r="Q71" i="1"/>
  <c r="P71" i="1"/>
  <c r="K71" i="1"/>
  <c r="Q70" i="1"/>
  <c r="P70" i="1"/>
  <c r="K70" i="1"/>
  <c r="Q69" i="1"/>
  <c r="P69" i="1"/>
  <c r="K69" i="1"/>
  <c r="Q68" i="1"/>
  <c r="P68" i="1"/>
  <c r="K68" i="1"/>
  <c r="Q67" i="1"/>
  <c r="P67" i="1"/>
  <c r="K67" i="1"/>
  <c r="Q66" i="1"/>
  <c r="P66" i="1"/>
  <c r="K66" i="1"/>
  <c r="Q65" i="1"/>
  <c r="P65" i="1"/>
  <c r="K65" i="1"/>
  <c r="Q64" i="1"/>
  <c r="P64" i="1"/>
  <c r="K64" i="1"/>
  <c r="Q63" i="1"/>
  <c r="P63" i="1"/>
  <c r="K63" i="1"/>
  <c r="Q62" i="1"/>
  <c r="P62" i="1"/>
  <c r="K62" i="1"/>
  <c r="Q61" i="1"/>
  <c r="P61" i="1"/>
  <c r="K61" i="1"/>
  <c r="Q60" i="1"/>
  <c r="P60" i="1"/>
  <c r="K60" i="1"/>
  <c r="Q59" i="1"/>
  <c r="P59" i="1"/>
  <c r="K59" i="1"/>
  <c r="Q58" i="1"/>
  <c r="P58" i="1"/>
  <c r="K58" i="1"/>
  <c r="Q57" i="1"/>
  <c r="P57" i="1"/>
  <c r="K57" i="1"/>
  <c r="Q56" i="1"/>
  <c r="P56" i="1"/>
  <c r="K56" i="1"/>
  <c r="Q55" i="1"/>
  <c r="P55" i="1"/>
  <c r="K55" i="1"/>
  <c r="Q54" i="1"/>
  <c r="P54" i="1"/>
  <c r="K54" i="1"/>
  <c r="Q53" i="1"/>
  <c r="P53" i="1"/>
  <c r="K53" i="1"/>
  <c r="Q52" i="1"/>
  <c r="P52" i="1"/>
  <c r="K52" i="1"/>
  <c r="Q51" i="1"/>
  <c r="P51" i="1"/>
  <c r="K51" i="1"/>
  <c r="Q50" i="1"/>
  <c r="P50" i="1"/>
  <c r="K50" i="1"/>
  <c r="Q49" i="1"/>
  <c r="P49" i="1"/>
  <c r="K49" i="1"/>
  <c r="Q48" i="1"/>
  <c r="P48" i="1"/>
  <c r="K48" i="1"/>
  <c r="Q47" i="1"/>
  <c r="P47" i="1"/>
  <c r="K47" i="1"/>
  <c r="Q46" i="1"/>
  <c r="P46" i="1"/>
  <c r="K46" i="1"/>
  <c r="Q45" i="1"/>
  <c r="P45" i="1"/>
  <c r="K45" i="1"/>
  <c r="Q44" i="1"/>
  <c r="P44" i="1"/>
  <c r="K44" i="1"/>
  <c r="Q43" i="1"/>
  <c r="P43" i="1"/>
  <c r="K43" i="1"/>
  <c r="Q42" i="1"/>
  <c r="P42" i="1"/>
  <c r="K42" i="1"/>
  <c r="Q41" i="1"/>
  <c r="P41" i="1"/>
  <c r="K41" i="1"/>
  <c r="Q40" i="1"/>
  <c r="P40" i="1"/>
  <c r="K40" i="1"/>
  <c r="Q39" i="1"/>
  <c r="P39" i="1"/>
  <c r="K39" i="1"/>
  <c r="Q38" i="1"/>
  <c r="P38" i="1"/>
  <c r="K38" i="1"/>
  <c r="Q37" i="1"/>
  <c r="P37" i="1"/>
  <c r="K37" i="1"/>
  <c r="Q36" i="1"/>
  <c r="P36" i="1"/>
  <c r="K36" i="1"/>
  <c r="Q35" i="1"/>
  <c r="P35" i="1"/>
  <c r="K35" i="1"/>
  <c r="Q34" i="1"/>
  <c r="P34" i="1"/>
  <c r="K34" i="1"/>
  <c r="Q33" i="1"/>
  <c r="P33" i="1"/>
  <c r="K33" i="1"/>
  <c r="Q32" i="1"/>
  <c r="P32" i="1"/>
  <c r="K32" i="1"/>
  <c r="Q31" i="1"/>
  <c r="P31" i="1"/>
  <c r="K31" i="1"/>
  <c r="Q30" i="1"/>
  <c r="P30" i="1"/>
  <c r="K30" i="1"/>
  <c r="Q29" i="1"/>
  <c r="P29" i="1"/>
  <c r="K29" i="1"/>
  <c r="Q28" i="1"/>
  <c r="P28" i="1"/>
  <c r="K28" i="1"/>
  <c r="Q27" i="1"/>
  <c r="P27" i="1"/>
  <c r="K27" i="1"/>
  <c r="Q26" i="1"/>
  <c r="P26" i="1"/>
  <c r="K26" i="1"/>
  <c r="Q25" i="1"/>
  <c r="P25" i="1"/>
  <c r="K2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/>
  <c r="Q23" i="1"/>
  <c r="P23" i="1"/>
  <c r="K23" i="1"/>
  <c r="H23" i="1"/>
  <c r="J23" i="1"/>
  <c r="K20" i="1"/>
  <c r="K19" i="1"/>
  <c r="K18" i="1"/>
  <c r="K17" i="1"/>
  <c r="H17" i="1"/>
  <c r="H18" i="1"/>
  <c r="H19" i="1"/>
  <c r="H20" i="1"/>
  <c r="J17" i="1"/>
  <c r="J18" i="1"/>
  <c r="J19" i="1"/>
  <c r="J20" i="1"/>
  <c r="Q17" i="1"/>
  <c r="P17" i="1"/>
  <c r="Q18" i="1"/>
  <c r="P18" i="1"/>
  <c r="Q19" i="1"/>
  <c r="P19" i="1"/>
  <c r="Q20" i="1"/>
  <c r="P20" i="1"/>
  <c r="H21" i="1"/>
  <c r="H22" i="1"/>
  <c r="J21" i="1"/>
  <c r="J22" i="1"/>
  <c r="K21" i="1"/>
  <c r="K22" i="1"/>
  <c r="Q21" i="1"/>
  <c r="P21" i="1"/>
  <c r="Q22" i="1"/>
  <c r="P22" i="1"/>
  <c r="H11" i="1"/>
  <c r="J11" i="1"/>
  <c r="K11" i="1"/>
  <c r="Q11" i="1"/>
  <c r="P11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/>
  <c r="Q13" i="1"/>
  <c r="P13" i="1"/>
  <c r="Q14" i="1"/>
  <c r="P14" i="1"/>
  <c r="Q15" i="1"/>
  <c r="P15" i="1"/>
  <c r="Q16" i="1"/>
  <c r="P16" i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B2" i="1"/>
  <c r="J2894" i="1"/>
  <c r="J2893" i="1"/>
  <c r="J2891" i="1"/>
  <c r="J2896" i="1"/>
  <c r="J2895" i="1"/>
  <c r="J289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<sst xmlns="http://schemas.openxmlformats.org/spreadsheetml/2006/main" count="37098" uniqueCount="6253">
  <si>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</si>
  <si>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</si>
  <si>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</si>
  <si>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</si>
  <si>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</si>
  <si>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</si>
  <si>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</si>
  <si>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</si>
  <si>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</si>
  <si>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</si>
  <si>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</si>
  <si>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</si>
  <si>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</si>
  <si>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</si>
  <si>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</si>
  <si>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</si>
  <si>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</si>
  <si>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</si>
  <si>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</si>
  <si>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</si>
  <si>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</si>
  <si>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</si>
  <si>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</si>
  <si>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</si>
  <si>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</si>
  <si>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</si>
  <si>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</si>
  <si>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</si>
  <si>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</si>
  <si>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</si>
  <si>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</si>
  <si>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</si>
  <si>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</si>
  <si>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</si>
  <si>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</si>
  <si>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</si>
  <si>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</si>
  <si>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</si>
  <si>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</si>
  <si>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</si>
  <si>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</si>
  <si>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</si>
  <si>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</si>
  <si>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</si>
  <si>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</si>
  <si>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</si>
  <si>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</si>
  <si>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</si>
  <si>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</si>
  <si>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</si>
  <si>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</si>
  <si>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</si>
  <si>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</si>
  <si>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</si>
  <si>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</si>
  <si>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</si>
  <si>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</si>
  <si>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</si>
  <si>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</si>
  <si>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</si>
  <si>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</si>
  <si>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</si>
  <si>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</si>
  <si>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</si>
  <si>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</si>
  <si>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</si>
  <si>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</si>
  <si>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</si>
  <si>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</si>
  <si>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</si>
  <si>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</si>
  <si>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</si>
  <si>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</si>
  <si>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</si>
  <si>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</si>
  <si>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</si>
  <si>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</si>
  <si>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</si>
  <si>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</si>
  <si>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</si>
  <si>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</si>
  <si>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</si>
  <si>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</si>
  <si>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</si>
  <si>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</si>
  <si>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</si>
  <si>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</si>
  <si>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</si>
  <si>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</si>
  <si>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</si>
  <si>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</si>
  <si>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</si>
  <si>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</si>
  <si>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</si>
  <si>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</si>
  <si>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</si>
  <si>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</si>
  <si>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</si>
  <si>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</si>
  <si>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</si>
  <si>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</si>
  <si>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</si>
  <si>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</si>
  <si>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</si>
  <si>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</si>
  <si>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</si>
  <si>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</si>
  <si>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</si>
  <si>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</si>
  <si>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</si>
  <si>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</si>
  <si>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</si>
  <si>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</si>
  <si>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</si>
  <si>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</si>
  <si>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</si>
  <si>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</si>
  <si>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</si>
  <si>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</si>
  <si>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</si>
  <si>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</si>
  <si>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</si>
  <si>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</si>
  <si>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</si>
  <si>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</si>
  <si>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</si>
  <si>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</si>
  <si>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</si>
  <si>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</si>
  <si>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</si>
  <si>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</si>
  <si>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</si>
  <si>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</si>
  <si>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</si>
  <si>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</si>
  <si>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</si>
  <si>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</si>
  <si>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</si>
  <si>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</si>
  <si>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</si>
  <si>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</si>
  <si>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</si>
  <si>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</si>
  <si>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</si>
  <si>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</si>
  <si>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</si>
  <si>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</si>
  <si>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</si>
  <si>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</si>
  <si>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</si>
  <si>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</si>
  <si>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</si>
  <si>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</si>
  <si>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</si>
  <si>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</si>
  <si>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</si>
  <si>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</si>
  <si>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</si>
  <si>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</si>
  <si>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</si>
  <si>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</si>
  <si>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</si>
  <si>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</si>
  <si>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</si>
  <si>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</si>
  <si>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</si>
  <si>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</si>
  <si>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</si>
  <si>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</si>
  <si>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</si>
  <si>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</si>
  <si>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</si>
  <si>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</si>
  <si>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</si>
  <si>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</si>
  <si>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</si>
  <si>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</si>
  <si>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</si>
  <si>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</si>
  <si>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</si>
  <si>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</si>
  <si>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</si>
  <si>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</si>
  <si>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</si>
  <si>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</si>
  <si>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</si>
  <si>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</si>
  <si>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</si>
  <si>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</si>
  <si>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</si>
  <si>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</si>
  <si>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</si>
  <si>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</si>
  <si>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</si>
  <si>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</si>
  <si>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</si>
  <si>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</si>
  <si>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</si>
  <si>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</si>
  <si>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</si>
  <si>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</si>
  <si>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</si>
  <si>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</si>
  <si>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</si>
  <si>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</si>
  <si>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</si>
  <si>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</si>
  <si>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</si>
  <si>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</si>
  <si>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</si>
  <si>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</si>
  <si>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</si>
  <si>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</si>
  <si>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</si>
  <si>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</si>
  <si>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</si>
  <si>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</si>
  <si>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</si>
  <si>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</si>
  <si>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</si>
  <si>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</si>
  <si>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</si>
  <si>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</si>
  <si>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</si>
  <si>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</si>
  <si>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</si>
  <si>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</si>
  <si>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</si>
  <si>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</si>
  <si>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</si>
  <si>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</si>
  <si>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</si>
  <si>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</si>
  <si>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</si>
  <si>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</si>
  <si>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</si>
  <si>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</si>
  <si>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</si>
  <si>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</si>
  <si>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</si>
  <si>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</si>
  <si>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</si>
  <si>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</si>
  <si>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</si>
  <si>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</si>
  <si>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</si>
  <si>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</si>
  <si>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</si>
  <si>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</si>
  <si>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</si>
  <si>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</si>
  <si>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</si>
  <si>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</si>
  <si>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</si>
  <si>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</si>
  <si>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</si>
  <si>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</si>
  <si>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</si>
  <si>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</si>
  <si>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</si>
  <si>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</si>
  <si>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</si>
  <si>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</si>
  <si>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</si>
  <si>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</si>
  <si>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</si>
  <si>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</si>
  <si>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</si>
  <si>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</si>
  <si>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</si>
  <si>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</si>
  <si>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</si>
  <si>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</si>
  <si>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</si>
  <si>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</si>
  <si>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</si>
  <si>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</si>
  <si>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</si>
  <si>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</si>
  <si>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</si>
  <si>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</si>
  <si>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</si>
  <si>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</si>
  <si>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</si>
  <si>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</si>
  <si>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</si>
  <si>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</si>
  <si>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</si>
  <si>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</si>
  <si>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</si>
  <si>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</si>
  <si>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</si>
  <si>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</si>
  <si>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</si>
  <si>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</si>
  <si>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</si>
  <si>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</si>
  <si>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</si>
  <si>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</si>
  <si>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</si>
  <si>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</si>
  <si>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</si>
  <si>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</si>
  <si>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</si>
  <si>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</si>
  <si>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</si>
  <si>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</si>
  <si>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</si>
  <si>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</si>
  <si>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</si>
  <si>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</si>
  <si>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</si>
  <si>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</si>
  <si>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</si>
  <si>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</si>
  <si>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</si>
  <si>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</si>
  <si>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</si>
  <si>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</si>
  <si>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</si>
  <si>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</si>
  <si>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</si>
  <si>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</si>
  <si>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</si>
  <si>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</si>
  <si>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</si>
  <si>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</si>
  <si>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</si>
  <si>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</si>
  <si>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</si>
  <si>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</si>
  <si>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</si>
  <si>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</si>
  <si>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</si>
  <si>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</si>
  <si>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</si>
  <si>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</si>
  <si>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</si>
  <si>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</si>
  <si>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</si>
  <si>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</si>
  <si>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</si>
  <si>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</si>
  <si>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</si>
  <si>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</si>
  <si>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</si>
  <si>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</si>
  <si>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</si>
  <si>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</si>
  <si>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</si>
  <si>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</si>
  <si>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</si>
  <si>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</si>
  <si>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</si>
  <si>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</si>
  <si>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</si>
  <si>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</si>
  <si>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</si>
  <si>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</si>
  <si>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</si>
  <si>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</si>
  <si>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</si>
  <si>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</si>
  <si>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</si>
  <si>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</si>
  <si>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</si>
  <si>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</si>
  <si>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</si>
  <si>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</si>
  <si>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</si>
  <si>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</si>
  <si>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</si>
  <si>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</si>
  <si>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</si>
  <si>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</si>
  <si>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</si>
  <si>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</si>
  <si>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</si>
  <si>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</si>
  <si>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</si>
  <si>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</si>
  <si>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</si>
  <si>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</si>
  <si>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</si>
  <si>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</si>
  <si>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</si>
  <si>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</si>
  <si>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</si>
  <si>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</si>
  <si>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</si>
  <si>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</si>
  <si>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</si>
  <si>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</si>
  <si>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</si>
  <si>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</si>
  <si>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</si>
  <si>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</si>
  <si>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</si>
  <si>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</si>
  <si>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</si>
  <si>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</si>
  <si>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</si>
  <si>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</si>
  <si>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</si>
  <si>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</si>
  <si>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</si>
  <si>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</si>
  <si>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</si>
  <si>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</si>
  <si>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</si>
  <si>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</si>
  <si>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</si>
  <si>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</si>
  <si>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</si>
  <si>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</si>
  <si>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</si>
  <si>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</si>
  <si>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</si>
  <si>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</si>
  <si>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</si>
  <si>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</si>
  <si>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</si>
  <si>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</si>
  <si>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</si>
  <si>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</si>
  <si>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</si>
  <si>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</si>
  <si>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</si>
  <si>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</si>
  <si>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</si>
  <si>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</si>
  <si>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</si>
  <si>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</si>
  <si>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</si>
  <si>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</si>
  <si>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</si>
  <si>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</si>
  <si>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</si>
  <si>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</si>
  <si>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</si>
  <si>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</si>
  <si>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</si>
  <si>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</si>
  <si>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</si>
  <si>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</si>
  <si>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</si>
  <si>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</si>
  <si>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</si>
  <si>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</si>
  <si>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</si>
  <si>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</si>
  <si>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</si>
  <si>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</si>
  <si>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</si>
  <si>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</si>
  <si>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</si>
  <si>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</si>
  <si>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</si>
  <si>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</si>
  <si>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</si>
  <si>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</si>
  <si>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</si>
  <si>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</si>
  <si>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</si>
  <si>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</si>
  <si>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</si>
  <si>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</si>
  <si>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</si>
  <si>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</si>
  <si>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</si>
  <si>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</si>
  <si>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</si>
  <si>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</si>
  <si>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</si>
  <si>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</si>
  <si>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</si>
  <si>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</si>
  <si>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</si>
  <si>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</si>
  <si>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</si>
  <si>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</si>
  <si>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</si>
  <si>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</si>
  <si>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</si>
  <si>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</si>
  <si>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</si>
  <si>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</si>
  <si>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</si>
  <si>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</si>
  <si>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</si>
  <si>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</si>
  <si>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</si>
  <si>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</si>
  <si>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</si>
  <si>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</si>
  <si>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</si>
  <si>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</si>
  <si>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</si>
  <si>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</si>
  <si>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</si>
  <si>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</si>
  <si>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</si>
  <si>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</si>
  <si>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</si>
  <si>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</si>
  <si>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</si>
  <si>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</si>
  <si>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</si>
  <si>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</si>
  <si>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</si>
  <si>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</si>
  <si>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</si>
  <si>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</si>
  <si>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</si>
  <si>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</si>
  <si>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</si>
  <si>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</si>
  <si>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</si>
  <si>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</si>
  <si>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</si>
  <si>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</si>
  <si>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</si>
  <si>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</si>
  <si>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</si>
  <si>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</si>
  <si>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</si>
  <si>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</si>
  <si>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</si>
  <si>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</si>
  <si>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</si>
  <si>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</si>
  <si>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</si>
  <si>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</si>
  <si>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</si>
  <si>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</si>
  <si>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</si>
  <si>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</si>
  <si>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</si>
  <si>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</si>
  <si>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</si>
  <si>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</si>
  <si>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</si>
  <si>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</si>
  <si>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</si>
  <si>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</si>
  <si>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</si>
  <si>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</si>
  <si>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</si>
  <si>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</si>
  <si>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</si>
  <si>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</si>
  <si>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</si>
  <si>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</si>
  <si>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</si>
  <si>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</si>
  <si>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</si>
  <si>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</si>
  <si>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</si>
  <si>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</si>
  <si>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</si>
  <si>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</si>
  <si>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</si>
  <si>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</si>
  <si>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</si>
  <si>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</si>
  <si>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</si>
  <si>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</si>
  <si>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</si>
  <si>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</si>
  <si>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</si>
  <si>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</si>
  <si>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</si>
  <si>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</si>
  <si>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</si>
  <si>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</si>
  <si>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</si>
  <si>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</si>
  <si>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</si>
  <si>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</si>
  <si>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</si>
  <si>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</si>
  <si>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</si>
  <si>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</si>
  <si>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</si>
  <si>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</si>
  <si>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</si>
  <si>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</si>
  <si>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</si>
  <si>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</si>
  <si>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</si>
  <si>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</si>
  <si>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</si>
  <si>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</si>
  <si>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</si>
  <si>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</si>
  <si>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</si>
  <si>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</si>
  <si>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</si>
  <si>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</si>
  <si>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</si>
  <si>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</si>
  <si>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</si>
  <si>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</si>
  <si>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</si>
  <si>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</si>
  <si>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</si>
  <si>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</si>
  <si>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</si>
  <si>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</si>
  <si>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</si>
  <si>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</si>
  <si>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</si>
  <si>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</si>
  <si>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</si>
  <si>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</si>
  <si>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</si>
  <si>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</si>
  <si>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</si>
  <si>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</si>
  <si>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</si>
  <si>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</si>
  <si>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</si>
  <si>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</si>
  <si>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</si>
  <si>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</si>
  <si>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</si>
  <si>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</si>
  <si>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</si>
  <si>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</si>
  <si>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</si>
  <si>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</si>
  <si>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</si>
  <si>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</si>
  <si>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</si>
  <si>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</si>
  <si>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</si>
  <si>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</si>
  <si>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</si>
  <si>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</si>
  <si>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</si>
  <si>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</si>
  <si>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</si>
  <si>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</si>
  <si>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</si>
  <si>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</si>
  <si>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</si>
  <si>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</si>
  <si>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</si>
  <si>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</si>
  <si>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</si>
  <si>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</si>
  <si>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</si>
  <si>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</si>
  <si>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</si>
  <si>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</si>
  <si>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</si>
  <si>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</si>
  <si>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</si>
  <si>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</si>
  <si>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</si>
  <si>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</si>
  <si>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</si>
  <si>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</si>
  <si>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</si>
  <si>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</si>
  <si>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</si>
  <si>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</si>
  <si>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</si>
  <si>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</si>
  <si>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</si>
  <si>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</si>
  <si>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</si>
  <si>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</si>
  <si>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</si>
  <si>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</si>
  <si>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</si>
  <si>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</si>
  <si>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</si>
  <si>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</si>
  <si>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</si>
  <si>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</si>
  <si>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</si>
  <si>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</si>
  <si>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</si>
  <si>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</si>
  <si>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</si>
  <si>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</si>
  <si>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</si>
  <si>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</si>
  <si>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</si>
  <si>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</si>
  <si>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</si>
  <si>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</si>
  <si>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</si>
  <si>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</si>
  <si>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</si>
  <si>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</si>
  <si>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</si>
  <si>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</si>
  <si>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</si>
  <si>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</si>
  <si>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</si>
  <si>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</si>
  <si>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</si>
  <si>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</si>
  <si>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</si>
  <si>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</si>
  <si>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</si>
  <si>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</si>
  <si>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</si>
  <si>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</si>
  <si>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</si>
  <si>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</si>
  <si>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</si>
  <si>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</si>
  <si>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</si>
  <si>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</si>
  <si>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</si>
  <si>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</si>
  <si>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</si>
  <si>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</si>
  <si>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</si>
  <si>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</si>
  <si>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</si>
  <si>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</si>
  <si>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</si>
  <si>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</si>
  <si>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</si>
  <si>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</si>
  <si>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</si>
  <si>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</si>
  <si>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</si>
  <si>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</si>
  <si>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</si>
  <si>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</si>
  <si>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</si>
  <si>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</si>
  <si>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</si>
  <si>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</si>
  <si>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</si>
  <si>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</si>
  <si>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</si>
  <si>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</si>
  <si>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</si>
  <si>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</si>
  <si>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</si>
  <si>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</si>
  <si>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</si>
  <si>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</si>
  <si>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</si>
  <si>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</si>
  <si>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</si>
  <si>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</si>
  <si>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</si>
  <si>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</si>
  <si>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</si>
  <si>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</si>
  <si>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</si>
  <si>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</si>
  <si>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</si>
  <si>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</si>
  <si>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</si>
  <si>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</si>
  <si>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</si>
  <si>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</si>
  <si>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</si>
  <si>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</si>
  <si>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</si>
  <si>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</si>
  <si>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</si>
  <si>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</si>
  <si>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</si>
  <si>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</si>
  <si>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</si>
  <si>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</si>
  <si>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</si>
  <si>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</si>
  <si>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</si>
  <si>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</si>
  <si>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</si>
  <si>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</si>
  <si>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</si>
  <si>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</si>
  <si>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</si>
  <si>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</si>
  <si>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</si>
  <si>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</si>
  <si>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</si>
  <si>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</si>
  <si>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</si>
  <si>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</si>
  <si>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</si>
  <si>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</si>
  <si>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</si>
  <si>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</si>
  <si>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</si>
  <si>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</si>
  <si>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</si>
  <si>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</si>
  <si>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</si>
  <si>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</si>
  <si>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</si>
  <si>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</si>
  <si>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</si>
  <si>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</si>
  <si>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</si>
  <si>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</si>
  <si>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</si>
  <si>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</si>
  <si>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</si>
  <si>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</si>
  <si>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</si>
  <si>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</si>
  <si>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</si>
  <si>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</si>
  <si>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</si>
  <si>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</si>
  <si>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</si>
  <si>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</si>
  <si>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</si>
  <si>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</si>
  <si>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</si>
  <si>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</si>
  <si>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</si>
  <si>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</si>
  <si>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</si>
  <si>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</si>
  <si>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</si>
  <si>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</si>
  <si>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</si>
  <si>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</si>
  <si>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</si>
  <si>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</si>
  <si>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</si>
  <si>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</si>
  <si>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</si>
  <si>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</si>
  <si>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</si>
  <si>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</si>
  <si>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</si>
  <si>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</si>
  <si>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</si>
  <si>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</si>
  <si>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</si>
  <si>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</si>
  <si>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</si>
  <si>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</si>
  <si>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</si>
  <si>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</si>
  <si>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</si>
  <si>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</si>
  <si>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</si>
  <si>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</si>
  <si>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</si>
  <si>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</si>
  <si>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</si>
  <si>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</si>
  <si>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</si>
  <si>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</si>
  <si>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</si>
  <si>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</si>
  <si>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</si>
  <si>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</si>
  <si>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</si>
  <si>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</si>
  <si>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</si>
  <si>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</si>
  <si>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</si>
  <si>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</si>
  <si>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</si>
  <si>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</si>
  <si>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</si>
  <si>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</si>
  <si>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</si>
  <si>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</si>
  <si>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</si>
  <si>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</si>
  <si>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</si>
  <si>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</si>
  <si>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</si>
  <si>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</si>
  <si>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</si>
  <si>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</si>
  <si>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</si>
  <si>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</si>
  <si>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</si>
  <si>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</si>
  <si>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</si>
  <si>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</si>
  <si>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</si>
  <si>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</si>
  <si>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</si>
  <si>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</si>
  <si>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</si>
  <si>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</si>
  <si>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</si>
  <si>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</si>
  <si>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</si>
  <si>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</si>
  <si>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</si>
  <si>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</si>
  <si>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</si>
  <si>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</si>
  <si>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</si>
  <si>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</si>
  <si>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</si>
  <si>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</si>
  <si>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</si>
  <si>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</si>
  <si>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</si>
  <si>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</si>
  <si>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</si>
  <si>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</si>
  <si>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</si>
  <si>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</si>
  <si>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</si>
  <si>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</si>
  <si>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</si>
  <si>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</si>
  <si>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</si>
  <si>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</si>
  <si>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</si>
  <si>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</si>
  <si>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</si>
  <si>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</si>
  <si>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</si>
  <si>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</si>
  <si>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</si>
  <si>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</si>
  <si>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</si>
  <si>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</si>
  <si>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</si>
  <si>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</si>
  <si>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</si>
  <si>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</si>
  <si>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</si>
  <si>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</si>
  <si>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</si>
  <si>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</si>
  <si>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</si>
  <si>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</si>
  <si>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</si>
  <si>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</si>
  <si>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</si>
  <si>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</si>
  <si>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</si>
  <si>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</si>
  <si>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</si>
  <si>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</si>
  <si>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</si>
  <si>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</si>
  <si>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</si>
  <si>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</si>
  <si>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</si>
  <si>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</si>
  <si>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</si>
  <si>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</si>
  <si>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</si>
  <si>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</si>
  <si>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</si>
  <si>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</si>
  <si>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</si>
  <si>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</si>
  <si>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</si>
  <si>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</si>
  <si>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</si>
  <si>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</si>
  <si>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</si>
  <si>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</si>
  <si>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</si>
  <si>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</si>
  <si>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</si>
  <si>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</si>
  <si>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</si>
  <si>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</si>
  <si>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</si>
  <si>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</si>
  <si>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</si>
  <si>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</si>
  <si>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</si>
  <si>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</si>
  <si>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</si>
  <si>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</si>
  <si>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</si>
  <si>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</si>
  <si>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</si>
  <si>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</si>
  <si>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</si>
  <si>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</si>
  <si>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</si>
  <si>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</si>
  <si>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</si>
  <si>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</si>
  <si>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</si>
  <si>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</si>
  <si>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</si>
  <si>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</si>
  <si>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</si>
  <si>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</si>
  <si>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</si>
  <si>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</si>
  <si>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</si>
  <si>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</si>
  <si>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</si>
  <si>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</si>
  <si>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</si>
  <si>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</si>
  <si>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</si>
  <si>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</si>
  <si>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</si>
  <si>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</si>
  <si>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</si>
  <si>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</si>
  <si>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</si>
  <si>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</si>
  <si>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</si>
  <si>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</si>
  <si>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</si>
  <si>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</si>
  <si>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</si>
  <si>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</si>
  <si>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</si>
  <si>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</si>
  <si>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</si>
  <si>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</si>
  <si>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</si>
  <si>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</si>
  <si>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</si>
  <si>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</si>
  <si>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</si>
  <si>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</si>
  <si>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</si>
  <si>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</si>
  <si>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</si>
  <si>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</si>
  <si>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</si>
  <si>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</si>
  <si>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</si>
  <si>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</si>
  <si>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</si>
  <si>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</si>
  <si>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</si>
  <si>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</si>
  <si>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</si>
  <si>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</si>
  <si>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</si>
  <si>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</si>
  <si>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</si>
  <si>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</si>
  <si>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</si>
  <si>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</si>
  <si>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</si>
  <si>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</si>
  <si>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</si>
  <si>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</si>
  <si>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</si>
  <si>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</si>
  <si>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</si>
  <si>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</si>
  <si>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</si>
  <si>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</si>
  <si>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</si>
  <si>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</si>
  <si>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</si>
  <si>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</si>
  <si>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</si>
  <si>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</si>
  <si>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</si>
  <si>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</si>
  <si>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</si>
  <si>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</si>
  <si>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</si>
  <si>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</si>
  <si>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</si>
  <si>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</si>
  <si>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</si>
  <si>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</si>
  <si>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</si>
  <si>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</si>
  <si>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</si>
  <si>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</si>
  <si>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</si>
  <si>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</si>
  <si>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</si>
  <si>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</si>
  <si>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</si>
  <si>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</si>
  <si>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</si>
  <si>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</si>
  <si>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</si>
  <si>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</si>
  <si>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</si>
  <si>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</si>
  <si>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</si>
  <si>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</si>
  <si>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</si>
  <si>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</si>
  <si>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</si>
  <si>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</si>
  <si>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</si>
  <si>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</si>
  <si>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</si>
  <si>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</si>
  <si>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</si>
  <si>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</si>
  <si>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</si>
  <si>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</si>
  <si>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</si>
  <si>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</si>
  <si>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</si>
  <si>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</si>
  <si>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</si>
  <si>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</si>
  <si>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</si>
  <si>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</si>
  <si>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</si>
  <si>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</si>
  <si>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</si>
  <si>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</si>
  <si>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</si>
  <si>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</si>
  <si>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</si>
  <si>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</si>
  <si>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</si>
  <si>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</si>
  <si>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</si>
  <si>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</si>
  <si>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</si>
  <si>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</si>
  <si>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</si>
  <si>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</si>
  <si>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</si>
  <si>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</si>
  <si>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</si>
  <si>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</si>
  <si>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</si>
  <si>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</si>
  <si>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</si>
  <si>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</si>
  <si>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</si>
  <si>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</si>
  <si>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</si>
  <si>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</si>
  <si>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</si>
  <si>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</si>
  <si>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</si>
  <si>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</si>
  <si>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</si>
  <si>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</si>
  <si>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</si>
  <si>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</si>
  <si>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</si>
  <si>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</si>
  <si>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</si>
  <si>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</si>
  <si>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</si>
  <si>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</si>
  <si>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</si>
  <si>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</si>
  <si>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</si>
  <si>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</si>
  <si>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</si>
  <si>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</si>
  <si>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</si>
  <si>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</si>
  <si>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</si>
  <si>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</si>
  <si>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</si>
  <si>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</si>
  <si>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</si>
  <si>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</si>
  <si>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</si>
  <si>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</si>
  <si>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</si>
  <si>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</si>
  <si>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</si>
  <si>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</si>
  <si>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</si>
  <si>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</si>
  <si>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</si>
  <si>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</si>
  <si>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</si>
  <si>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</si>
  <si>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</si>
  <si>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</si>
  <si>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</si>
  <si>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</si>
  <si>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</si>
  <si>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</si>
  <si>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</si>
  <si>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</si>
  <si>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</si>
  <si>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</si>
  <si>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</si>
  <si>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</si>
  <si>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</si>
  <si>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</si>
  <si>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</si>
  <si>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</si>
  <si>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</si>
  <si>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</si>
  <si>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</si>
  <si>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</si>
  <si>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</si>
  <si>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</si>
  <si>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</si>
  <si>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</si>
  <si>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</si>
  <si>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</si>
  <si>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</si>
  <si>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</si>
  <si>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</si>
  <si>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</si>
  <si>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</si>
  <si>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</si>
  <si>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</si>
  <si>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</si>
  <si>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</si>
  <si>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</si>
  <si>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</si>
  <si>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</si>
  <si>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</si>
  <si>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</si>
  <si>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</si>
  <si>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</si>
  <si>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</si>
  <si>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</si>
  <si>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</si>
  <si>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</si>
  <si>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</si>
  <si>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</si>
  <si>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</si>
  <si>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</si>
  <si>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</si>
  <si>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</si>
  <si>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</si>
  <si>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</si>
  <si>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</si>
  <si>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</si>
  <si>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</si>
  <si>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</si>
  <si>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</si>
  <si>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</si>
  <si>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</si>
  <si>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</si>
  <si>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</si>
  <si>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</si>
  <si>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</si>
  <si>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</si>
  <si>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</si>
  <si>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</si>
  <si>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</si>
  <si>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</si>
  <si>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</si>
  <si>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</si>
  <si>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</si>
  <si>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</si>
  <si>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</si>
  <si>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</si>
  <si>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</si>
  <si>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</si>
  <si>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</si>
  <si>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</si>
  <si>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</si>
  <si>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</si>
  <si>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</si>
  <si>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</si>
  <si>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</si>
  <si>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</si>
  <si>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</si>
  <si>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</si>
  <si>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</si>
  <si>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</si>
  <si>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</si>
  <si>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</si>
  <si>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</si>
  <si>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</si>
  <si>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</si>
  <si>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</si>
  <si>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</si>
  <si>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</si>
  <si>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</si>
  <si>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</si>
  <si>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</si>
  <si>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</si>
  <si>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</si>
  <si>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</si>
  <si>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</si>
  <si>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</si>
  <si>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</si>
  <si>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</si>
  <si>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</si>
  <si>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</si>
  <si>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</si>
  <si>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</si>
  <si>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</si>
  <si>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</si>
  <si>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</si>
  <si>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</si>
  <si>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</si>
  <si>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</si>
  <si>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</si>
  <si>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</si>
  <si>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</si>
  <si>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</si>
  <si>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</si>
  <si>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</si>
  <si>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</si>
  <si>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</si>
  <si>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</si>
  <si>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</si>
  <si>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</si>
  <si>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</si>
  <si>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</si>
  <si>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</si>
  <si>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</si>
  <si>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</si>
  <si>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</si>
  <si>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</si>
  <si>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</si>
  <si>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</si>
  <si>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</si>
  <si>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</si>
  <si>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</si>
  <si>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</si>
  <si>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</si>
  <si>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</si>
  <si>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</si>
  <si>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</si>
  <si>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</si>
  <si>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</si>
  <si>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</si>
  <si>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</si>
  <si>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</si>
  <si>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</si>
  <si>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</si>
  <si>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</si>
  <si>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</si>
  <si>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</si>
  <si>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</si>
  <si>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</si>
  <si>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</si>
  <si>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</si>
  <si>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</si>
  <si>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</si>
  <si>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</si>
  <si>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</si>
  <si>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</si>
  <si>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</si>
  <si>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</si>
  <si>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</si>
  <si>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</si>
  <si>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</si>
  <si>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</si>
  <si>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</si>
  <si>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</si>
  <si>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</si>
  <si>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</si>
  <si>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</si>
  <si>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</si>
  <si>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</si>
  <si>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</si>
  <si>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</si>
  <si>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</si>
  <si>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</si>
  <si>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</si>
  <si>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</si>
  <si>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</si>
  <si>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</si>
  <si>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</si>
  <si>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</si>
  <si>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</si>
  <si>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</si>
  <si>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</si>
  <si>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</si>
  <si>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</si>
  <si>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</si>
  <si>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</si>
  <si>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</si>
  <si>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</si>
  <si>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</si>
  <si>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</si>
  <si>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</si>
  <si>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</si>
  <si>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</si>
  <si>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</si>
  <si>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</si>
  <si>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</si>
  <si>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</si>
  <si>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</si>
  <si>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</si>
  <si>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</si>
  <si>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</si>
  <si>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</si>
  <si>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</si>
  <si>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</si>
  <si>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</si>
  <si>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</si>
  <si>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</si>
  <si>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</si>
  <si>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</si>
  <si>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</si>
  <si>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</si>
  <si>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</si>
  <si>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</si>
  <si>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</si>
  <si>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</si>
  <si>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</si>
  <si>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</si>
  <si>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</si>
  <si>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</si>
  <si>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</si>
  <si>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</si>
  <si>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</si>
  <si>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</si>
  <si>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</si>
  <si>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</si>
  <si>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</si>
  <si>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</si>
  <si>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</si>
  <si>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</si>
  <si>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</si>
  <si>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</si>
  <si>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</si>
  <si>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</si>
  <si>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</si>
  <si>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</si>
  <si>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</si>
  <si>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</si>
  <si>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</si>
  <si>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</si>
  <si>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</si>
  <si>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</si>
  <si>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</si>
  <si>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</si>
  <si>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</si>
  <si>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</si>
  <si>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</si>
  <si>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</si>
  <si>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</si>
  <si>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</si>
  <si>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</si>
  <si>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</si>
  <si>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</si>
  <si>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</si>
  <si>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</si>
  <si>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</si>
  <si>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</si>
  <si>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</si>
  <si>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</si>
  <si>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</si>
  <si>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</si>
  <si>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</si>
  <si>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</si>
  <si>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</si>
  <si>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</si>
  <si>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</si>
  <si>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</si>
  <si>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</si>
  <si>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</si>
  <si>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</si>
  <si>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</si>
  <si>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</si>
  <si>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</si>
  <si>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</si>
  <si>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</si>
  <si>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</si>
  <si>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</si>
  <si>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</si>
  <si>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</si>
  <si>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</si>
  <si>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</si>
  <si>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</si>
  <si>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</si>
  <si>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</si>
  <si>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</si>
  <si>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</si>
  <si>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</si>
  <si>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</si>
  <si>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</si>
  <si>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</si>
  <si>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</si>
  <si>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</si>
  <si>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</si>
  <si>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</si>
  <si>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</si>
  <si>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</si>
  <si>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</si>
  <si>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</si>
  <si>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</si>
  <si>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</si>
  <si>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</si>
  <si>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</si>
  <si>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</si>
  <si>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</si>
  <si>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</si>
  <si>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</si>
  <si>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</si>
  <si>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</si>
  <si>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</si>
  <si>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</si>
  <si>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</si>
  <si>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</si>
  <si>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</si>
  <si>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</si>
  <si>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</si>
  <si>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</si>
  <si>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</si>
  <si>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</si>
  <si>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</si>
  <si>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</si>
  <si>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</si>
  <si>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</si>
  <si>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</si>
  <si>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</si>
  <si>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</si>
  <si>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</si>
  <si>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</si>
  <si>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</si>
  <si>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</si>
  <si>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</si>
  <si>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</si>
  <si>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</si>
  <si>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</si>
  <si>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</si>
  <si>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</si>
  <si>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</si>
  <si>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</si>
  <si>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</si>
  <si>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</si>
  <si>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</si>
  <si>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</si>
  <si>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</si>
  <si>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</si>
  <si>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</si>
  <si>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</si>
  <si>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</si>
  <si>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</si>
  <si>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</si>
  <si>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</si>
  <si>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</si>
  <si>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</si>
  <si>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</si>
  <si>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</si>
  <si>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</si>
  <si>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</si>
  <si>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</si>
  <si>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</si>
  <si>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</si>
  <si>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</si>
  <si>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</si>
  <si>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</si>
  <si>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</si>
  <si>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</si>
  <si>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</si>
  <si>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</si>
  <si>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</si>
  <si>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</si>
  <si>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</si>
  <si>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</si>
  <si>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</si>
  <si>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</si>
  <si>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</si>
  <si>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</si>
  <si>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</si>
  <si>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</si>
  <si>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</si>
  <si>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</si>
  <si>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</si>
  <si>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</si>
  <si>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</si>
  <si>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</si>
  <si>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</si>
  <si>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</si>
  <si>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</si>
  <si>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</si>
  <si>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</si>
  <si>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</si>
  <si>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</si>
  <si>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</si>
  <si>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</si>
  <si>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</si>
  <si>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</si>
  <si>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</si>
  <si>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</si>
  <si>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</si>
  <si>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</si>
  <si>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</si>
  <si>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</si>
  <si>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</si>
  <si>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</si>
  <si>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</si>
  <si>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</si>
  <si>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</si>
  <si>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</si>
  <si>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</si>
  <si>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</si>
  <si>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</si>
  <si>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</si>
  <si>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</si>
  <si>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</si>
  <si>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</si>
  <si>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</si>
  <si>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</si>
  <si>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</si>
  <si>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</si>
  <si>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</si>
  <si>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</si>
  <si>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</si>
  <si>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</si>
  <si>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</si>
  <si>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</si>
  <si>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</si>
  <si>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</si>
  <si>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</si>
  <si>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</si>
  <si>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</si>
  <si>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</si>
  <si>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</si>
  <si>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</si>
  <si>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</si>
  <si>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</si>
  <si>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</si>
  <si>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</si>
  <si>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</si>
  <si>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</si>
  <si>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</si>
  <si>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</si>
  <si>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</si>
  <si>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</si>
  <si>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</si>
  <si>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</si>
  <si>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</si>
  <si>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</si>
  <si>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</si>
  <si>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</si>
  <si>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</si>
  <si>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</si>
  <si>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</si>
  <si>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</si>
  <si>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</si>
  <si>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</si>
  <si>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</si>
  <si>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</si>
  <si>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</si>
  <si>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</si>
  <si>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</si>
  <si>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</si>
  <si>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</si>
  <si>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</si>
  <si>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</si>
  <si>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</si>
  <si>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</si>
  <si>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</si>
  <si>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</si>
  <si>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</si>
  <si>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</si>
  <si>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</si>
  <si>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</si>
  <si>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</si>
  <si>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</si>
  <si>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</si>
  <si>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</si>
  <si>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</si>
  <si>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</si>
  <si>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</si>
  <si>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</si>
  <si>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</si>
  <si>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</si>
  <si>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</si>
  <si>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</si>
  <si>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</si>
  <si>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</si>
  <si>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</si>
  <si>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</si>
  <si>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</si>
  <si>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</si>
  <si>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</si>
  <si>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</si>
  <si>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</si>
  <si>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</si>
  <si>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</si>
  <si>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</si>
  <si>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</si>
  <si>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</si>
  <si>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</si>
  <si>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</si>
  <si>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</si>
  <si>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</si>
  <si>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</si>
  <si>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</si>
  <si>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</si>
  <si>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</si>
  <si>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</si>
  <si>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</si>
  <si>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</si>
  <si>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</si>
  <si>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</si>
  <si>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</si>
  <si>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</si>
  <si>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</si>
  <si>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</si>
  <si>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</si>
  <si>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</si>
  <si>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</si>
  <si>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</si>
  <si>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</si>
  <si>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</si>
  <si>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</si>
  <si>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</si>
  <si>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</si>
  <si>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</si>
  <si>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</si>
  <si>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</si>
  <si>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</si>
  <si>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</si>
  <si>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</si>
  <si>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</si>
  <si>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</si>
  <si>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</si>
  <si>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</si>
  <si>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</si>
  <si>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</si>
  <si>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</si>
  <si>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</si>
  <si>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</si>
  <si>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</si>
  <si>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</si>
  <si>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</si>
  <si>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</si>
  <si>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</si>
  <si>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</si>
  <si>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</si>
  <si>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</si>
  <si>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</si>
  <si>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</si>
  <si>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</si>
  <si>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</si>
  <si>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</si>
  <si>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</si>
  <si>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</si>
  <si>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</si>
  <si>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</si>
  <si>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</si>
  <si>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</si>
  <si>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</si>
  <si>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</si>
  <si>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</si>
  <si>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</si>
  <si>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</si>
  <si>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</si>
  <si>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</si>
  <si>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</si>
  <si>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</si>
  <si>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</si>
  <si>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</si>
  <si>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</si>
  <si>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</si>
  <si>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</si>
  <si>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</si>
  <si>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</si>
  <si>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</si>
  <si>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</si>
  <si>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</si>
  <si>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</si>
  <si>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</si>
  <si>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</si>
  <si>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</si>
  <si>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</si>
  <si>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</si>
  <si>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</si>
  <si>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</si>
  <si>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</si>
  <si>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</si>
  <si>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</si>
  <si>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</si>
  <si>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</si>
  <si>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</si>
  <si>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</si>
  <si>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</si>
  <si>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</si>
  <si>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</si>
  <si>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</si>
  <si>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</si>
  <si>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</si>
  <si>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</si>
  <si>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</si>
  <si>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</si>
  <si>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</si>
  <si>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</si>
  <si>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</si>
  <si>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</si>
  <si>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</si>
  <si>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</si>
  <si>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</si>
  <si>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</si>
  <si>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</si>
  <si>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</si>
  <si>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</si>
  <si>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</si>
  <si>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</si>
  <si>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</si>
  <si>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</si>
  <si>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</si>
  <si>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</si>
  <si>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</si>
  <si>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</si>
  <si>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</si>
  <si>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</si>
  <si>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</si>
  <si>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</si>
  <si>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</si>
  <si>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</si>
  <si>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</si>
  <si>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</si>
  <si>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</si>
  <si>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</si>
  <si>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</si>
  <si>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</si>
  <si>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</si>
  <si>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</si>
  <si>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</si>
  <si>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</si>
  <si>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</si>
  <si>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</si>
  <si>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</si>
  <si>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</si>
  <si>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</si>
  <si>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</si>
  <si>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</si>
  <si>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</si>
  <si>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</si>
  <si>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</si>
  <si>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</si>
  <si>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</si>
  <si>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</si>
  <si>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</si>
  <si>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</si>
  <si>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</si>
  <si>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</si>
  <si>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</si>
  <si>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</si>
  <si>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</si>
  <si>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</si>
  <si>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</si>
  <si>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</si>
  <si>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</si>
  <si>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</si>
  <si>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</si>
  <si>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</si>
  <si>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</si>
  <si>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</si>
  <si>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</si>
  <si>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</si>
  <si>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</si>
  <si>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</si>
  <si>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</si>
  <si>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</si>
  <si>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</si>
  <si>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</si>
  <si>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</si>
  <si>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</si>
  <si>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</si>
  <si>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</si>
  <si>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</si>
  <si>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</si>
  <si>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</si>
  <si>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</si>
  <si>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</si>
  <si>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</si>
  <si>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</si>
  <si>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</si>
  <si>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</si>
  <si>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</si>
  <si>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</si>
  <si>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</si>
  <si>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</si>
  <si>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</si>
  <si>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</si>
  <si>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</si>
  <si>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</si>
  <si>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</si>
  <si>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</si>
  <si>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</si>
  <si>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</si>
  <si>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</si>
  <si>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</si>
  <si>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</si>
  <si>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</si>
  <si>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</si>
  <si>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</si>
  <si>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</si>
  <si>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</si>
  <si>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</si>
  <si>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</si>
  <si>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</si>
  <si>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</si>
  <si>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</si>
  <si>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</si>
  <si>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</si>
  <si>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</si>
  <si>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</si>
  <si>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</si>
  <si>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</si>
  <si>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</si>
  <si>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</si>
  <si>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</si>
  <si>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</si>
  <si>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</si>
  <si>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</si>
  <si>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</si>
  <si>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</si>
  <si>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</si>
  <si>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</si>
  <si>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</si>
  <si>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</si>
  <si>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</si>
  <si>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</si>
  <si>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</si>
  <si>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</si>
  <si>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</si>
  <si>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</si>
  <si>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</si>
  <si>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</si>
  <si>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</si>
  <si>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</si>
  <si>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</si>
  <si>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</si>
  <si>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</si>
  <si>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</si>
  <si>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</si>
  <si>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</si>
  <si>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</si>
  <si>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</si>
  <si>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</si>
  <si>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</si>
  <si>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</si>
  <si>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</si>
  <si>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</si>
  <si>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</si>
  <si>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</si>
  <si>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</si>
  <si>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</si>
  <si>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</si>
  <si>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</si>
  <si>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</si>
  <si>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</si>
  <si>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</si>
  <si>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</si>
  <si>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</si>
  <si>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</si>
  <si>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</si>
  <si>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</si>
  <si>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</si>
  <si>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</si>
  <si>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</si>
  <si>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</si>
  <si>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</si>
  <si>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</si>
  <si>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</si>
  <si>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</si>
  <si>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</si>
  <si>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</si>
  <si>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</si>
  <si>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</si>
  <si>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</si>
  <si>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</si>
  <si>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</si>
  <si>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</si>
  <si>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</si>
  <si>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</si>
  <si>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</si>
  <si>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</si>
  <si>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</si>
  <si>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</si>
  <si>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</si>
  <si>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</si>
  <si>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</si>
  <si>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</si>
  <si>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</si>
  <si>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</si>
  <si>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</si>
  <si>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</si>
  <si>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</si>
  <si>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</si>
  <si>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</si>
  <si>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</si>
  <si>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</si>
  <si>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</si>
  <si>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</si>
  <si>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</si>
  <si>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</si>
  <si>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</si>
  <si>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</si>
  <si>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</si>
  <si>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</si>
  <si>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</si>
  <si>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</si>
  <si>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</si>
  <si>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</si>
  <si>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</si>
  <si>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</si>
  <si>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</si>
  <si>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</si>
  <si>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</si>
  <si>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</si>
  <si>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</si>
  <si>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</si>
  <si>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</si>
  <si>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</si>
  <si>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</si>
  <si>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</si>
  <si>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</si>
  <si>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</si>
  <si>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</si>
  <si>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</si>
  <si>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</si>
  <si>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</si>
  <si>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</si>
  <si>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</si>
  <si>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</si>
  <si>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</si>
  <si>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</si>
  <si>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</si>
  <si>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</si>
  <si>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</si>
  <si>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</si>
  <si>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</si>
  <si>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</si>
  <si>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</si>
  <si>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</si>
  <si>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</si>
  <si>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</si>
  <si>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</si>
  <si>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</si>
  <si>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</si>
  <si>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</si>
  <si>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</si>
  <si>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</si>
  <si>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</si>
  <si>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</si>
  <si>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</si>
  <si>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</si>
  <si>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</si>
  <si>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</si>
  <si>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</si>
  <si>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</si>
  <si>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</si>
  <si>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</si>
  <si>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</si>
  <si>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</si>
  <si>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</si>
  <si>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</si>
  <si>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</si>
  <si>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</si>
  <si>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</si>
  <si>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</si>
  <si>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</si>
  <si>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</si>
  <si>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</si>
  <si>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</si>
  <si>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</si>
  <si>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</si>
  <si>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</si>
  <si>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</si>
  <si>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</si>
  <si>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</si>
  <si>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</si>
  <si>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</si>
  <si>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</si>
  <si>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</si>
  <si>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</si>
  <si>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</si>
  <si>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</si>
  <si>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</si>
  <si>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</si>
  <si>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</si>
  <si>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</si>
  <si>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</si>
  <si>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</si>
  <si>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</si>
  <si>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</si>
  <si>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</si>
  <si>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</si>
  <si>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</si>
  <si>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</si>
  <si>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</si>
  <si>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</si>
  <si>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</si>
  <si>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</si>
  <si>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</si>
  <si>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</si>
  <si>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</si>
  <si>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</si>
  <si>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</si>
  <si>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</si>
  <si>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</si>
  <si>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</si>
  <si>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</si>
  <si>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</si>
  <si>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</si>
  <si>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</si>
  <si>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</si>
  <si>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</si>
  <si>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</si>
  <si>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</si>
  <si>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</si>
  <si>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</si>
  <si>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</si>
  <si>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</si>
  <si>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</si>
  <si>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</si>
  <si>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</si>
  <si>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</si>
  <si>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</si>
  <si>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</si>
  <si>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</si>
  <si>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</si>
  <si>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</si>
  <si>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</si>
  <si>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</si>
  <si>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</si>
  <si>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</si>
  <si>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</si>
  <si>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</si>
  <si>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</si>
  <si>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</si>
  <si>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</si>
  <si>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</si>
  <si>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</si>
  <si>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</si>
  <si>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</si>
  <si>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</si>
  <si>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</si>
  <si>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</si>
  <si>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</si>
  <si>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</si>
  <si>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</si>
  <si>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</si>
  <si>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</si>
  <si>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</si>
  <si>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</si>
  <si>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</si>
  <si>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</si>
  <si>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</si>
  <si>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</si>
  <si>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</si>
  <si>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</si>
  <si>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</si>
  <si>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</si>
  <si>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</si>
  <si>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</si>
  <si>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</si>
  <si>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</si>
  <si>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</si>
  <si>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</si>
  <si>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</si>
  <si>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</si>
  <si>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</si>
  <si>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</si>
  <si>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</si>
  <si>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</si>
  <si>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</si>
  <si>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</si>
  <si>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</si>
  <si>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</si>
  <si>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</si>
  <si>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</si>
  <si>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</si>
  <si>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</si>
  <si>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</si>
  <si>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</si>
  <si>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</si>
  <si>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</si>
  <si>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</si>
  <si>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</si>
  <si>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</si>
  <si>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</si>
  <si>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</si>
  <si>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</si>
  <si>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</si>
  <si>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</si>
  <si>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</si>
  <si>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</si>
  <si>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</si>
  <si>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</si>
  <si>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</si>
  <si>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</si>
  <si>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</si>
  <si>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</si>
  <si>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</si>
  <si>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</si>
  <si>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</si>
  <si>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</si>
  <si>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</si>
  <si>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</si>
  <si>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</si>
  <si>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</si>
  <si>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</si>
  <si>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</si>
  <si>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</si>
  <si>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</si>
  <si>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</si>
  <si>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</si>
  <si>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</si>
  <si>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</si>
  <si>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</si>
  <si>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</si>
  <si>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</si>
  <si>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</si>
  <si>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</si>
  <si>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</si>
  <si>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</si>
  <si>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</si>
  <si>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</si>
  <si>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</si>
  <si>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</si>
  <si>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</si>
  <si>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</si>
  <si>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</si>
  <si>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</si>
  <si>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</si>
  <si>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</si>
  <si>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</si>
  <si>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</si>
  <si>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</si>
  <si>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</si>
  <si>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</si>
  <si>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</si>
  <si>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</si>
  <si>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</si>
  <si>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</si>
  <si>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</si>
  <si>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</si>
  <si>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</si>
  <si>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</si>
  <si>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</si>
  <si>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</si>
  <si>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</si>
  <si>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</si>
  <si>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</si>
  <si>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</si>
  <si>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</si>
  <si>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</si>
  <si>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</si>
  <si>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</si>
  <si>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</si>
  <si>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</si>
  <si>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</si>
  <si>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</si>
  <si>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</si>
  <si>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</si>
  <si>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</si>
  <si>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</si>
  <si>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</si>
  <si>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</si>
  <si>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</si>
  <si>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</si>
  <si>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</si>
  <si>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</si>
  <si>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</si>
  <si>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</si>
  <si>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</si>
  <si>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</si>
  <si>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</si>
  <si>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</si>
  <si>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</si>
  <si>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</si>
  <si>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</si>
  <si>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</si>
  <si>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</si>
  <si>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</si>
  <si>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</si>
  <si>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</si>
  <si>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</si>
  <si>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</si>
  <si>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</si>
  <si>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</si>
  <si>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</si>
  <si>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</si>
  <si>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</si>
  <si>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</si>
  <si>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</si>
  <si>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</si>
  <si>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</si>
  <si>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</si>
  <si>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</si>
  <si>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</si>
  <si>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</si>
  <si>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</si>
  <si>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</si>
  <si>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</si>
  <si>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</si>
  <si>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</si>
  <si>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</si>
  <si>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</si>
  <si>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</si>
  <si>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</si>
  <si>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</si>
  <si>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</si>
  <si>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</si>
  <si>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</si>
  <si>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</si>
  <si>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</si>
  <si>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</si>
  <si>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</si>
  <si>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</si>
  <si>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</si>
  <si>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</si>
  <si>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</si>
  <si>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</si>
  <si>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</si>
  <si>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</si>
  <si>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</si>
  <si>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</si>
  <si>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</si>
  <si>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</si>
  <si>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</si>
  <si>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</si>
  <si>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</si>
  <si>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</si>
  <si>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</si>
  <si>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</si>
  <si>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</si>
  <si>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</si>
  <si>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</si>
  <si>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</si>
  <si>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</si>
  <si>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</si>
  <si>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</si>
  <si>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</si>
  <si>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</si>
  <si>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</si>
  <si>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</si>
  <si>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</si>
  <si>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</si>
  <si>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</si>
  <si>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</si>
  <si>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</si>
  <si>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</si>
  <si>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</si>
  <si>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</si>
  <si>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</si>
  <si>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</si>
  <si>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</si>
  <si>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</si>
  <si>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</si>
  <si>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</si>
  <si>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</si>
  <si>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</si>
  <si>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</si>
  <si>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</si>
  <si>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</si>
  <si>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</si>
  <si>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</si>
  <si>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</si>
  <si>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</si>
  <si>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</si>
  <si>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</si>
  <si>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</si>
  <si>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</si>
  <si>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</si>
  <si>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</si>
  <si>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</si>
  <si>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</si>
  <si>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</si>
  <si>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</si>
  <si>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</si>
  <si>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</si>
  <si>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</si>
  <si>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</si>
  <si>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</si>
  <si>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</si>
  <si>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</si>
  <si>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</si>
  <si>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</si>
  <si>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</si>
  <si>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</si>
  <si>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</si>
  <si>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</si>
  <si>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</si>
  <si>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</si>
  <si>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</si>
  <si>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</si>
  <si>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</si>
  <si>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</si>
  <si>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</si>
  <si>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</si>
  <si>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</si>
  <si>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</si>
  <si>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</si>
  <si>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</si>
  <si>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</si>
  <si>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</si>
  <si>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</si>
  <si>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</si>
  <si>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</si>
  <si>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</si>
  <si>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</si>
  <si>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</si>
  <si>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</si>
  <si>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</si>
  <si>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</si>
  <si>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</si>
  <si>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</si>
  <si>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</si>
  <si>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</si>
  <si>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</si>
  <si>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</si>
  <si>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</si>
  <si>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</si>
  <si>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</si>
  <si>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</si>
  <si>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</si>
  <si>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</si>
  <si>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</si>
  <si>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</si>
  <si>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</si>
  <si>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</si>
  <si>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</si>
  <si>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</si>
  <si>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</si>
  <si>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</si>
  <si>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</si>
  <si>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</si>
  <si>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</si>
  <si>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</si>
  <si>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</si>
  <si>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</si>
  <si>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</si>
  <si>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</si>
  <si>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</si>
  <si>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</si>
  <si>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</si>
  <si>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</si>
  <si>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</si>
  <si>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</si>
  <si>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</si>
  <si>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</si>
  <si>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</si>
  <si>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</si>
  <si>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</si>
  <si>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</si>
  <si>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</si>
  <si>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</si>
  <si>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</si>
  <si>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</si>
  <si>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</si>
  <si>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</si>
  <si>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</si>
  <si>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</si>
  <si>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</si>
  <si>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</si>
  <si>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</si>
  <si>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</si>
  <si>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</si>
  <si>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</si>
  <si>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</si>
  <si>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</si>
  <si>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</si>
  <si>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</si>
  <si>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</si>
  <si>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</si>
  <si>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</si>
  <si>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</si>
  <si>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</si>
  <si>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</si>
  <si>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</si>
  <si>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</si>
  <si>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</si>
  <si>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</si>
  <si>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</si>
  <si>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</si>
  <si>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</si>
  <si>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</si>
  <si>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</si>
  <si>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</si>
  <si>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</si>
  <si>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</si>
  <si>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</si>
  <si>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</si>
  <si>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</si>
  <si>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</si>
  <si>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</si>
  <si>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</si>
  <si>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</si>
  <si>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</si>
  <si>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</si>
  <si>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</si>
  <si>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</si>
  <si>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</si>
  <si>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</si>
  <si>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</si>
  <si>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</si>
  <si>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</si>
  <si>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</si>
  <si>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</si>
  <si>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</si>
  <si>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</si>
  <si>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</si>
  <si>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</si>
  <si>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</si>
  <si>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</si>
  <si>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</si>
  <si>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</si>
  <si>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</si>
  <si>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</si>
  <si>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</si>
  <si>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</si>
  <si>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</si>
  <si>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</si>
  <si>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</si>
  <si>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</si>
  <si>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</si>
  <si>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</si>
  <si>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</si>
  <si>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</si>
  <si>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</si>
  <si>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</si>
  <si>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</si>
  <si>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</si>
  <si>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</si>
  <si>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</si>
  <si>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</si>
  <si>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</si>
  <si>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</si>
  <si>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</si>
  <si>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</si>
  <si>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</si>
  <si>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</si>
  <si>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</si>
  <si>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</si>
  <si>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</si>
  <si>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</si>
  <si>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</si>
  <si>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</si>
  <si>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</si>
  <si>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</si>
  <si>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</si>
  <si>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</si>
  <si>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</si>
  <si>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</si>
  <si>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</si>
  <si>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</si>
  <si>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</si>
  <si>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</si>
  <si>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</si>
  <si>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</si>
  <si>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</si>
  <si>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</si>
  <si>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</si>
  <si>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</si>
  <si>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</si>
  <si>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</si>
  <si>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</si>
  <si>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</si>
  <si>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</si>
  <si>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</si>
  <si>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</si>
  <si>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</si>
  <si>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</si>
  <si>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</si>
  <si>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</si>
  <si>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</si>
  <si>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</si>
  <si>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</si>
  <si>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</si>
  <si>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</si>
  <si>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</si>
  <si>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</si>
  <si>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</si>
  <si>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</si>
  <si>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</si>
  <si>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</si>
  <si>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</si>
  <si>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</si>
  <si>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</si>
  <si>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</si>
  <si>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</si>
  <si>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</si>
  <si>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</si>
  <si>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</si>
  <si>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</si>
  <si>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</si>
  <si>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</si>
  <si>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</si>
  <si>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</si>
  <si>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</si>
  <si>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</si>
  <si>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</si>
  <si>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</si>
  <si>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</si>
  <si>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</si>
  <si>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</si>
  <si>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</si>
  <si>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</si>
  <si>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</si>
  <si>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</si>
  <si>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</si>
  <si>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</si>
  <si>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</si>
  <si>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</si>
  <si>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</si>
  <si>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</si>
  <si>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</si>
  <si>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</si>
  <si>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</si>
  <si>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</si>
  <si>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</si>
  <si>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</si>
  <si>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</si>
  <si>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</si>
  <si>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</si>
  <si>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</si>
  <si>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</si>
  <si>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</si>
  <si>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</si>
  <si>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</si>
  <si>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</si>
  <si>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</si>
  <si>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</si>
  <si>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</si>
  <si>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</si>
  <si>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</si>
  <si>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</si>
  <si>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</si>
  <si>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</si>
  <si>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</si>
  <si>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</si>
  <si>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</si>
  <si>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</si>
  <si>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</si>
  <si>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</si>
  <si>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</si>
  <si>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</si>
  <si>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</si>
  <si>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</si>
  <si>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</si>
  <si>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</si>
  <si>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</si>
  <si>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</si>
  <si>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</si>
  <si>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</si>
  <si>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</si>
  <si>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</si>
  <si>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</si>
  <si>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</si>
  <si>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</si>
  <si>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</si>
  <si>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</si>
  <si>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</si>
  <si>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</si>
  <si>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</si>
  <si>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</si>
  <si>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</si>
  <si>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</si>
  <si>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</si>
  <si>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</si>
  <si>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</si>
  <si>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</si>
  <si>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</si>
  <si>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</si>
  <si>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</si>
  <si>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</si>
  <si>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</si>
  <si>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</si>
  <si>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</si>
  <si>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</si>
  <si>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</si>
  <si>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</si>
  <si>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</si>
  <si>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</si>
  <si>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</si>
  <si>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</si>
  <si>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</si>
  <si>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</si>
  <si>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</si>
  <si>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</si>
  <si>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</si>
  <si>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</si>
  <si>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</si>
  <si>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</si>
  <si>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</si>
  <si>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</si>
  <si>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</si>
  <si>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</si>
  <si>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</si>
  <si>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</si>
  <si>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</si>
  <si>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</si>
  <si>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</si>
  <si>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</si>
  <si>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</si>
  <si>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</si>
  <si>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</si>
  <si>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</si>
  <si>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</si>
  <si>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</si>
  <si>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</si>
  <si>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</si>
  <si>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</si>
  <si>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</si>
  <si>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</si>
  <si>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</si>
  <si>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</si>
  <si>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</si>
  <si>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</si>
  <si>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</si>
  <si>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</si>
  <si>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</si>
  <si>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</si>
  <si>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</si>
  <si>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</si>
  <si>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</si>
  <si>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</si>
  <si>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</si>
  <si>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</si>
  <si>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</si>
  <si>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</si>
  <si>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</si>
  <si>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</si>
  <si>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</si>
  <si>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</si>
  <si>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</si>
  <si>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</si>
  <si>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</si>
  <si>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</si>
  <si>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</si>
  <si>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</si>
  <si>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</si>
  <si>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</si>
  <si>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</si>
  <si>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</si>
  <si>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</si>
  <si>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</si>
  <si>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</si>
  <si>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</si>
  <si>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</si>
  <si>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</si>
  <si>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</si>
  <si>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</si>
  <si>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</si>
  <si>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</si>
  <si>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</si>
  <si>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</si>
  <si>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</si>
  <si>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</si>
  <si>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</si>
  <si>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</si>
  <si>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</si>
  <si>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</si>
  <si>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</si>
  <si>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</si>
  <si>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</si>
  <si>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</si>
  <si>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</si>
  <si>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</si>
  <si>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</si>
  <si>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</si>
  <si>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</si>
  <si>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</si>
  <si>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</si>
  <si>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</si>
  <si>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</si>
  <si>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</si>
  <si>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</si>
  <si>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</si>
  <si>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</si>
  <si>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</si>
  <si>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</si>
  <si>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</si>
  <si>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</si>
  <si>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</si>
  <si>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</si>
  <si>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</si>
  <si>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</si>
  <si>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</si>
  <si>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</si>
  <si>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</si>
  <si>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</si>
  <si>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</si>
  <si>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</si>
  <si>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</si>
  <si>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</si>
  <si>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</si>
  <si>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</si>
  <si>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</si>
  <si>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</si>
  <si>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</si>
  <si>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</si>
  <si>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</si>
  <si>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</si>
  <si>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</si>
  <si>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</si>
  <si>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</si>
  <si>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</si>
  <si>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</si>
  <si>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</si>
  <si>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</si>
  <si>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</si>
  <si>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</si>
  <si>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</si>
  <si>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</si>
  <si>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</si>
  <si>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</si>
  <si>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</si>
  <si>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</si>
  <si>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</si>
  <si>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</si>
  <si>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</si>
  <si>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</si>
  <si>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</si>
  <si>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</si>
  <si>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</si>
  <si>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</si>
  <si>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</si>
  <si>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</si>
  <si>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</si>
  <si>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</si>
  <si>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</si>
  <si>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</si>
  <si>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</si>
  <si>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</si>
  <si>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</si>
  <si>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</si>
  <si>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</si>
  <si>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</si>
  <si>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</si>
  <si>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</si>
  <si>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</si>
  <si>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</si>
  <si>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</si>
  <si>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</si>
  <si>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</si>
  <si>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</si>
  <si>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</si>
  <si>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</si>
  <si>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</si>
  <si>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</si>
  <si>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</si>
  <si>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</si>
  <si>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</si>
  <si>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</si>
  <si>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</si>
  <si>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</si>
  <si>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</si>
  <si>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</si>
  <si>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</si>
  <si>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</si>
  <si>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</si>
  <si>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</si>
  <si>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</si>
  <si>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</si>
  <si>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</si>
  <si>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</si>
  <si>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</si>
  <si>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</si>
  <si>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</si>
  <si>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</si>
  <si>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</si>
  <si>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</si>
  <si>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</si>
  <si>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</si>
  <si>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</si>
  <si>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</si>
  <si>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</si>
  <si>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</si>
  <si>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</si>
  <si>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</si>
  <si>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</si>
  <si>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</si>
  <si>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</si>
  <si>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</si>
  <si>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</si>
  <si>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</si>
  <si>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</si>
  <si>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</si>
  <si>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</si>
  <si>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</si>
  <si>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</si>
  <si>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</si>
  <si>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</si>
  <si>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</si>
  <si>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</si>
  <si>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</si>
  <si>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</si>
  <si>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</si>
  <si>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</si>
  <si>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</si>
  <si>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</si>
  <si>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</si>
  <si>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</si>
  <si>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</si>
  <si>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</si>
  <si>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</si>
  <si>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</si>
  <si>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</si>
  <si>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</si>
  <si>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</si>
  <si>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</si>
  <si>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</si>
  <si>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</si>
  <si>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</si>
  <si>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</si>
  <si>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</si>
  <si>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</si>
  <si>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</si>
  <si>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</si>
  <si>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</si>
  <si>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</si>
  <si>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</si>
  <si>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</si>
  <si>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</si>
  <si>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</si>
  <si>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</si>
  <si>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</si>
  <si>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</si>
  <si>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</si>
  <si>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</si>
  <si>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</si>
  <si>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</si>
  <si>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</si>
  <si>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</si>
  <si>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</si>
  <si>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</si>
  <si>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</si>
  <si>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</si>
  <si>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</si>
  <si>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</si>
  <si>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</si>
  <si>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</si>
  <si>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</si>
  <si>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</si>
  <si>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</si>
  <si>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</si>
  <si>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</si>
  <si>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</si>
  <si>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</si>
  <si>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</si>
  <si>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</si>
  <si>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</si>
  <si>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</si>
  <si>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</si>
  <si>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</si>
  <si>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</si>
  <si>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</si>
  <si>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</si>
  <si>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</si>
  <si>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</si>
  <si>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</si>
  <si>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</si>
  <si>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</si>
  <si>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</si>
  <si>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</si>
  <si>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</si>
  <si>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</si>
  <si>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</si>
  <si>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</si>
  <si>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</si>
  <si>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</si>
  <si>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</si>
  <si>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</si>
  <si>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</si>
  <si>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</si>
  <si>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</si>
  <si>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</si>
  <si>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</si>
  <si>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</si>
  <si>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</si>
  <si>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</si>
  <si>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</si>
  <si>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</si>
  <si>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</si>
  <si>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</si>
  <si>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</si>
  <si>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</si>
  <si>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</si>
  <si>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</si>
  <si>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</si>
  <si>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</si>
  <si>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</si>
  <si>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</si>
  <si>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</si>
  <si>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</si>
  <si>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</si>
  <si>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</si>
  <si>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</si>
  <si>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</si>
  <si>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</si>
  <si>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</si>
  <si>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</si>
  <si>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</si>
  <si>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</si>
  <si>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</si>
  <si>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</si>
  <si>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</si>
  <si>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</si>
  <si>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</si>
  <si>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</si>
  <si>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</si>
  <si>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</si>
  <si>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</si>
  <si>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</si>
  <si>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</si>
  <si>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</si>
  <si>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</si>
  <si>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</si>
  <si>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</si>
  <si>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</si>
  <si>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</si>
  <si>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</si>
  <si>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</si>
  <si>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</si>
  <si>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</si>
  <si>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</si>
  <si>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</si>
  <si>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</si>
  <si>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</si>
  <si>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</si>
  <si>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</si>
  <si>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</si>
  <si>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</si>
  <si>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</si>
  <si>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</si>
  <si>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</si>
  <si>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</si>
  <si>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</si>
  <si>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</si>
  <si>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</si>
  <si>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</si>
  <si>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</si>
  <si>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</si>
  <si>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</si>
  <si>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</si>
  <si>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</si>
  <si>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</si>
  <si>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</si>
  <si>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</si>
  <si>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</si>
  <si>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</si>
  <si>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</si>
  <si>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</si>
  <si>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</si>
  <si>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</si>
  <si>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</si>
  <si>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</si>
  <si>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</si>
  <si>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</si>
  <si>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</si>
  <si>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</si>
  <si>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</si>
  <si>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</si>
  <si>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</si>
  <si>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</si>
  <si>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</si>
  <si>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</si>
  <si>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</si>
  <si>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</si>
  <si>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</si>
  <si>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</si>
  <si>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</si>
  <si>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</si>
  <si>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</si>
  <si>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</si>
  <si>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</si>
  <si>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</si>
  <si>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</si>
  <si>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</si>
  <si>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</si>
  <si>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</si>
  <si>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</si>
  <si>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</si>
  <si>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</si>
  <si>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</si>
  <si>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</si>
  <si>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</si>
  <si>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</si>
  <si>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</si>
  <si>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</si>
  <si>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</si>
  <si>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</si>
  <si>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</si>
  <si>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</si>
  <si>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</si>
  <si>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</si>
  <si>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</si>
  <si>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</si>
  <si>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</si>
  <si>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</si>
  <si>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</si>
  <si>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</si>
  <si>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</si>
  <si>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</si>
  <si>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</si>
  <si>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</si>
  <si>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</si>
  <si>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</si>
  <si>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</si>
  <si>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</si>
  <si>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</si>
  <si>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</si>
  <si>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</si>
  <si>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</si>
  <si>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</si>
  <si>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</si>
  <si>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</si>
  <si>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</si>
  <si>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</si>
  <si>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</si>
  <si>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</si>
  <si>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</si>
  <si>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</si>
  <si>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</si>
  <si>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</si>
  <si>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</si>
  <si>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</si>
  <si>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</si>
  <si>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</si>
  <si>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</si>
  <si>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</si>
  <si>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</si>
  <si>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</si>
  <si>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</si>
  <si>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</si>
  <si>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</si>
  <si>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</si>
  <si>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</si>
  <si>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</si>
  <si>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</si>
  <si>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</si>
  <si>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</si>
  <si>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</si>
  <si>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</si>
  <si>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</si>
  <si>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</si>
  <si>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</si>
  <si>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</si>
  <si>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</si>
  <si>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</si>
  <si>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</si>
  <si>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</si>
  <si>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</si>
  <si>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</si>
  <si>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</si>
  <si>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</si>
  <si>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</si>
  <si>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</si>
  <si>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</si>
  <si>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</si>
  <si>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</si>
  <si>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</si>
  <si>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</si>
  <si>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</si>
  <si>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</si>
  <si>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</si>
  <si>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</si>
  <si>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</si>
  <si>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</si>
  <si>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</si>
  <si>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</si>
  <si>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</si>
  <si>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</si>
  <si>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</si>
  <si>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</si>
  <si>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</si>
  <si>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</si>
  <si>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</si>
  <si>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</si>
  <si>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</si>
  <si>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</si>
  <si>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</si>
  <si>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</si>
  <si>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</si>
  <si>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</si>
  <si>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</si>
  <si>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</si>
  <si>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</si>
  <si>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</si>
  <si>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</si>
  <si>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</si>
  <si>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</si>
  <si>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</si>
  <si>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</si>
  <si>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</si>
  <si>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</si>
  <si>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</si>
  <si>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</si>
  <si>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</si>
  <si>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</si>
  <si>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</si>
  <si>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</si>
  <si>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</si>
  <si>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</si>
  <si>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</si>
  <si>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</si>
  <si>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</si>
  <si>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</si>
  <si>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</si>
  <si>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</si>
  <si>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</si>
  <si>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</si>
  <si>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</si>
  <si>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</si>
  <si>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</si>
  <si>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</si>
  <si>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</si>
  <si>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</si>
  <si>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</si>
  <si>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</si>
  <si>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</si>
  <si>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</si>
  <si>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</si>
  <si>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</si>
  <si>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</si>
  <si>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</si>
  <si>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</si>
  <si>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</si>
  <si>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</si>
  <si>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</si>
  <si>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</si>
  <si>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</si>
  <si>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</si>
  <si>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</si>
  <si>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</si>
  <si>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</si>
  <si>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</si>
  <si>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</si>
  <si>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</si>
  <si>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</si>
  <si>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</si>
  <si>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</si>
  <si>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</si>
  <si>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</si>
  <si>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</si>
  <si>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</si>
  <si>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</si>
  <si>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</si>
  <si>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</si>
  <si>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</si>
  <si>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</si>
  <si>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</si>
  <si>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</si>
  <si>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</si>
  <si>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</si>
  <si>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</si>
  <si>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</si>
  <si>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</si>
  <si>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</si>
  <si>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</si>
  <si>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</si>
  <si>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</si>
  <si>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</si>
  <si>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</si>
  <si>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</si>
  <si>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</si>
  <si>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</si>
  <si>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</si>
  <si>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</si>
  <si>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</si>
  <si>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</si>
  <si>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</si>
  <si>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</si>
  <si>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</si>
  <si>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</si>
  <si>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</si>
  <si>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</si>
  <si>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</si>
  <si>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</si>
  <si>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</si>
  <si>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</si>
  <si>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</si>
  <si>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</si>
  <si>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</si>
  <si>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</si>
  <si>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</si>
  <si>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</si>
  <si>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</si>
  <si>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</si>
  <si>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</si>
  <si>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</si>
  <si>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</si>
  <si>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</si>
  <si>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</si>
  <si>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</si>
  <si>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</si>
  <si>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</si>
  <si>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</si>
  <si>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</si>
  <si>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</si>
  <si>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</si>
  <si>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</si>
  <si>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</si>
  <si>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</si>
  <si>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</si>
  <si>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</si>
  <si>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</si>
  <si>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</si>
  <si>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</si>
  <si>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</si>
  <si>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</si>
  <si>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</si>
  <si>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</si>
  <si>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</si>
  <si>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</si>
  <si>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</si>
  <si>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</si>
  <si>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</si>
  <si>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</si>
  <si>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</si>
  <si>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</si>
  <si>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</si>
  <si>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</si>
  <si>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</si>
  <si>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</si>
  <si>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</si>
  <si>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</si>
  <si>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</si>
  <si>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</si>
  <si>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</si>
  <si>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</si>
  <si>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</si>
  <si>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</si>
  <si>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</si>
  <si>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</si>
  <si>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</si>
  <si>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</si>
  <si>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</si>
  <si>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</si>
  <si>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</si>
  <si>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</si>
  <si>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</si>
  <si>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</si>
  <si>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</si>
  <si>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</si>
  <si>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</si>
  <si>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</si>
  <si>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</si>
  <si>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</si>
  <si>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</si>
  <si>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</si>
  <si>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</si>
  <si>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</si>
  <si>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</si>
  <si>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</si>
  <si>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</si>
  <si>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</si>
  <si>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</si>
  <si>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</si>
  <si>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</si>
  <si>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</si>
  <si>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</si>
  <si>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</si>
  <si>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</si>
  <si>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</si>
  <si>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</si>
  <si>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</si>
  <si>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</si>
  <si>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</si>
  <si>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</si>
  <si>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</si>
  <si>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</si>
  <si>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</si>
  <si>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</si>
  <si>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</si>
  <si>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</si>
  <si>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</si>
  <si>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</si>
  <si>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</si>
  <si>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</si>
  <si>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</si>
  <si>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</si>
  <si>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</si>
  <si>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</si>
  <si>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</si>
  <si>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</si>
  <si>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</si>
  <si>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</si>
  <si>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</si>
  <si>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</si>
  <si>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</si>
  <si>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</si>
  <si>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</si>
  <si>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</si>
  <si>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</si>
  <si>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</si>
  <si>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</si>
  <si>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</si>
  <si>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</si>
  <si>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</si>
  <si>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</si>
  <si>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</si>
  <si>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</si>
  <si>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</si>
  <si>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</si>
  <si>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</si>
  <si>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</si>
  <si>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</si>
  <si>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</si>
  <si>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</si>
  <si>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</si>
  <si>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</si>
  <si>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</si>
  <si>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</si>
  <si>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</si>
  <si>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</si>
  <si>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</si>
  <si>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</si>
  <si>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</si>
  <si>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</si>
  <si>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</si>
  <si>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</si>
  <si>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</si>
  <si>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</si>
  <si>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</si>
  <si>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</si>
  <si>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</si>
  <si>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</si>
  <si>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</si>
  <si>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</si>
  <si>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</si>
  <si>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</si>
  <si>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</si>
  <si>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</si>
  <si>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</si>
  <si>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</si>
  <si>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</si>
  <si>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</si>
  <si>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</si>
  <si>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</si>
  <si>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</si>
  <si>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</si>
  <si>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</si>
  <si>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</si>
  <si>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</si>
  <si>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</si>
  <si>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</si>
  <si>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</si>
  <si>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</si>
  <si>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</si>
  <si>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</si>
  <si>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</si>
  <si>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</si>
  <si>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</si>
  <si>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</si>
  <si>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</si>
  <si>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</si>
  <si>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</si>
  <si>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</si>
  <si>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</si>
  <si>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</si>
  <si>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</si>
  <si>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</si>
  <si>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</si>
  <si>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</si>
  <si>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</si>
  <si>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</si>
  <si>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</si>
  <si>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</si>
  <si>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</si>
  <si>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</si>
  <si>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</si>
  <si>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</si>
  <si>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</si>
  <si>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</si>
  <si>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</si>
  <si>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</si>
  <si>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</si>
  <si>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</si>
  <si>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</si>
  <si>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</si>
  <si>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</si>
  <si>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</si>
  <si>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</si>
  <si>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</si>
  <si>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</si>
  <si>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</si>
  <si>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</si>
  <si>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</si>
  <si>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</si>
  <si>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</si>
  <si>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</si>
  <si>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</si>
  <si>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</si>
  <si>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</si>
  <si>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</si>
  <si>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</si>
  <si>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</si>
  <si>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</si>
  <si>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</si>
  <si>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</si>
  <si>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</si>
  <si>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</si>
  <si>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</si>
  <si>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</si>
  <si>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</si>
  <si>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</si>
  <si>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</si>
  <si>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</si>
  <si>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</si>
  <si>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</si>
  <si>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</si>
  <si>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</si>
  <si>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</si>
  <si>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</si>
  <si>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</si>
  <si>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</si>
  <si>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</si>
  <si>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</si>
  <si>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</si>
  <si>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</si>
  <si>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</si>
  <si>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</si>
  <si>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</si>
  <si>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</si>
  <si>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</si>
  <si>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</si>
  <si>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</si>
  <si>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</si>
  <si>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</si>
  <si>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</si>
  <si>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</si>
  <si>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</si>
  <si>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</si>
  <si>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</si>
  <si>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</si>
  <si>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</si>
  <si>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</si>
  <si>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</si>
  <si>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</si>
  <si>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</si>
  <si>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</si>
  <si>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</si>
  <si>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</si>
  <si>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</si>
  <si>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</si>
  <si>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</si>
  <si>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</si>
  <si>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</si>
  <si>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</si>
  <si>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</si>
  <si>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</si>
  <si>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</si>
  <si>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</si>
  <si>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</si>
  <si>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</si>
  <si>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</si>
  <si>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</si>
  <si>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</si>
  <si>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</si>
  <si>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</si>
  <si>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</si>
  <si>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</si>
  <si>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</si>
  <si>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</si>
  <si>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</si>
  <si>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</si>
  <si>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</si>
  <si>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</si>
  <si>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</si>
  <si>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</si>
  <si>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</si>
  <si>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</si>
  <si>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</si>
  <si>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</si>
  <si>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</si>
  <si>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</si>
  <si>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</si>
  <si>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</si>
  <si>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</si>
  <si>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</si>
  <si>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</si>
  <si>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</si>
  <si>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</si>
  <si>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</si>
  <si>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</si>
  <si>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</si>
  <si>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</si>
  <si>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</si>
  <si>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</si>
  <si>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</si>
  <si>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</si>
  <si>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</si>
  <si>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</si>
  <si>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</si>
  <si>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</si>
  <si>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</si>
  <si>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</si>
  <si>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</si>
  <si>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</si>
  <si>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</si>
  <si>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</si>
  <si>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</si>
  <si>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</si>
  <si>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</si>
  <si>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</si>
  <si>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</si>
  <si>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</si>
  <si>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</si>
  <si>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</si>
  <si>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</si>
  <si>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</si>
  <si>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</si>
  <si>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</si>
  <si>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</si>
  <si>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</si>
  <si>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</si>
  <si>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</si>
  <si>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</si>
  <si>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</si>
  <si>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</si>
  <si>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</si>
  <si>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</si>
  <si>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</si>
  <si>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</si>
  <si>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</si>
  <si>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</si>
  <si>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</si>
  <si>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</si>
  <si>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</si>
  <si>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</si>
  <si>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</si>
  <si>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</si>
  <si>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</si>
  <si>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</si>
  <si>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</si>
  <si>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</si>
  <si>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</si>
  <si>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</si>
  <si>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</si>
  <si>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</si>
  <si>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</si>
  <si>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</si>
  <si>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</si>
  <si>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</si>
  <si>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</si>
  <si>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</si>
  <si>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</si>
  <si>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</si>
  <si>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</si>
  <si>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</si>
  <si>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</si>
  <si>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</si>
  <si>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</si>
  <si>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</si>
  <si>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</si>
  <si>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</si>
  <si>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</si>
  <si>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</si>
  <si>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</si>
  <si>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</si>
  <si>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</si>
  <si>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</si>
  <si>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</si>
  <si>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</si>
  <si>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</si>
  <si>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</si>
  <si>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</si>
  <si>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</si>
  <si>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</si>
  <si>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</si>
  <si>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</si>
  <si>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</si>
  <si>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</si>
  <si>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</si>
  <si>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</si>
  <si>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</si>
  <si>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</si>
  <si>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</si>
  <si>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</si>
  <si>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</si>
  <si>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</si>
  <si>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</si>
  <si>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</si>
  <si>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</si>
  <si>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</si>
  <si>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</si>
  <si>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</si>
  <si>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</si>
  <si>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</si>
  <si>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</si>
  <si>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</si>
  <si>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</si>
  <si>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</si>
  <si>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</si>
  <si>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</si>
  <si>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</si>
  <si>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</si>
  <si>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</si>
  <si>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</si>
  <si>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</si>
  <si>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</si>
  <si>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</si>
  <si>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</si>
  <si>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</si>
  <si>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</si>
  <si>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</si>
  <si>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</si>
  <si>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</si>
  <si>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</si>
  <si>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</si>
  <si>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</si>
  <si>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</si>
  <si>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</si>
  <si>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</si>
  <si>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</si>
  <si>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</si>
  <si>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</si>
  <si>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</si>
  <si>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</si>
  <si>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</si>
  <si>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</si>
  <si>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</si>
  <si>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</si>
  <si>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</si>
  <si>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</si>
  <si>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</si>
  <si>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</si>
  <si>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</si>
  <si>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</si>
  <si>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</si>
  <si>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</si>
  <si>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</si>
  <si>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</si>
  <si>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</si>
  <si>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</si>
  <si>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</si>
  <si>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</si>
  <si>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</si>
  <si>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</si>
  <si>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</si>
  <si>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</si>
  <si>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</si>
  <si>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</si>
  <si>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</si>
  <si>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</si>
  <si>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</si>
  <si>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</si>
  <si>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</si>
  <si>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</si>
  <si>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</si>
  <si>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</si>
  <si>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</si>
  <si>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</si>
  <si>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</si>
  <si>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</si>
  <si>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</si>
  <si>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</si>
  <si>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</si>
  <si>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</si>
  <si>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</si>
  <si>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</si>
  <si>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</si>
  <si>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</si>
  <si>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</si>
  <si>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</si>
  <si>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</si>
  <si>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</si>
  <si>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</si>
  <si>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</si>
  <si>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</si>
  <si>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</si>
  <si>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</si>
  <si>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</si>
  <si>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</si>
  <si>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</si>
  <si>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</si>
  <si>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</si>
  <si>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</si>
  <si>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</si>
  <si>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</si>
  <si>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</si>
  <si>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</si>
  <si>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</si>
  <si>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</si>
  <si>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</si>
  <si>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</si>
  <si>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</si>
  <si>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</si>
  <si>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</si>
  <si>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</si>
  <si>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</si>
  <si>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</si>
  <si>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</si>
  <si>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</si>
  <si>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</si>
  <si>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</si>
  <si>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</si>
  <si>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</si>
  <si>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</si>
  <si>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</si>
  <si>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</si>
  <si>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</si>
  <si>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</si>
  <si>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</si>
  <si>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</si>
  <si>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</si>
  <si>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</si>
  <si>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</si>
  <si>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</si>
  <si>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</si>
  <si>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</si>
  <si>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</si>
  <si>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</si>
  <si>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</si>
  <si>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</si>
  <si>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</si>
  <si>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</si>
  <si>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</si>
  <si>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</si>
  <si>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</si>
  <si>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</si>
  <si>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</si>
  <si>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</si>
  <si>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</si>
  <si>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</si>
  <si>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</si>
  <si>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</si>
  <si>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</si>
  <si>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</si>
  <si>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</si>
  <si>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</si>
  <si>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</si>
  <si>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</si>
  <si>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</si>
  <si>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</si>
  <si>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</si>
  <si>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</si>
  <si>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</si>
  <si>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</si>
  <si>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</si>
  <si>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</si>
  <si>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</si>
  <si>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</si>
  <si>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</si>
  <si>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</si>
  <si>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</si>
  <si>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</si>
  <si>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</si>
  <si>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</si>
  <si>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</si>
  <si>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</si>
  <si>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</si>
  <si>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</si>
  <si>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</si>
  <si>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</si>
  <si>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</si>
  <si>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</si>
  <si>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</si>
  <si>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</si>
  <si>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</si>
  <si>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</si>
  <si>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</si>
  <si>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</si>
  <si>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</si>
  <si>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</si>
  <si>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</si>
  <si>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</si>
  <si>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</si>
  <si>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</si>
  <si>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</si>
  <si>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</si>
  <si>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</si>
  <si>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</si>
  <si>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</si>
  <si>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</si>
  <si>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</si>
  <si>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</si>
  <si>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</si>
  <si>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</si>
  <si>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</si>
  <si>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</si>
  <si>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</si>
  <si>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</si>
  <si>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</si>
  <si>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</si>
  <si>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</si>
  <si>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</si>
  <si>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</si>
  <si>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</si>
  <si>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</si>
  <si>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</si>
  <si>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</si>
  <si>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</si>
  <si>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</si>
  <si>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</si>
  <si>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</si>
  <si>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</si>
  <si>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</si>
  <si>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</si>
  <si>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</si>
  <si>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</si>
  <si>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</si>
  <si>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</si>
  <si>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</si>
  <si>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</si>
  <si>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</si>
  <si>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</si>
  <si>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</si>
  <si>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</si>
  <si>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</si>
  <si>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</si>
  <si>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</si>
  <si>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</si>
  <si>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</si>
  <si>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</si>
  <si>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</si>
  <si>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</si>
  <si>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</si>
  <si>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</si>
  <si>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</si>
  <si>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</si>
  <si>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</si>
  <si>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</si>
  <si>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</si>
  <si>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</si>
  <si>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</si>
  <si>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</si>
  <si>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</si>
  <si>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</si>
  <si>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</si>
  <si>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</si>
  <si>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</si>
  <si>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</si>
  <si>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</si>
  <si>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</si>
  <si>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</si>
  <si>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</si>
  <si>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</si>
  <si>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</si>
  <si>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</si>
  <si>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</si>
  <si>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</si>
  <si>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</si>
  <si>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</si>
  <si>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</si>
  <si>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</si>
  <si>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</si>
  <si>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</si>
  <si>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</si>
  <si>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</si>
  <si>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</si>
  <si>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</si>
  <si>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</si>
  <si>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</si>
  <si>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</si>
  <si>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</si>
  <si>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</si>
  <si>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</si>
  <si>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</si>
  <si>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</si>
  <si>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</si>
  <si>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</si>
  <si>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</si>
  <si>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</si>
  <si>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</si>
  <si>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</si>
  <si>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</si>
  <si>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</si>
  <si>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</si>
  <si>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</si>
  <si>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</si>
  <si>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</si>
  <si>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</si>
  <si>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</si>
  <si>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</si>
  <si>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</si>
  <si>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</si>
  <si>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</si>
  <si>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</si>
  <si>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</si>
  <si>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</si>
  <si>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</si>
  <si>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</si>
  <si>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</si>
  <si>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</si>
  <si>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</si>
  <si>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</si>
  <si>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</si>
  <si>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</si>
  <si>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</si>
  <si>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</si>
  <si>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</si>
  <si>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</si>
  <si>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</si>
  <si>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</si>
  <si>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</si>
  <si>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</si>
  <si>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</si>
  <si>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</si>
  <si>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</si>
  <si>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</si>
  <si>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</si>
  <si>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</si>
  <si>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</si>
  <si>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</si>
  <si>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</si>
  <si>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</si>
  <si>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</si>
  <si>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</si>
  <si>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</si>
  <si>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</si>
  <si>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</si>
  <si>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</si>
  <si>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</si>
  <si>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</si>
  <si>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</si>
  <si>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</si>
  <si>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</si>
  <si>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</si>
  <si>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</si>
  <si>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</si>
  <si>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</si>
  <si>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</si>
  <si>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</si>
  <si>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</si>
  <si>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</si>
  <si>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</si>
  <si>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</si>
  <si>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</si>
  <si>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</si>
  <si>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</si>
  <si>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</si>
  <si>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</si>
  <si>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</si>
  <si>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</si>
  <si>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</si>
  <si>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</si>
  <si>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</si>
  <si>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</si>
  <si>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</si>
  <si>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</si>
  <si>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</si>
  <si>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</si>
  <si>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</si>
  <si>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</si>
  <si>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</si>
  <si>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</si>
  <si>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</si>
  <si>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</si>
  <si>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</si>
  <si>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</si>
  <si>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</si>
  <si>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</si>
  <si>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</si>
  <si>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</si>
  <si>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</si>
  <si>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</si>
  <si>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</si>
  <si>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</si>
  <si>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</si>
  <si>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</si>
  <si>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</si>
  <si>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</si>
  <si>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</si>
  <si>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</si>
  <si>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</si>
  <si>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</si>
  <si>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</si>
  <si>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</si>
  <si>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</si>
  <si>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</si>
  <si>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</si>
  <si>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</si>
  <si>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</si>
  <si>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</si>
  <si>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</si>
  <si>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</si>
  <si>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</si>
  <si>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</si>
  <si>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</si>
  <si>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</si>
  <si>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</si>
  <si>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</si>
  <si>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</si>
  <si>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</si>
  <si>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</si>
  <si>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</si>
  <si>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</si>
  <si>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</si>
  <si>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</si>
  <si>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</si>
  <si>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</si>
  <si>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</si>
  <si>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</si>
  <si>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</si>
  <si>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</si>
  <si>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</si>
  <si>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</si>
  <si>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</si>
  <si>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</si>
  <si>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</si>
  <si>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</si>
  <si>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</si>
  <si>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</si>
  <si>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</si>
  <si>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</si>
  <si>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</si>
  <si>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</si>
  <si>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</si>
  <si>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</si>
  <si>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</si>
  <si>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</si>
  <si>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</si>
  <si>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</si>
  <si>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</si>
  <si>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</si>
  <si>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</si>
  <si>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</si>
  <si>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</si>
  <si>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</si>
  <si>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</si>
  <si>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</si>
  <si>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</si>
  <si>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</si>
  <si>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</si>
  <si>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</si>
  <si>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</si>
  <si>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</si>
  <si>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</si>
  <si>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</si>
  <si>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</si>
  <si>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</si>
  <si>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</si>
  <si>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</si>
  <si>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</si>
  <si>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</si>
  <si>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</si>
  <si>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</si>
  <si>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</si>
  <si>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</si>
  <si>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</si>
  <si>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</si>
  <si>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</si>
  <si>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</si>
  <si>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</si>
  <si>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</si>
  <si>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</si>
  <si>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</si>
  <si>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</si>
  <si>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</si>
  <si>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</si>
  <si>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</si>
  <si>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</si>
  <si>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</si>
  <si>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</si>
  <si>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</si>
  <si>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</si>
  <si>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</si>
  <si>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</si>
  <si>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</si>
  <si>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</si>
  <si>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</si>
  <si>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</si>
  <si>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</si>
  <si>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</si>
  <si>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</si>
  <si>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</si>
  <si>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</si>
  <si>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</si>
  <si>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</si>
  <si>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</si>
  <si>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</si>
  <si>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</si>
  <si>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</si>
  <si>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</si>
  <si>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</si>
  <si>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</si>
  <si>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</si>
  <si>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</si>
  <si>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</si>
  <si>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</si>
  <si>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</si>
  <si>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</si>
  <si>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</si>
  <si>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</si>
  <si>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</si>
  <si>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</si>
  <si>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</si>
  <si>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</si>
  <si>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</si>
  <si>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</si>
  <si>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</si>
  <si>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</si>
  <si>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</si>
  <si>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</si>
  <si>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</si>
  <si>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</si>
  <si>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</si>
  <si>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</si>
  <si>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</si>
  <si>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</si>
  <si>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</si>
  <si>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</si>
  <si>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</si>
  <si>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</si>
  <si>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</si>
  <si>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</si>
  <si>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</si>
  <si>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</si>
  <si>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</si>
  <si>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</si>
  <si>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</si>
  <si>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</si>
  <si>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</si>
  <si>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</si>
  <si>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</si>
  <si>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</si>
  <si>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</si>
  <si>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</si>
  <si>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</si>
  <si>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</si>
  <si>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</si>
  <si>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</si>
  <si>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</si>
  <si>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</si>
  <si>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</si>
  <si>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</si>
  <si>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</si>
  <si>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</si>
  <si>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</si>
  <si>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</si>
  <si>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</si>
  <si>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</si>
  <si>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</si>
  <si>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</si>
  <si>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</si>
  <si>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</si>
  <si>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</si>
  <si>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</si>
  <si>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</si>
  <si>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</si>
  <si>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</si>
  <si>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</si>
  <si>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</si>
  <si>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</si>
  <si>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</si>
  <si>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</si>
  <si>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</si>
  <si>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</si>
  <si>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</si>
  <si>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</si>
  <si>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</si>
  <si>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</si>
  <si>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</si>
  <si>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</si>
  <si>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</si>
  <si>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</si>
  <si>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</si>
  <si>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</si>
  <si>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</si>
  <si>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</si>
  <si>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</si>
  <si>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</si>
  <si>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</si>
  <si>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</si>
  <si>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</si>
  <si>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</si>
  <si>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</si>
  <si>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</si>
  <si>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</si>
  <si>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</si>
  <si>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</si>
  <si>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</si>
  <si>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</si>
  <si>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</si>
  <si>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</si>
  <si>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</si>
  <si>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</si>
  <si>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</si>
  <si>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</si>
  <si>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</si>
  <si>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</si>
  <si>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</si>
  <si>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</si>
  <si>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</si>
  <si>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</si>
  <si>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</si>
  <si>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</si>
  <si>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</si>
  <si>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</si>
  <si>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</si>
  <si>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</si>
  <si>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</si>
  <si>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</si>
  <si>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</si>
  <si>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</si>
  <si>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</si>
  <si>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</si>
  <si>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</si>
  <si>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</si>
  <si>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</si>
  <si>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</si>
  <si>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</si>
  <si>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</si>
  <si>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</si>
  <si>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</si>
  <si>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</si>
  <si>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</si>
  <si>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</si>
  <si>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</si>
  <si>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</si>
  <si>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</si>
  <si>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</si>
  <si>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</si>
  <si>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</si>
  <si>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</si>
  <si>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</si>
  <si>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</si>
  <si>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</si>
  <si>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</si>
  <si>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</si>
  <si>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</si>
  <si>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</si>
  <si>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</si>
  <si>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</si>
  <si>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</si>
  <si>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</si>
  <si>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</si>
  <si>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</si>
  <si>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</si>
  <si>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</si>
  <si>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</si>
  <si>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</si>
  <si>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</si>
  <si>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</si>
  <si>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</si>
  <si>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</si>
  <si>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</si>
  <si>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</si>
  <si>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</si>
  <si>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</si>
  <si>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</si>
  <si>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</si>
  <si>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</si>
  <si>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</si>
  <si>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</si>
  <si>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</si>
  <si>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</si>
  <si>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</si>
  <si>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</si>
  <si>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</si>
  <si>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</si>
  <si>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</si>
  <si>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</si>
  <si>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</si>
  <si>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</si>
  <si>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</si>
  <si>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</si>
  <si>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</si>
  <si>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</si>
  <si>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</si>
  <si>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</si>
  <si>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</si>
  <si>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</si>
  <si>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</si>
  <si>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</si>
  <si>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</si>
  <si>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</si>
  <si>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</si>
  <si>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</si>
  <si>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</si>
  <si>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</si>
  <si>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</si>
  <si>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</si>
  <si>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</si>
  <si>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</si>
  <si>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</si>
  <si>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</si>
  <si>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</si>
  <si>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</si>
  <si>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</si>
  <si>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</si>
  <si>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</si>
  <si>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</si>
  <si>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</si>
  <si>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</si>
  <si>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</si>
  <si>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</si>
  <si>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</si>
  <si>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</si>
  <si>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</si>
  <si>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</si>
  <si>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</si>
  <si>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</si>
  <si>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</si>
  <si>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</si>
  <si>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</si>
  <si>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</si>
  <si>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</si>
  <si>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</si>
  <si>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</si>
  <si>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</si>
  <si>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</si>
  <si>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</si>
  <si>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</si>
  <si>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</si>
  <si>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</si>
  <si>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</si>
  <si>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</si>
  <si>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</si>
  <si>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</si>
  <si>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</si>
  <si>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</si>
  <si>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</si>
  <si>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</si>
  <si>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</si>
  <si>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</si>
  <si>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</si>
  <si>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</si>
  <si>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</si>
  <si>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</si>
  <si>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</si>
  <si>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</si>
  <si>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</si>
  <si>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</si>
  <si>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</si>
  <si>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</si>
  <si>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</si>
  <si>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</si>
  <si>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</si>
  <si>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</si>
  <si>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</si>
  <si>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</si>
  <si>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</si>
  <si>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</si>
  <si>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</si>
  <si>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</si>
  <si>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</si>
  <si>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</si>
  <si>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</si>
  <si>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</si>
  <si>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</si>
  <si>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</si>
  <si>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</si>
  <si>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</si>
  <si>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</si>
  <si>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</si>
  <si>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</si>
  <si>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</si>
  <si>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</si>
  <si>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</si>
  <si>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</si>
  <si>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</si>
  <si>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</si>
  <si>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</si>
  <si>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</si>
  <si>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</si>
  <si>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</si>
  <si>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</si>
  <si>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</si>
  <si>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</si>
  <si>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</si>
  <si>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</si>
  <si>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</si>
  <si>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</si>
  <si>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</si>
  <si>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</si>
  <si>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</si>
  <si>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</si>
  <si>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</si>
  <si>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</si>
  <si>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</si>
  <si>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</si>
  <si>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</si>
  <si>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</si>
  <si>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</si>
  <si>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</si>
  <si>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</si>
  <si>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</si>
  <si>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</si>
  <si>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</si>
  <si>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</si>
  <si>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</si>
  <si>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</si>
  <si>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</si>
  <si>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</si>
  <si>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</si>
  <si>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</si>
  <si>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</si>
  <si>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</si>
  <si>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</si>
  <si>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</si>
  <si>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</si>
  <si>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</si>
  <si>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</si>
  <si>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</si>
  <si>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</si>
  <si>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</si>
  <si>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</si>
  <si>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</si>
  <si>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</si>
  <si>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</si>
  <si>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</si>
  <si>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</si>
  <si>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</si>
  <si>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</si>
  <si>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</si>
  <si>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</si>
  <si>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</si>
  <si>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</si>
  <si>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</si>
  <si>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</si>
  <si>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</si>
  <si>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</si>
  <si>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</si>
  <si>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</si>
  <si>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</si>
  <si>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</si>
  <si>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</si>
  <si>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</si>
  <si>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</si>
  <si>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</si>
  <si>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</si>
  <si>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</si>
  <si>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</si>
  <si>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</si>
  <si>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</si>
  <si>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</si>
  <si>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</si>
  <si>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</si>
  <si>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</si>
  <si>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</si>
  <si>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</si>
  <si>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</si>
  <si>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</si>
  <si>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</si>
  <si>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</si>
  <si>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</si>
  <si>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</si>
  <si>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</si>
  <si>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</si>
  <si>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</si>
  <si>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</si>
  <si>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</si>
  <si>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</si>
  <si>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</si>
  <si>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</si>
  <si>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</si>
  <si>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</si>
  <si>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</si>
  <si>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</si>
  <si>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</si>
  <si>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</si>
  <si>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</si>
  <si>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</si>
  <si>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</si>
  <si>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</si>
  <si>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</si>
  <si>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</si>
  <si>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</si>
  <si>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</si>
  <si>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</si>
  <si>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</si>
  <si>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</si>
  <si>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</si>
  <si>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</si>
  <si>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</si>
  <si>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</si>
  <si>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</si>
  <si>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</si>
  <si>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</si>
  <si>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</si>
  <si>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</si>
  <si>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</si>
  <si>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</si>
  <si>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</si>
  <si>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</si>
  <si>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</si>
  <si>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</si>
  <si>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</si>
  <si>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</si>
  <si>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</si>
  <si>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</si>
  <si>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</si>
  <si>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</si>
  <si>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</si>
  <si>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</si>
  <si>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</si>
  <si>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</si>
  <si>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</si>
  <si>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</si>
  <si>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</si>
  <si>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</si>
  <si>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</si>
  <si>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</si>
  <si>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</si>
  <si>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</si>
  <si>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</si>
  <si>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</si>
  <si>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</si>
  <si>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</si>
  <si>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</si>
  <si>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</si>
  <si>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</si>
  <si>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</si>
  <si>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</si>
  <si>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</si>
  <si>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</si>
  <si>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</si>
  <si>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</si>
  <si>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</si>
  <si>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</si>
  <si>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</si>
  <si>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</si>
  <si>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</si>
  <si>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</si>
  <si>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</si>
  <si>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</si>
  <si>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</si>
  <si>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</si>
  <si>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</si>
  <si>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</si>
  <si>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</si>
  <si>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</si>
  <si>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</si>
  <si>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</si>
  <si>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</si>
  <si>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</si>
  <si>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</si>
  <si>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</si>
  <si>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</si>
  <si>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</si>
  <si>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</si>
  <si>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</si>
  <si>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</si>
  <si>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</si>
  <si>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</si>
  <si>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</si>
  <si>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</si>
  <si>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</si>
  <si>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</si>
  <si>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</si>
  <si>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</si>
  <si>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</si>
  <si>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</si>
  <si>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</si>
  <si>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</si>
  <si>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</si>
  <si>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</si>
  <si>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</si>
  <si>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</si>
  <si>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</si>
  <si>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</si>
  <si>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</si>
  <si>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</si>
  <si>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</si>
  <si>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</si>
  <si>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</si>
  <si>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</si>
  <si>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</si>
  <si>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</si>
  <si>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</si>
  <si>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</si>
  <si>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</si>
  <si>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</si>
  <si>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</si>
  <si>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</si>
  <si>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</si>
  <si>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</si>
  <si>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</si>
  <si>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</si>
  <si>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</si>
  <si>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</si>
  <si>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</si>
  <si>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</si>
  <si>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</si>
  <si>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</si>
  <si>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</si>
  <si>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</si>
  <si>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</si>
  <si>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</si>
  <si>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</si>
  <si>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</si>
  <si>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</si>
  <si>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</si>
  <si>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</si>
  <si>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</si>
  <si>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</si>
  <si>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</si>
  <si>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</si>
  <si>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</si>
  <si>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</si>
  <si>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</si>
  <si>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</si>
  <si>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</si>
  <si>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</si>
  <si>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</si>
  <si>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</si>
  <si>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</si>
  <si>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</si>
  <si>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</si>
  <si>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</si>
  <si>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</si>
  <si>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</si>
  <si>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</si>
  <si>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</si>
  <si>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</si>
  <si>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</si>
  <si>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</si>
  <si>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</si>
  <si>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</si>
  <si>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</si>
  <si>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</si>
  <si>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</si>
  <si>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</si>
  <si>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</si>
  <si>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</si>
  <si>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</si>
  <si>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</si>
  <si>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</si>
  <si>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</si>
  <si>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</si>
  <si>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</si>
  <si>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</si>
  <si>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</si>
  <si>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</si>
  <si>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</si>
  <si>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</si>
  <si>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</si>
  <si>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</si>
  <si>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</si>
  <si>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</si>
  <si>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</si>
  <si>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</si>
  <si>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</si>
  <si>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</si>
  <si>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</si>
  <si>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</si>
  <si>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</si>
  <si>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</si>
  <si>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</si>
  <si>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</si>
  <si>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</si>
  <si>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</si>
  <si>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</si>
  <si>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</si>
  <si>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</si>
  <si>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</si>
  <si>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</si>
  <si>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</si>
  <si>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</si>
  <si>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</si>
  <si>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</si>
  <si>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</si>
  <si>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</si>
  <si>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</si>
  <si>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</si>
  <si>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</si>
  <si>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</si>
  <si>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</si>
  <si>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</si>
  <si>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</si>
  <si>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</si>
  <si>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</si>
  <si>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</si>
  <si>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</si>
  <si>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</si>
  <si>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</si>
  <si>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</si>
  <si>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</si>
  <si>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</si>
  <si>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</si>
  <si>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</si>
  <si>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</si>
  <si>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</si>
  <si>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</si>
  <si>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</si>
  <si>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</si>
  <si>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</si>
  <si>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</si>
  <si>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</si>
  <si>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</si>
  <si>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</si>
  <si>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</si>
  <si>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</si>
  <si>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</si>
  <si>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</si>
  <si>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</si>
  <si>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</si>
  <si>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</si>
  <si>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</si>
  <si>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</si>
  <si>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</si>
  <si>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</si>
  <si>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</si>
  <si>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</si>
  <si>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</si>
  <si>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</si>
  <si>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</si>
  <si>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</si>
  <si>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</si>
  <si>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</si>
  <si>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</si>
  <si>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</si>
  <si>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</si>
  <si>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</si>
  <si>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</si>
  <si>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</si>
  <si>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</si>
  <si>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</si>
  <si>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</si>
  <si>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</si>
  <si>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</si>
  <si>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</si>
  <si>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</si>
  <si>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</si>
  <si>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</si>
  <si>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</si>
  <si>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</si>
  <si>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</si>
  <si>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</si>
  <si>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</si>
  <si>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</si>
  <si>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</si>
  <si>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</si>
  <si>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</si>
  <si>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</si>
  <si>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</si>
  <si>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</si>
  <si>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</si>
  <si>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</si>
  <si>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</si>
  <si>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</si>
  <si>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</si>
  <si>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</si>
  <si>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</si>
  <si>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</si>
  <si>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</si>
  <si>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</si>
  <si>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</si>
  <si>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</si>
  <si>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</si>
  <si>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</si>
  <si>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</si>
  <si>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</si>
  <si>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</si>
  <si>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</si>
  <si>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</si>
  <si>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</si>
  <si>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</si>
  <si>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</si>
  <si>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</si>
  <si>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</si>
  <si>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</si>
  <si>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</si>
  <si>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</si>
  <si>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</si>
  <si>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</si>
  <si>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</si>
  <si>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</si>
  <si>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</si>
  <si>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</si>
  <si>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</si>
  <si>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</si>
  <si>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</si>
  <si>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</si>
  <si>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</si>
  <si>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</si>
  <si>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</si>
  <si>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</si>
  <si>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</si>
  <si>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</si>
  <si>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</si>
  <si>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</si>
  <si>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</si>
  <si>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</si>
  <si>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</si>
  <si>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</si>
  <si>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</si>
  <si>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</si>
  <si>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</si>
  <si>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</si>
  <si>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</si>
  <si>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</si>
  <si>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</si>
  <si>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</si>
  <si>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</si>
  <si>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</si>
  <si>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</si>
  <si>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</si>
  <si>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</si>
  <si>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</si>
  <si>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</si>
  <si>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</si>
  <si>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</si>
  <si>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</si>
  <si>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</si>
  <si>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</si>
  <si>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</si>
  <si>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</si>
  <si>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</si>
  <si>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</si>
  <si>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</si>
  <si>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</si>
  <si>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</si>
  <si>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</si>
  <si>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</si>
  <si>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</si>
  <si>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</si>
  <si>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</si>
  <si>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</si>
  <si>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</si>
  <si>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</si>
  <si>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</si>
  <si>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</si>
  <si>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</si>
  <si>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</si>
  <si>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</si>
  <si>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</si>
  <si>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</si>
  <si>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</si>
  <si>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</si>
  <si>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</si>
  <si>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</si>
  <si>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</si>
  <si>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</si>
  <si>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</si>
  <si>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</si>
  <si>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</si>
  <si>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</si>
  <si>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</si>
  <si>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</si>
  <si>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</si>
  <si>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</si>
  <si>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</si>
  <si>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</si>
  <si>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</si>
  <si>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</si>
  <si>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</si>
  <si>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</si>
  <si>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</si>
  <si>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</si>
  <si>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</si>
  <si>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</si>
  <si>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</si>
  <si>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</si>
  <si>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</si>
  <si>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</si>
  <si>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</si>
  <si>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</si>
  <si>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</si>
  <si>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</si>
  <si>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</si>
  <si>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</si>
  <si>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</si>
  <si>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</si>
  <si>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</si>
  <si>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</si>
  <si>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</si>
  <si>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</si>
  <si>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</si>
  <si>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</si>
  <si>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</si>
  <si>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</si>
  <si>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</si>
  <si>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</si>
  <si>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</si>
  <si>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</si>
  <si>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</si>
  <si>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</si>
  <si>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</si>
  <si>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</si>
  <si>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</si>
  <si>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</si>
  <si>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</si>
  <si>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</si>
  <si>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</si>
  <si>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</si>
  <si>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</si>
  <si>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</si>
  <si>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</si>
  <si>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</si>
  <si>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</si>
  <si>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</si>
  <si>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</si>
  <si>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</si>
  <si>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</si>
  <si>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</si>
  <si>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</si>
  <si>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</si>
  <si>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</si>
  <si>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</si>
  <si>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</si>
  <si>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</si>
  <si>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</si>
  <si>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</si>
  <si>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</si>
  <si>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</si>
  <si>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</si>
  <si>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</si>
  <si>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</si>
  <si>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</si>
  <si>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</si>
  <si>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</si>
  <si>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</si>
  <si>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</si>
  <si>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</si>
  <si>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</si>
  <si>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</si>
  <si>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</si>
  <si>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</si>
  <si>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</si>
  <si>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</si>
  <si>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</si>
  <si>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</si>
  <si>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</si>
  <si>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</si>
  <si>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</si>
  <si>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</si>
  <si>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</si>
  <si>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</si>
  <si>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</si>
  <si>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</si>
  <si>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</si>
  <si>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</si>
  <si>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</si>
  <si>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</si>
  <si>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</si>
  <si>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</si>
  <si>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</si>
  <si>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</si>
  <si>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</si>
  <si>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</si>
  <si>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</si>
  <si>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</si>
  <si>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</si>
  <si>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</si>
  <si>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</si>
  <si>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</si>
  <si>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</si>
  <si>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</si>
  <si>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</si>
  <si>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</si>
  <si>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</si>
  <si>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</si>
  <si>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</si>
  <si>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</si>
  <si>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</si>
  <si>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</si>
  <si>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</si>
  <si>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</si>
  <si>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</si>
  <si>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</si>
  <si>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</si>
  <si>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</si>
  <si>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</si>
  <si>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</si>
  <si>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</si>
  <si>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</si>
  <si>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</si>
  <si>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</si>
  <si>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</si>
  <si>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</si>
  <si>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</si>
  <si>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</si>
  <si>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</si>
  <si>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</si>
  <si>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</si>
  <si>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</si>
  <si>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</si>
  <si>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</si>
  <si>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</si>
  <si>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</si>
  <si>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</si>
  <si>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</si>
  <si>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</si>
  <si>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</si>
  <si>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</si>
  <si>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</si>
  <si>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</si>
  <si>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</si>
  <si>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</si>
  <si>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</si>
  <si>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</si>
  <si>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</si>
  <si>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</si>
  <si>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</si>
  <si>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</si>
  <si>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</si>
  <si>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</si>
  <si>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</si>
  <si>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</si>
  <si>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</si>
  <si>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</si>
  <si>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</si>
  <si>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</si>
  <si>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</si>
  <si>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</si>
  <si>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</si>
  <si>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</si>
  <si>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</si>
  <si>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</si>
  <si>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</si>
  <si>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</si>
  <si>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</si>
  <si>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</si>
  <si>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</si>
  <si>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</si>
  <si>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</si>
  <si>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</si>
  <si>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</si>
  <si>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</si>
  <si>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</si>
  <si>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</si>
  <si>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</si>
  <si>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</si>
  <si>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</si>
  <si>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</si>
  <si>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</si>
  <si>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</si>
  <si>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</si>
  <si>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</si>
  <si>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</si>
  <si>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</si>
  <si>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</si>
  <si>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</si>
  <si>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</si>
  <si>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</si>
  <si>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</si>
  <si>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</si>
  <si>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</si>
  <si>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</si>
  <si>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</si>
  <si>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</si>
  <si>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</si>
  <si>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</si>
  <si>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</si>
  <si>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</si>
  <si>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</si>
  <si>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</si>
  <si>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</si>
  <si>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</si>
  <si>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</si>
  <si>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</si>
  <si>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</si>
  <si>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</si>
  <si>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</si>
  <si>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</si>
  <si>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</si>
  <si>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</si>
  <si>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</si>
  <si>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</si>
  <si>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</si>
  <si>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</si>
  <si>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</si>
  <si>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</si>
  <si>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</si>
  <si>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</si>
  <si>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</si>
  <si>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</si>
  <si>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</si>
  <si>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</si>
  <si>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</si>
  <si>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</si>
  <si>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</si>
  <si>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</si>
  <si>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</si>
  <si>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</si>
  <si>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</si>
  <si>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</si>
  <si>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</si>
  <si>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</si>
  <si>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</si>
  <si>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</si>
  <si>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</si>
  <si>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</si>
  <si>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</si>
  <si>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</si>
  <si>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</si>
  <si>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</si>
  <si>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</si>
  <si>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</si>
  <si>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</si>
  <si>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</si>
  <si>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</si>
  <si>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</si>
  <si>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</si>
  <si>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</si>
  <si>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</si>
  <si>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</si>
  <si>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</si>
  <si>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</si>
  <si>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</si>
  <si>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</si>
  <si>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</si>
  <si>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</si>
  <si>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</si>
  <si>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</si>
  <si>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</si>
  <si>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</si>
  <si>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</si>
  <si>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</si>
  <si>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</si>
  <si>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</si>
  <si>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</si>
  <si>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</si>
  <si>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</si>
  <si>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</si>
  <si>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</si>
  <si>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</si>
  <si>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</si>
  <si>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</si>
  <si>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</si>
  <si>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</si>
  <si>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</si>
  <si>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</si>
  <si>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</si>
  <si>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</si>
  <si>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</si>
  <si>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</si>
  <si>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</si>
  <si>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</si>
  <si>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</si>
  <si>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</si>
  <si>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</si>
  <si>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</si>
  <si>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</si>
  <si>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</si>
  <si>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</si>
  <si>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</si>
  <si>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</si>
  <si>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</si>
  <si>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</si>
  <si>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</si>
  <si>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</si>
  <si>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</si>
  <si>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</si>
  <si>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</si>
  <si>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</si>
  <si>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</si>
  <si>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</si>
  <si>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</si>
  <si>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</si>
  <si>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</si>
  <si>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</si>
  <si>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</si>
  <si>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</si>
  <si>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</si>
  <si>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</si>
  <si>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</si>
  <si>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</si>
  <si>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</si>
  <si>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</si>
  <si>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</si>
  <si>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</si>
  <si>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</si>
  <si>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</si>
  <si>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</si>
  <si>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</si>
  <si>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</si>
  <si>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</si>
  <si>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</si>
  <si>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</si>
  <si>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</si>
  <si>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</si>
  <si>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</si>
  <si>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</si>
  <si>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</si>
  <si>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</si>
  <si>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</si>
  <si>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</si>
  <si>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</si>
  <si>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</si>
  <si>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</si>
  <si>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</si>
  <si>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</si>
  <si>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</si>
  <si>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</si>
  <si>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</si>
  <si>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</si>
  <si>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</si>
  <si>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</si>
  <si>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</si>
  <si>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</si>
  <si>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</si>
  <si>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</si>
  <si>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</si>
  <si>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</si>
  <si>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</si>
  <si>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</si>
  <si>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</si>
  <si>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</si>
  <si>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</si>
  <si>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</si>
  <si>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</si>
  <si>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</si>
  <si>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</si>
  <si>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</si>
  <si>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</si>
  <si>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</si>
  <si>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</si>
  <si>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</si>
  <si>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</si>
  <si>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</si>
  <si>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</si>
  <si>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</si>
  <si>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</si>
  <si>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</si>
  <si>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</si>
  <si>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</si>
  <si>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</si>
  <si>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</si>
  <si>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</si>
  <si>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</si>
  <si>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</si>
  <si>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</si>
  <si>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</si>
  <si>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</si>
  <si>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</si>
  <si>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</si>
  <si>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</si>
  <si>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</si>
  <si>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</si>
  <si>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</si>
  <si>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</si>
  <si>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</si>
  <si>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</si>
  <si>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</si>
  <si>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</si>
  <si>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</si>
  <si>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</si>
  <si>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</si>
  <si>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</si>
  <si>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</si>
  <si>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</si>
  <si>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</si>
  <si>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</si>
  <si>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</si>
  <si>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</si>
  <si>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</si>
  <si>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</si>
  <si>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</si>
  <si>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</si>
  <si>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</si>
  <si>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</si>
  <si>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</si>
  <si>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</si>
  <si>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</si>
  <si>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</si>
  <si>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</si>
  <si>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</si>
  <si>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</si>
  <si>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</si>
  <si>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</si>
  <si>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</si>
  <si>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</si>
  <si>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</si>
  <si>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</si>
  <si>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</si>
  <si>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</si>
  <si>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</si>
  <si>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</si>
  <si>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</si>
  <si>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</si>
  <si>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</si>
  <si>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</si>
  <si>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</si>
  <si>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</si>
  <si>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</si>
  <si>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</si>
  <si>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</si>
  <si>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</si>
  <si>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</si>
  <si>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</si>
  <si>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</si>
  <si>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</si>
  <si>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</si>
  <si>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</si>
  <si>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</si>
  <si>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</si>
  <si>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</si>
  <si>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</si>
  <si>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</si>
  <si>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</si>
  <si>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</si>
  <si>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</si>
  <si>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</si>
  <si>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</si>
  <si>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</si>
  <si>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</si>
  <si>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</si>
  <si>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</si>
  <si>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</si>
  <si>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</si>
  <si>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</si>
  <si>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</si>
  <si>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</si>
  <si>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</si>
  <si>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</si>
  <si>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</si>
  <si>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</si>
  <si>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</si>
  <si>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</si>
  <si>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</si>
  <si>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</si>
  <si>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</si>
  <si>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</si>
  <si>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</si>
  <si>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</si>
  <si>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</si>
  <si>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</si>
  <si>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</si>
  <si>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</si>
  <si>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</si>
  <si>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</si>
  <si>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</si>
  <si>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</si>
  <si>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</si>
  <si>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</si>
  <si>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</si>
  <si>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</si>
  <si>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</si>
  <si>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</si>
  <si>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</si>
  <si>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</si>
  <si>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</si>
  <si>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</si>
  <si>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</si>
  <si>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</si>
  <si>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</si>
  <si>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</si>
  <si>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</si>
  <si>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</si>
  <si>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</si>
  <si>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</si>
  <si>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</si>
  <si>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</si>
  <si>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</si>
  <si>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</si>
  <si>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</si>
  <si>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</si>
  <si>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</si>
  <si>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</si>
  <si>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</si>
  <si>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</si>
  <si>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</si>
  <si>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</si>
  <si>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</si>
  <si>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</si>
  <si>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</si>
  <si>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</si>
  <si>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</si>
  <si>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</si>
  <si>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</si>
  <si>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</si>
  <si>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</si>
  <si>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</si>
  <si>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</si>
  <si>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</si>
  <si>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</si>
  <si>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</si>
  <si>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</si>
  <si>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</si>
  <si>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</si>
  <si>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</si>
  <si>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</si>
  <si>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</si>
  <si>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</si>
  <si>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</si>
  <si>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</si>
  <si>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</si>
  <si>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</si>
  <si>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</si>
  <si>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</si>
  <si>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</si>
  <si>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</si>
  <si>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</si>
  <si>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</si>
  <si>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</si>
  <si>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</si>
  <si>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</si>
  <si>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</si>
  <si>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</si>
  <si>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</si>
  <si>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</si>
  <si>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</si>
  <si>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</si>
  <si>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</si>
  <si>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</si>
  <si>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</si>
  <si>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</si>
  <si>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</si>
  <si>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</si>
  <si>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</si>
  <si>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</si>
  <si>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</si>
  <si>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</si>
  <si>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</si>
  <si>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</si>
  <si>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</si>
  <si>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</si>
  <si>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</si>
  <si>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</si>
  <si>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</si>
  <si>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</si>
  <si>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</si>
  <si>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</si>
  <si>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</si>
  <si>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</si>
  <si>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</si>
  <si>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</si>
  <si>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</si>
  <si>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</si>
  <si>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</si>
  <si>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</si>
  <si>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</si>
  <si>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</si>
  <si>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</si>
  <si>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</si>
  <si>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</si>
  <si>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</si>
  <si>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</si>
  <si>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</si>
  <si>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</si>
  <si>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</si>
  <si>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</si>
  <si>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</si>
  <si>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</si>
  <si>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</si>
  <si>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</si>
  <si>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</si>
  <si>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</si>
  <si>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</si>
  <si>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</si>
  <si>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</si>
  <si>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</si>
  <si>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</si>
  <si>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</si>
  <si>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</si>
  <si>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</si>
  <si>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</si>
  <si>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</si>
  <si>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</si>
  <si>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</si>
  <si>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</si>
  <si>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</si>
  <si>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</si>
  <si>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</si>
  <si>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</si>
  <si>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</si>
  <si>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</si>
  <si>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</si>
  <si>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</si>
  <si>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</si>
  <si>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</si>
  <si>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</si>
  <si>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</si>
  <si>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</si>
  <si>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</si>
  <si>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</si>
  <si>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</si>
  <si>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</si>
  <si>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</si>
  <si>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</si>
  <si>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</si>
  <si>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</si>
  <si>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</si>
  <si>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</si>
  <si>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</si>
  <si>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</si>
  <si>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</si>
  <si>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</si>
  <si>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</si>
  <si>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</si>
  <si>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</si>
  <si>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</si>
  <si>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</si>
  <si>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</si>
  <si>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</si>
  <si>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</si>
  <si>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</si>
  <si>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</si>
  <si>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</si>
  <si>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</si>
  <si>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</si>
  <si>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</si>
  <si>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</si>
  <si>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</si>
  <si>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</si>
  <si>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</si>
  <si>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</si>
  <si>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</si>
  <si>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</si>
  <si>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</si>
  <si>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</si>
  <si>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</si>
  <si>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</si>
  <si>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</si>
  <si>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</si>
  <si>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</si>
  <si>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</si>
  <si>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</si>
  <si>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</si>
  <si>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</si>
  <si>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</si>
  <si>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</si>
  <si>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</si>
  <si>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</si>
  <si>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</si>
  <si>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</si>
  <si>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</si>
  <si>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</si>
  <si>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</si>
  <si>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</si>
  <si>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</si>
  <si>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</si>
  <si>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</si>
  <si>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</si>
  <si>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</si>
  <si>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</si>
  <si>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</si>
  <si>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</si>
  <si>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</si>
  <si>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</si>
  <si>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</si>
  <si>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</si>
  <si>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</si>
  <si>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</si>
  <si>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</si>
  <si>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</si>
  <si>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</si>
  <si>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</si>
  <si>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</si>
  <si>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</si>
  <si>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</si>
  <si>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</si>
  <si>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</si>
  <si>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</si>
  <si>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</si>
  <si>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</si>
  <si>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</si>
  <si>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</si>
  <si>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</si>
  <si>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</si>
  <si>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</si>
  <si>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</si>
  <si>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</si>
  <si>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</si>
  <si>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</si>
  <si>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</si>
  <si>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</si>
  <si>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</si>
  <si>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</si>
  <si>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</si>
  <si>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</si>
  <si>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</si>
  <si>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</si>
  <si>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</si>
  <si>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</si>
  <si>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</si>
  <si>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</si>
  <si>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</si>
  <si>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</si>
  <si>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</si>
  <si>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</si>
  <si>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</si>
  <si>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</si>
  <si>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</si>
  <si>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</si>
  <si>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</si>
  <si>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</si>
  <si>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</si>
  <si>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</si>
  <si>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</si>
  <si>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</si>
  <si>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</si>
  <si>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</si>
  <si>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</si>
  <si>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</si>
  <si>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</si>
  <si>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</si>
  <si>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</si>
  <si>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</si>
  <si>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</si>
  <si>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</si>
  <si>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</si>
  <si>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</si>
  <si>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</si>
  <si>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</si>
  <si>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</si>
  <si>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</si>
  <si>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</si>
  <si>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</si>
  <si>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</si>
  <si>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</si>
  <si>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</si>
  <si>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</si>
  <si>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</si>
  <si>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</si>
  <si>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</si>
  <si>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</si>
  <si>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</si>
  <si>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</si>
  <si>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</si>
  <si>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</si>
  <si>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</si>
  <si>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</si>
  <si>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</si>
  <si>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</si>
  <si>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</si>
  <si>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</si>
  <si>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</si>
  <si>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</si>
  <si>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</si>
  <si>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</si>
  <si>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</si>
  <si>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</si>
  <si>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</si>
  <si>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</si>
  <si>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</si>
  <si>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</si>
  <si>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</si>
  <si>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</si>
  <si>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</si>
  <si>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</si>
  <si>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</si>
  <si>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</si>
  <si>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</si>
  <si>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</si>
  <si>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</si>
  <si>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</si>
  <si>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</si>
  <si>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</si>
  <si>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</si>
  <si>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</si>
  <si>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</si>
  <si>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</si>
  <si>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</si>
  <si>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</si>
  <si>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</si>
  <si>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</si>
  <si>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</si>
  <si>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</si>
  <si>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</si>
  <si>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</si>
  <si>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</si>
  <si>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</si>
  <si>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</si>
  <si>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</si>
  <si>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</si>
  <si>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</si>
  <si>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</si>
  <si>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</si>
  <si>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</si>
  <si>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</si>
  <si>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</si>
  <si>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</si>
  <si>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</si>
  <si>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</si>
  <si>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</si>
  <si>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</si>
  <si>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</si>
  <si>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</si>
  <si>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</si>
  <si>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</si>
  <si>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</si>
  <si>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</si>
  <si>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</si>
  <si>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</si>
  <si>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</si>
  <si>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</si>
  <si>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</si>
  <si>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</si>
  <si>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</si>
  <si>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</si>
  <si>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</si>
  <si>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</si>
  <si>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</si>
  <si>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</si>
  <si>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</si>
  <si>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</si>
  <si>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</si>
  <si>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</si>
  <si>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</si>
  <si>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</si>
  <si>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</si>
  <si>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</si>
  <si>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</si>
  <si>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</si>
  <si>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</si>
  <si>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</si>
  <si>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</si>
  <si>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</si>
  <si>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</si>
  <si>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</si>
  <si>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</si>
  <si>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</si>
  <si>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</si>
  <si>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</si>
  <si>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</si>
  <si>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</si>
  <si>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</si>
  <si>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</si>
  <si>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</si>
  <si>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</si>
  <si>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</si>
  <si>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</si>
  <si>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</si>
  <si>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</si>
  <si>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</si>
  <si>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</si>
  <si>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</si>
  <si>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</si>
  <si>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</si>
  <si>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</si>
  <si>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</si>
  <si>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</si>
  <si>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</si>
  <si>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</si>
  <si>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</si>
  <si>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</si>
  <si>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</si>
  <si>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</si>
  <si>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</si>
  <si>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</si>
  <si>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</si>
  <si>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</si>
  <si>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</si>
  <si>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</si>
  <si>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</si>
  <si>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</si>
  <si>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</si>
  <si>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</si>
  <si>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</si>
  <si>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</si>
  <si>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</si>
  <si>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</si>
  <si>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</si>
  <si>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</si>
  <si>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</si>
  <si>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</si>
  <si>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</si>
  <si>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</si>
  <si>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</si>
  <si>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</si>
  <si>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</si>
  <si>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</si>
  <si>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</si>
  <si>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</si>
  <si>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</si>
  <si>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</si>
  <si>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</si>
  <si>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</si>
  <si>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</si>
  <si>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</si>
  <si>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</si>
  <si>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</si>
  <si>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</si>
  <si>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</si>
  <si>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</si>
  <si>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</si>
  <si>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</si>
  <si>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</si>
  <si>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</si>
  <si>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</si>
  <si>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</si>
  <si>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</si>
  <si>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</si>
  <si>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</si>
  <si>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</si>
  <si>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</si>
  <si>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</si>
  <si>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</si>
  <si>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</si>
  <si>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</si>
  <si>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</si>
  <si>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</si>
  <si>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</si>
  <si>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</si>
  <si>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</si>
  <si>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</si>
  <si>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</si>
  <si>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</si>
  <si>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</si>
  <si>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</si>
  <si>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</si>
  <si>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</si>
  <si>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</si>
  <si>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</si>
  <si>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</si>
  <si>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</si>
  <si>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</si>
  <si>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</si>
  <si>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</si>
  <si>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</si>
  <si>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</si>
  <si>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</si>
  <si>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</si>
  <si>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</si>
  <si>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</si>
  <si>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</si>
  <si>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</si>
  <si>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</si>
  <si>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</si>
  <si>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</si>
  <si>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</si>
  <si>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</si>
  <si>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</si>
  <si>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</si>
  <si>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</si>
  <si>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</si>
  <si>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</si>
  <si>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</si>
  <si>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</si>
  <si>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</si>
  <si>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</si>
  <si>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</si>
  <si>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</si>
  <si>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</si>
  <si>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</si>
  <si>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</si>
  <si>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</si>
  <si>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</si>
  <si>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</si>
  <si>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</si>
  <si>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</si>
  <si>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</si>
  <si>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</si>
  <si>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</si>
  <si>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</si>
  <si>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</si>
  <si>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</si>
  <si>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</si>
  <si>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</si>
  <si>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</si>
  <si>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</si>
  <si>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</si>
  <si>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</si>
  <si>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</si>
  <si>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</si>
  <si>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</si>
  <si>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</si>
  <si>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</si>
  <si>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</si>
  <si>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</si>
  <si>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</si>
  <si>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</si>
  <si>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</si>
  <si>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</si>
  <si>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</si>
  <si>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</si>
  <si>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</si>
  <si>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</si>
  <si>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</si>
  <si>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</si>
  <si>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</si>
  <si>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</si>
  <si>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P000000472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</si>
  <si>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</si>
  <si>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</si>
  <si>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</si>
  <si>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</si>
  <si>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</si>
  <si>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</si>
  <si>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</si>
  <si>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</si>
  <si>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</si>
  <si>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</si>
  <si>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</si>
  <si>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</si>
  <si>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</si>
  <si>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</si>
  <si>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</si>
  <si>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</si>
  <si>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</si>
  <si>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</si>
  <si>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</si>
  <si>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</si>
  <si>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</si>
  <si>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</si>
  <si>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</si>
  <si>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</si>
  <si>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</si>
  <si>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</si>
  <si>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</si>
  <si>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</si>
  <si>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</si>
  <si>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</si>
  <si>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</si>
  <si>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</si>
  <si>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</si>
  <si>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</si>
  <si>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</si>
  <si>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</si>
  <si>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</si>
  <si>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</si>
  <si>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</si>
  <si>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</si>
  <si>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</si>
  <si>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</si>
  <si>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</si>
  <si>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</si>
  <si>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</si>
  <si>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</si>
  <si>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</si>
  <si>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</si>
  <si>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</si>
  <si>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</si>
  <si>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</si>
  <si>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</si>
  <si>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</si>
  <si>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</si>
  <si>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</si>
  <si>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</si>
  <si>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</si>
  <si>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</si>
  <si>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</si>
  <si>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</si>
  <si>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</si>
  <si>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</si>
  <si>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</si>
  <si>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</si>
  <si>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</si>
  <si>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</si>
  <si>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</si>
  <si>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</si>
  <si>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</si>
  <si>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</si>
  <si>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</si>
  <si>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</si>
  <si>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</si>
  <si>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</si>
  <si>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</si>
  <si>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</si>
  <si>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</si>
  <si>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</si>
  <si>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</si>
  <si>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</si>
  <si>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</si>
  <si>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</si>
  <si>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</si>
  <si>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</si>
  <si>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</si>
  <si>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</si>
  <si>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</si>
  <si>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</si>
  <si>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</si>
  <si>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</si>
  <si>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</si>
  <si>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</si>
  <si>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</si>
  <si>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</si>
  <si>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</si>
  <si>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</si>
  <si>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</si>
  <si>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</si>
  <si>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</si>
  <si>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</si>
  <si>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</si>
  <si>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</si>
  <si>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</si>
  <si>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</si>
  <si>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</si>
  <si>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</si>
  <si>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</si>
  <si>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</si>
  <si>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</si>
  <si>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</si>
  <si>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</si>
  <si>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</si>
  <si>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</si>
  <si>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</si>
  <si>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</si>
  <si>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</si>
  <si>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</si>
  <si>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</si>
  <si>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</si>
  <si>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</si>
  <si>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</si>
  <si>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</si>
  <si>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</si>
  <si>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</si>
  <si>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</si>
  <si>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</si>
  <si>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</si>
  <si>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</si>
  <si>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</si>
  <si>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</si>
  <si>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</si>
  <si>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</si>
  <si>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</si>
  <si>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</si>
  <si>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</si>
  <si>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</si>
  <si>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</si>
  <si>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</si>
  <si>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</si>
  <si>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</si>
  <si>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</si>
  <si>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</si>
  <si>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</si>
  <si>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</si>
  <si>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</si>
  <si>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</si>
  <si>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</si>
  <si>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</si>
  <si>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</si>
  <si>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</si>
  <si>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</si>
  <si>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</si>
  <si>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</si>
  <si>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</si>
  <si>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</si>
  <si>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</si>
  <si>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</si>
  <si>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</si>
  <si>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</si>
  <si>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</si>
  <si>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</si>
  <si>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</si>
  <si>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</si>
  <si>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</si>
  <si>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</si>
  <si>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</si>
  <si>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</si>
  <si>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</si>
  <si>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</si>
  <si>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</si>
  <si>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</si>
  <si>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</si>
  <si>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</si>
  <si>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</si>
  <si>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</si>
  <si>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</si>
  <si>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</si>
  <si>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</si>
  <si>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</si>
  <si>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</si>
  <si>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</si>
  <si>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</si>
  <si>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</si>
  <si>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</si>
  <si>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</si>
  <si>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</si>
  <si>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</si>
  <si>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</si>
  <si>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</si>
  <si>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</si>
  <si>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</si>
  <si>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</si>
  <si>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</si>
  <si>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</si>
  <si>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</si>
  <si>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</si>
  <si>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</si>
  <si>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</si>
  <si>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</si>
  <si>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</si>
  <si>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</si>
  <si>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</si>
  <si>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</si>
  <si>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</si>
  <si>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</si>
  <si>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</si>
  <si>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</si>
  <si>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</si>
  <si>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</si>
  <si>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</si>
  <si>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</si>
  <si>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</si>
  <si>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</si>
  <si>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</si>
  <si>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</si>
  <si>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</si>
  <si>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</si>
  <si>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</si>
  <si>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</si>
  <si>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</si>
  <si>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</si>
  <si>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</si>
  <si>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</si>
  <si>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</si>
  <si>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</si>
  <si>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</si>
  <si>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</si>
  <si>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</si>
  <si>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</si>
  <si>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</si>
  <si>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</si>
  <si>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</si>
  <si>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</si>
  <si>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</si>
  <si>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</si>
  <si>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</si>
  <si>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</si>
  <si>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</si>
  <si>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</si>
  <si>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</si>
  <si>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</si>
  <si>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</si>
  <si>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</si>
  <si>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</si>
  <si>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</si>
  <si>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</si>
  <si>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</si>
  <si>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</si>
  <si>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</si>
  <si>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</si>
  <si>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</si>
  <si>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</si>
  <si>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</si>
  <si>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</si>
  <si>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</si>
  <si>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</si>
  <si>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</si>
  <si>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</si>
  <si>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</si>
  <si>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CEMERAL_70001058600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</si>
  <si>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</si>
  <si>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</si>
  <si>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</si>
  <si>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</si>
  <si>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</si>
  <si>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</si>
  <si>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</si>
  <si>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</si>
  <si>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</si>
  <si>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</si>
  <si>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</si>
  <si>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</si>
  <si>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</si>
  <si>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DFLTPGCOH_001524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</si>
  <si>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</si>
  <si>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</si>
  <si>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</si>
  <si>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</si>
  <si>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</si>
  <si>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</si>
  <si>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</si>
  <si>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</si>
  <si>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</si>
  <si>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</si>
  <si>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</si>
  <si>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</si>
  <si>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</si>
  <si>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</si>
  <si>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</si>
  <si>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</si>
  <si>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</si>
  <si>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</si>
  <si>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</si>
  <si>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</si>
  <si>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</si>
  <si>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</si>
  <si>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G000000395</t>
  </si>
  <si>
    <t>FR7700650</t>
  </si>
  <si>
    <t>CITR_1000$$$1022ITX</t>
  </si>
  <si>
    <t>DFLTGCOH_BF-C8_001022</t>
  </si>
  <si>
    <t>FR7701239</t>
  </si>
  <si>
    <t>new</t>
  </si>
  <si>
    <t>FR7702114</t>
  </si>
  <si>
    <t>GNMI000720</t>
  </si>
  <si>
    <t>CLFF_1000$$$DE10620801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</si>
</sst>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46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72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08.858962962964" createdVersion="7" refreshedVersion="7" minRefreshableVersion="3" recordCount="4130" xr:uid="{11839AE3-6158-4318-87AD-2C711D0BF451}">
  <cacheSource type="worksheet">
    <worksheetSource name="Proc"/>
  </cacheSource>
  <cacheFields count="19">
    <cacheField name="App" numFmtId="0">
      <sharedItems containsBlank="1" count="1543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09-09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86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30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86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61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61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61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61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61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61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61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61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61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61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61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57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54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54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54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54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54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54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54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54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54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54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54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54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54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54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54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54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54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54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54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54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54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54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54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54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54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54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54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54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54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54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54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54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54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54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54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54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54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54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54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54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54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53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53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53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52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52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52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52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52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51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51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49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49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48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45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45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45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45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45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45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45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45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45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45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45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45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45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45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45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45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45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45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45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45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45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44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44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44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44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44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39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39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39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34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34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34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34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34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34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34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34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34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34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34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34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34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34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34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34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34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34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30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30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30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25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24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24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24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24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24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24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24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24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24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24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24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24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10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10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09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09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09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99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84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84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84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84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84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84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84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84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84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84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84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84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84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84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84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84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84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84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84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84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81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81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81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81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80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80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79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79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79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79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79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79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79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79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79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79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79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79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79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79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79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79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79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79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75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75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75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75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75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69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69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64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64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59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59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59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59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59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59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59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59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59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59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59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59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59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59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59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59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59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59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59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59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59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59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59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59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59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59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59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59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59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59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59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59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59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59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59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59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59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59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59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59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59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59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59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59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59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59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59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59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59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56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56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56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56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57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54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54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49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49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49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49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49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49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49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49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49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49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49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47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47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47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47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47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47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47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47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47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47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47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47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47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47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47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47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47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47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47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47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47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47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47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47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47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45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45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45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45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45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45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45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45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45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45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44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44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44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43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43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43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43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43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43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42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42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40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39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39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39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38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38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38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36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36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36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36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36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36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36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33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33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33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33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33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33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33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33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33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33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33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33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33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33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33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33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33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33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33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33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33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33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33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33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33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33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33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33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33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32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32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30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30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30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30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30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30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30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30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30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30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28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28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28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28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28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28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28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28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27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27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27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27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27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27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27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27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27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27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27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27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27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27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27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27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27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25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24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24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24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24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24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24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24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24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24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24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24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24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24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24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24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24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24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24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24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24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24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24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24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24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24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24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24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24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24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24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24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24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24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24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24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24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24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24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24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24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24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24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24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24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24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24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24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24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24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24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24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24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24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24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24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24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24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24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24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24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24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24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24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24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24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24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24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24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24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24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24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24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24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24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24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24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24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24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24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24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24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24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24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24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24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24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24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24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24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24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24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24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24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24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24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24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24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24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24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24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24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24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24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24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24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24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24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24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24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24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24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24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24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24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24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24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24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24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24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24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24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24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24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24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24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24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24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24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24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24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21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21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21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21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21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21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21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21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21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21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21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21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21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21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21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21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21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21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21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21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21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21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21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21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21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21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21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21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21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21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21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21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21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21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21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21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21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21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21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21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21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21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21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20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20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9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9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9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9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9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9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9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8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8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8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7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7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7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7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7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7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7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7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7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7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7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7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7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7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7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7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7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7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7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7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7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7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7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7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7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7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7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7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7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7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7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7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7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7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7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7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7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6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6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6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6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6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6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6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6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6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6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6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6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6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6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6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6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6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6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6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5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5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5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5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15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5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15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15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15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15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15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5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15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15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15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5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15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5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4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14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4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4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4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4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4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4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14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14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4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14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11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11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11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11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11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11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11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11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11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11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11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11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11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11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11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11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11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11"/>
    <s v="Ruby Grace Garcia"/>
    <m/>
  </r>
  <r>
    <x v="342"/>
    <x v="1"/>
    <x v="8"/>
    <s v="CLFF_VMCA$$$DE10TM4000"/>
    <s v="P000001331"/>
    <s v="P000000472"/>
    <s v="LFF (MDG-F)"/>
    <s v="DE10TM4000"/>
    <s v="No REAL"/>
    <b v="0"/>
    <x v="1"/>
    <x v="3"/>
    <d v="2025-08-22T00:00:00"/>
    <m/>
    <m/>
    <x v="1"/>
    <n v="11"/>
    <s v="Lawrence Olsheski"/>
    <m/>
  </r>
  <r>
    <x v="342"/>
    <x v="1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11"/>
    <s v="Lawrence Olsheski"/>
    <m/>
  </r>
  <r>
    <x v="342"/>
    <x v="1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11"/>
    <s v="Lawrence Olsheski"/>
    <m/>
  </r>
  <r>
    <x v="342"/>
    <x v="1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11"/>
    <s v="Lawrence Olsheski"/>
    <m/>
  </r>
  <r>
    <x v="342"/>
    <x v="1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11"/>
    <s v="Lawrence Olsheski"/>
    <m/>
  </r>
  <r>
    <x v="342"/>
    <x v="1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11"/>
    <s v="Lawrence Olsheski"/>
    <m/>
  </r>
  <r>
    <x v="342"/>
    <x v="1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11"/>
    <s v="Lawrence Olsheski"/>
    <m/>
  </r>
  <r>
    <x v="342"/>
    <x v="1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11"/>
    <s v="Lawrence Olsheski"/>
    <m/>
  </r>
  <r>
    <x v="342"/>
    <x v="1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11"/>
    <s v="Lawrence Olsheski"/>
    <m/>
  </r>
  <r>
    <x v="342"/>
    <x v="1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11"/>
    <s v="Lawrence Olsheski"/>
    <m/>
  </r>
  <r>
    <x v="342"/>
    <x v="1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11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10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10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10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10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9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9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9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9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9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9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9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9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9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9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9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9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9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9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9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9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9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9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9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9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9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9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9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9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9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9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9"/>
    <s v="Rayneil Reas"/>
    <m/>
  </r>
  <r>
    <x v="349"/>
    <x v="1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9"/>
    <s v="Robert Coman"/>
    <m/>
  </r>
  <r>
    <x v="349"/>
    <x v="1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9"/>
    <s v="Robert Coman"/>
    <m/>
  </r>
  <r>
    <x v="349"/>
    <x v="1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9"/>
    <s v="Robert Coman"/>
    <m/>
  </r>
  <r>
    <x v="349"/>
    <x v="1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9"/>
    <s v="Robert Coman"/>
    <m/>
  </r>
  <r>
    <x v="349"/>
    <x v="1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9"/>
    <s v="Robert Coman"/>
    <m/>
  </r>
  <r>
    <x v="349"/>
    <x v="1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9"/>
    <s v="Robert Coman"/>
    <m/>
  </r>
  <r>
    <x v="349"/>
    <x v="1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9"/>
    <s v="Robert Coman"/>
    <m/>
  </r>
  <r>
    <x v="349"/>
    <x v="1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9"/>
    <s v="Robert Coman"/>
    <m/>
  </r>
  <r>
    <x v="349"/>
    <x v="1"/>
    <x v="5"/>
    <s v="CLFF_1000$$$JP01C0M825"/>
    <s v="GNMI000051"/>
    <s v="P000000742"/>
    <s v="LFF (MDG-F)"/>
    <s v="JP01C0M825"/>
    <m/>
    <b v="0"/>
    <x v="3"/>
    <x v="3"/>
    <d v="2025-08-26T00:00:00"/>
    <m/>
    <m/>
    <x v="1"/>
    <n v="9"/>
    <s v="Robert Coman"/>
    <m/>
  </r>
  <r>
    <x v="349"/>
    <x v="1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9"/>
    <s v="Robert Coman"/>
    <m/>
  </r>
  <r>
    <x v="349"/>
    <x v="1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9"/>
    <s v="Robert Coman"/>
    <m/>
  </r>
  <r>
    <x v="349"/>
    <x v="1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9"/>
    <s v="Robert Coman"/>
    <m/>
  </r>
  <r>
    <x v="349"/>
    <x v="1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9"/>
    <s v="Robert Coman"/>
    <m/>
  </r>
  <r>
    <x v="349"/>
    <x v="1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9"/>
    <s v="Robert Coman"/>
    <m/>
  </r>
  <r>
    <x v="349"/>
    <x v="1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9"/>
    <s v="Robert Coman"/>
    <m/>
  </r>
  <r>
    <x v="349"/>
    <x v="1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9"/>
    <s v="Robert Coman"/>
    <m/>
  </r>
  <r>
    <x v="349"/>
    <x v="1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9"/>
    <s v="Robert Coman"/>
    <m/>
  </r>
  <r>
    <x v="349"/>
    <x v="1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9"/>
    <s v="Robert Coman"/>
    <m/>
  </r>
  <r>
    <x v="349"/>
    <x v="1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9"/>
    <s v="Robert Coman"/>
    <m/>
  </r>
  <r>
    <x v="349"/>
    <x v="1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9"/>
    <s v="Robert Coman"/>
    <m/>
  </r>
  <r>
    <x v="349"/>
    <x v="1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9"/>
    <s v="Robert Coman"/>
    <m/>
  </r>
  <r>
    <x v="349"/>
    <x v="1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9"/>
    <s v="Robert Coman"/>
    <m/>
  </r>
  <r>
    <x v="349"/>
    <x v="1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9"/>
    <s v="Robert Coman"/>
    <m/>
  </r>
  <r>
    <x v="349"/>
    <x v="1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9"/>
    <s v="Robert Coman"/>
    <m/>
  </r>
  <r>
    <x v="349"/>
    <x v="1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9"/>
    <s v="Robert Coman"/>
    <m/>
  </r>
  <r>
    <x v="349"/>
    <x v="1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9"/>
    <s v="Robert Coman"/>
    <m/>
  </r>
  <r>
    <x v="349"/>
    <x v="1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9"/>
    <s v="Robert Coman"/>
    <m/>
  </r>
  <r>
    <x v="349"/>
    <x v="1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9"/>
    <s v="Robert Coman"/>
    <m/>
  </r>
  <r>
    <x v="349"/>
    <x v="1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9"/>
    <s v="Robert Coman"/>
    <m/>
  </r>
  <r>
    <x v="349"/>
    <x v="1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9"/>
    <s v="Robert Coman"/>
    <m/>
  </r>
  <r>
    <x v="349"/>
    <x v="1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9"/>
    <s v="Robert Coman"/>
    <m/>
  </r>
  <r>
    <x v="349"/>
    <x v="1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9"/>
    <s v="Robert Coman"/>
    <m/>
  </r>
  <r>
    <x v="349"/>
    <x v="1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9"/>
    <s v="Robert Coman"/>
    <m/>
  </r>
  <r>
    <x v="349"/>
    <x v="1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9"/>
    <s v="Robert Coman"/>
    <m/>
  </r>
  <r>
    <x v="349"/>
    <x v="1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9"/>
    <s v="Robert Coman"/>
    <m/>
  </r>
  <r>
    <x v="349"/>
    <x v="1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9"/>
    <s v="Robert Coman"/>
    <m/>
  </r>
  <r>
    <x v="349"/>
    <x v="1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9"/>
    <s v="Robert Coman"/>
    <m/>
  </r>
  <r>
    <x v="349"/>
    <x v="1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9"/>
    <s v="Robert Coman"/>
    <m/>
  </r>
  <r>
    <x v="349"/>
    <x v="1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9"/>
    <s v="Robert Coman"/>
    <m/>
  </r>
  <r>
    <x v="349"/>
    <x v="1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9"/>
    <s v="Robert Coman"/>
    <m/>
  </r>
  <r>
    <x v="349"/>
    <x v="1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9"/>
    <s v="Robert Coman"/>
    <m/>
  </r>
  <r>
    <x v="349"/>
    <x v="1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9"/>
    <s v="Robert Coman"/>
    <m/>
  </r>
  <r>
    <x v="349"/>
    <x v="1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9"/>
    <s v="Robert Coman"/>
    <m/>
  </r>
  <r>
    <x v="349"/>
    <x v="1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9"/>
    <s v="Robert Coman"/>
    <m/>
  </r>
  <r>
    <x v="349"/>
    <x v="1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9"/>
    <s v="Robert Coman"/>
    <m/>
  </r>
  <r>
    <x v="349"/>
    <x v="1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9"/>
    <s v="Robert Coman"/>
    <m/>
  </r>
  <r>
    <x v="349"/>
    <x v="1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9"/>
    <s v="Robert Coman"/>
    <m/>
  </r>
  <r>
    <x v="349"/>
    <x v="1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9"/>
    <s v="Robert Coman"/>
    <m/>
  </r>
  <r>
    <x v="349"/>
    <x v="1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9"/>
    <s v="Robert Coman"/>
    <m/>
  </r>
  <r>
    <x v="349"/>
    <x v="1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9"/>
    <s v="Robert Coman"/>
    <m/>
  </r>
  <r>
    <x v="349"/>
    <x v="1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9"/>
    <s v="Robert Coman"/>
    <m/>
  </r>
  <r>
    <x v="349"/>
    <x v="1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9"/>
    <s v="Robert Coman"/>
    <m/>
  </r>
  <r>
    <x v="349"/>
    <x v="1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9"/>
    <s v="Robert Coman"/>
    <m/>
  </r>
  <r>
    <x v="349"/>
    <x v="1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9"/>
    <s v="Robert Coman"/>
    <m/>
  </r>
  <r>
    <x v="349"/>
    <x v="1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9"/>
    <s v="Robert Coman"/>
    <m/>
  </r>
  <r>
    <x v="349"/>
    <x v="1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9"/>
    <s v="Robert Coman"/>
    <m/>
  </r>
  <r>
    <x v="349"/>
    <x v="1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9"/>
    <s v="Robert Coman"/>
    <m/>
  </r>
  <r>
    <x v="349"/>
    <x v="1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9"/>
    <s v="Robert Coman"/>
    <m/>
  </r>
  <r>
    <x v="349"/>
    <x v="1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9"/>
    <s v="Robert Coman"/>
    <m/>
  </r>
  <r>
    <x v="349"/>
    <x v="1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9"/>
    <s v="Robert Coman"/>
    <m/>
  </r>
  <r>
    <x v="349"/>
    <x v="1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9"/>
    <s v="Robert Coman"/>
    <m/>
  </r>
  <r>
    <x v="349"/>
    <x v="1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9"/>
    <s v="Robert Coman"/>
    <m/>
  </r>
  <r>
    <x v="349"/>
    <x v="1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9"/>
    <s v="Robert Coman"/>
    <m/>
  </r>
  <r>
    <x v="349"/>
    <x v="1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9"/>
    <s v="Robert Coman"/>
    <m/>
  </r>
  <r>
    <x v="349"/>
    <x v="1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9"/>
    <s v="Robert Coman"/>
    <m/>
  </r>
  <r>
    <x v="349"/>
    <x v="1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9"/>
    <s v="Robert Coman"/>
    <m/>
  </r>
  <r>
    <x v="349"/>
    <x v="1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9"/>
    <s v="Robert Coman"/>
    <m/>
  </r>
  <r>
    <x v="349"/>
    <x v="1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9"/>
    <s v="Robert Coman"/>
    <m/>
  </r>
  <r>
    <x v="349"/>
    <x v="1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9"/>
    <s v="Robert Coman"/>
    <m/>
  </r>
  <r>
    <x v="349"/>
    <x v="1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9"/>
    <s v="Robert Coman"/>
    <m/>
  </r>
  <r>
    <x v="349"/>
    <x v="1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9"/>
    <s v="Robert Coman"/>
    <m/>
  </r>
  <r>
    <x v="349"/>
    <x v="1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9"/>
    <s v="Robert Coman"/>
    <m/>
  </r>
  <r>
    <x v="349"/>
    <x v="1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9"/>
    <s v="Robert Coman"/>
    <m/>
  </r>
  <r>
    <x v="349"/>
    <x v="1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9"/>
    <s v="Robert Coman"/>
    <m/>
  </r>
  <r>
    <x v="349"/>
    <x v="1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9"/>
    <s v="Robert Coman"/>
    <m/>
  </r>
  <r>
    <x v="349"/>
    <x v="1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9"/>
    <s v="Robert Coman"/>
    <m/>
  </r>
  <r>
    <x v="349"/>
    <x v="1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9"/>
    <s v="Robert Coman"/>
    <m/>
  </r>
  <r>
    <x v="349"/>
    <x v="1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9"/>
    <s v="Robert Coman"/>
    <m/>
  </r>
  <r>
    <x v="349"/>
    <x v="1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9"/>
    <s v="Robert Coman"/>
    <m/>
  </r>
  <r>
    <x v="349"/>
    <x v="1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9"/>
    <s v="Robert Coman"/>
    <m/>
  </r>
  <r>
    <x v="349"/>
    <x v="1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9"/>
    <s v="Robert Coman"/>
    <m/>
  </r>
  <r>
    <x v="349"/>
    <x v="1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9"/>
    <s v="Robert Coman"/>
    <m/>
  </r>
  <r>
    <x v="349"/>
    <x v="1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9"/>
    <s v="Robert Coman"/>
    <m/>
  </r>
  <r>
    <x v="349"/>
    <x v="1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9"/>
    <s v="Robert Coman"/>
    <m/>
  </r>
  <r>
    <x v="349"/>
    <x v="1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9"/>
    <s v="Robert Coman"/>
    <m/>
  </r>
  <r>
    <x v="349"/>
    <x v="1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9"/>
    <s v="Robert Coman"/>
    <m/>
  </r>
  <r>
    <x v="349"/>
    <x v="1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9"/>
    <s v="Robert Coman"/>
    <m/>
  </r>
  <r>
    <x v="349"/>
    <x v="1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9"/>
    <s v="Robert Coman"/>
    <m/>
  </r>
  <r>
    <x v="349"/>
    <x v="1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9"/>
    <s v="Robert Coman"/>
    <m/>
  </r>
  <r>
    <x v="349"/>
    <x v="1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9"/>
    <s v="Robert Coman"/>
    <m/>
  </r>
  <r>
    <x v="349"/>
    <x v="1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9"/>
    <s v="Robert Coman"/>
    <m/>
  </r>
  <r>
    <x v="349"/>
    <x v="1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9"/>
    <s v="Robert Coman"/>
    <m/>
  </r>
  <r>
    <x v="349"/>
    <x v="1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9"/>
    <s v="Robert Coman"/>
    <m/>
  </r>
  <r>
    <x v="349"/>
    <x v="1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9"/>
    <s v="Robert Coman"/>
    <m/>
  </r>
  <r>
    <x v="349"/>
    <x v="1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9"/>
    <s v="Robert Coman"/>
    <m/>
  </r>
  <r>
    <x v="349"/>
    <x v="1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9"/>
    <s v="Robert Coman"/>
    <m/>
  </r>
  <r>
    <x v="349"/>
    <x v="1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9"/>
    <s v="Robert Coman"/>
    <m/>
  </r>
  <r>
    <x v="349"/>
    <x v="1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9"/>
    <s v="Robert Coman"/>
    <m/>
  </r>
  <r>
    <x v="349"/>
    <x v="1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9"/>
    <s v="Robert Coman"/>
    <m/>
  </r>
  <r>
    <x v="349"/>
    <x v="1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9"/>
    <s v="Robert Coman"/>
    <m/>
  </r>
  <r>
    <x v="349"/>
    <x v="1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9"/>
    <s v="Robert Coman"/>
    <m/>
  </r>
  <r>
    <x v="349"/>
    <x v="1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9"/>
    <s v="Robert Coman"/>
    <m/>
  </r>
  <r>
    <x v="349"/>
    <x v="1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9"/>
    <s v="Robert Coman"/>
    <m/>
  </r>
  <r>
    <x v="349"/>
    <x v="1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9"/>
    <s v="Robert Coman"/>
    <m/>
  </r>
  <r>
    <x v="349"/>
    <x v="1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9"/>
    <s v="Robert Coman"/>
    <m/>
  </r>
  <r>
    <x v="349"/>
    <x v="1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9"/>
    <s v="Robert Coman"/>
    <m/>
  </r>
  <r>
    <x v="349"/>
    <x v="1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9"/>
    <s v="Robert Coman"/>
    <m/>
  </r>
  <r>
    <x v="349"/>
    <x v="1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9"/>
    <s v="Robert Coman"/>
    <m/>
  </r>
  <r>
    <x v="349"/>
    <x v="1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9"/>
    <s v="Robert Coman"/>
    <m/>
  </r>
  <r>
    <x v="349"/>
    <x v="1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9"/>
    <s v="Robert Coman"/>
    <m/>
  </r>
  <r>
    <x v="349"/>
    <x v="1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9"/>
    <s v="Robert Coman"/>
    <m/>
  </r>
  <r>
    <x v="349"/>
    <x v="1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9"/>
    <s v="Robert Coman"/>
    <m/>
  </r>
  <r>
    <x v="349"/>
    <x v="1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9"/>
    <s v="Robert Coman"/>
    <m/>
  </r>
  <r>
    <x v="349"/>
    <x v="1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9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7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7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7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7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7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7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7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7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7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7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7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7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7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7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7"/>
    <s v="Jojeff Tagnong"/>
    <m/>
  </r>
  <r>
    <x v="353"/>
    <x v="1"/>
    <x v="5"/>
    <s v="CLFF_1000$$$JP01C0M825"/>
    <s v="GNMI000051"/>
    <s v="P000000742"/>
    <s v="LFF (MDG-F)"/>
    <s v="JP01C0M825"/>
    <m/>
    <b v="0"/>
    <x v="3"/>
    <x v="3"/>
    <d v="2025-08-28T00:00:00"/>
    <m/>
    <m/>
    <x v="1"/>
    <n v="7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6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0"/>
    <n v="5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0"/>
    <n v="5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0"/>
    <n v="5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0"/>
    <n v="5"/>
    <s v="Jay-R Lizardo"/>
    <m/>
  </r>
  <r>
    <x v="356"/>
    <x v="1"/>
    <x v="5"/>
    <s v="CLFF_1000$$$DE65GIT032"/>
    <s v="G000000256"/>
    <s v="DFLTPGCOH_BF-C2_001242"/>
    <s v="LFF (MDG-F)"/>
    <s v="DE65GIT032"/>
    <m/>
    <b v="0"/>
    <x v="0"/>
    <x v="3"/>
    <d v="2025-09-01T00:00:00"/>
    <m/>
    <m/>
    <x v="0"/>
    <n v="5"/>
    <s v="Jay-R Lizardo"/>
    <m/>
  </r>
  <r>
    <x v="356"/>
    <x v="1"/>
    <x v="5"/>
    <s v="CLFF_1000$$$SG09GBT020"/>
    <s v="G000000279"/>
    <s v="Trash"/>
    <s v="LFF (MDG-F)"/>
    <s v="SG09GBT020"/>
    <m/>
    <b v="0"/>
    <x v="0"/>
    <x v="3"/>
    <d v="2025-09-01T00:00:00"/>
    <m/>
    <m/>
    <x v="0"/>
    <n v="5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0"/>
    <n v="5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0"/>
    <n v="5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0"/>
    <n v="5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0"/>
    <n v="5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0"/>
    <n v="5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0"/>
    <n v="5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0"/>
    <n v="5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0"/>
    <n v="5"/>
    <s v="Jay-R Lizardo"/>
    <m/>
  </r>
  <r>
    <x v="356"/>
    <x v="1"/>
    <x v="5"/>
    <s v="CLFF_7210$$$2128GIT020"/>
    <s v="G000000279"/>
    <s v="Trash"/>
    <s v="LFF (MDG-F)"/>
    <s v="2128GIT020"/>
    <m/>
    <b v="0"/>
    <x v="0"/>
    <x v="3"/>
    <d v="2025-09-01T00:00:00"/>
    <m/>
    <m/>
    <x v="0"/>
    <n v="5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0"/>
    <n v="5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0"/>
    <n v="5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0"/>
    <n v="5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0"/>
    <n v="4"/>
    <s v="Joan Rose Pena"/>
    <m/>
  </r>
  <r>
    <x v="358"/>
    <x v="1"/>
    <x v="2"/>
    <s v="CLFF_1000$$$JP01C0M121"/>
    <s v="P000000667"/>
    <s v="P000000667"/>
    <s v="LFF (MDG-F)"/>
    <s v="JP01C0M121"/>
    <m/>
    <b v="1"/>
    <x v="3"/>
    <x v="3"/>
    <d v="2025-09-02T00:00:00"/>
    <m/>
    <m/>
    <x v="0"/>
    <n v="4"/>
    <s v="Robert Coman"/>
    <m/>
  </r>
  <r>
    <x v="358"/>
    <x v="1"/>
    <x v="2"/>
    <s v="CLFF_1000$$$JP01TQOZ04"/>
    <s v="P000000601"/>
    <s v="P000000601"/>
    <s v="LFF (MDG-F)"/>
    <s v="JP01TQOZ04"/>
    <m/>
    <b v="1"/>
    <x v="3"/>
    <x v="3"/>
    <d v="2025-09-02T00:00:00"/>
    <m/>
    <m/>
    <x v="0"/>
    <n v="4"/>
    <s v="Robert Coman"/>
    <m/>
  </r>
  <r>
    <x v="358"/>
    <x v="1"/>
    <x v="2"/>
    <s v="CLFF_1000$$$JP01C0O921"/>
    <s v="P000000616"/>
    <s v="P000000616"/>
    <s v="LFF (MDG-F)"/>
    <s v="JP01C0O921"/>
    <m/>
    <b v="1"/>
    <x v="3"/>
    <x v="3"/>
    <d v="2025-09-02T00:00:00"/>
    <m/>
    <m/>
    <x v="0"/>
    <n v="4"/>
    <s v="Robert Coman"/>
    <m/>
  </r>
  <r>
    <x v="358"/>
    <x v="1"/>
    <x v="2"/>
    <s v="CLFF_1000$$$JP01R0O721"/>
    <s v="P000000616"/>
    <s v="P000000616"/>
    <s v="LFF (MDG-F)"/>
    <s v="JP01R0O721"/>
    <m/>
    <b v="1"/>
    <x v="3"/>
    <x v="3"/>
    <d v="2025-09-02T00:00:00"/>
    <m/>
    <m/>
    <x v="0"/>
    <n v="4"/>
    <s v="Robert Coman"/>
    <m/>
  </r>
  <r>
    <x v="358"/>
    <x v="1"/>
    <x v="2"/>
    <s v="CLFF_1000$$$JP01C0M621"/>
    <s v="P000000610"/>
    <s v="P000000610"/>
    <s v="LFF (MDG-F)"/>
    <s v="JP01C0M621"/>
    <m/>
    <b v="1"/>
    <x v="3"/>
    <x v="3"/>
    <d v="2025-09-02T00:00:00"/>
    <m/>
    <m/>
    <x v="0"/>
    <n v="4"/>
    <s v="Robert Coman"/>
    <m/>
  </r>
  <r>
    <x v="358"/>
    <x v="1"/>
    <x v="2"/>
    <s v="CLFF_1000$$$JP01C0M600"/>
    <s v="P000000609"/>
    <s v="P000000609"/>
    <s v="LFF (MDG-F)"/>
    <s v="JP01C0M600"/>
    <m/>
    <b v="1"/>
    <x v="3"/>
    <x v="3"/>
    <d v="2025-09-02T00:00:00"/>
    <m/>
    <m/>
    <x v="0"/>
    <n v="4"/>
    <s v="Robert Coman"/>
    <m/>
  </r>
  <r>
    <x v="358"/>
    <x v="1"/>
    <x v="5"/>
    <s v="CLFF_1000$$$JP01GM8002"/>
    <s v="G000000218"/>
    <s v="GNMI000090"/>
    <s v="LFF (MDG-F)"/>
    <s v="JP01GM8002"/>
    <m/>
    <b v="0"/>
    <x v="3"/>
    <x v="3"/>
    <d v="2025-09-02T00:00:00"/>
    <m/>
    <m/>
    <x v="0"/>
    <n v="4"/>
    <s v="Robert Coman"/>
    <m/>
  </r>
  <r>
    <x v="358"/>
    <x v="1"/>
    <x v="2"/>
    <s v="CLFF_1000$$$JP01GFO301"/>
    <s v="G000000635"/>
    <s v="G000000635"/>
    <s v="LFF (MDG-F)"/>
    <s v="JP01GFO301"/>
    <m/>
    <b v="1"/>
    <x v="3"/>
    <x v="3"/>
    <d v="2025-09-02T00:00:00"/>
    <m/>
    <m/>
    <x v="0"/>
    <n v="4"/>
    <s v="Robert Coman"/>
    <m/>
  </r>
  <r>
    <x v="358"/>
    <x v="1"/>
    <x v="2"/>
    <s v="CLFF_1000$$$JP01GLE301"/>
    <s v="G000000093"/>
    <s v="G000000093"/>
    <s v="LFF (MDG-F)"/>
    <s v="JP01GLE301"/>
    <m/>
    <b v="1"/>
    <x v="3"/>
    <x v="3"/>
    <d v="2025-09-02T00:00:00"/>
    <m/>
    <m/>
    <x v="0"/>
    <n v="4"/>
    <s v="Robert Coman"/>
    <m/>
  </r>
  <r>
    <x v="358"/>
    <x v="1"/>
    <x v="2"/>
    <s v="CLFF_1000$$$JP01GCM301"/>
    <s v="P000000756"/>
    <s v="P000000756"/>
    <s v="LFF (MDG-F)"/>
    <s v="JP01GCM301"/>
    <m/>
    <b v="1"/>
    <x v="3"/>
    <x v="3"/>
    <d v="2025-09-02T00:00:00"/>
    <m/>
    <m/>
    <x v="0"/>
    <n v="4"/>
    <s v="Robert Coman"/>
    <m/>
  </r>
  <r>
    <x v="358"/>
    <x v="1"/>
    <x v="2"/>
    <s v="CLFF_1000$$$JP01GCO301"/>
    <s v="P000000751"/>
    <s v="P000000751"/>
    <s v="LFF (MDG-F)"/>
    <s v="JP01GCO301"/>
    <m/>
    <b v="1"/>
    <x v="3"/>
    <x v="3"/>
    <d v="2025-09-02T00:00:00"/>
    <m/>
    <m/>
    <x v="0"/>
    <n v="4"/>
    <s v="Robert Coman"/>
    <m/>
  </r>
  <r>
    <x v="358"/>
    <x v="1"/>
    <x v="2"/>
    <s v="CLFF_1000$$$JP01L5M302"/>
    <s v="P000000421"/>
    <s v="P000000421"/>
    <s v="LFF (MDG-F)"/>
    <s v="JP01L5M302"/>
    <m/>
    <b v="1"/>
    <x v="3"/>
    <x v="3"/>
    <d v="2025-09-02T00:00:00"/>
    <m/>
    <m/>
    <x v="0"/>
    <n v="4"/>
    <s v="Robert Coman"/>
    <m/>
  </r>
  <r>
    <x v="358"/>
    <x v="1"/>
    <x v="2"/>
    <s v="CLFF_1000$$$JP01GM4001"/>
    <s v="G000000635"/>
    <s v="G000000635"/>
    <s v="LFF (MDG-F)"/>
    <s v="JP01GM4001"/>
    <m/>
    <b v="1"/>
    <x v="3"/>
    <x v="3"/>
    <d v="2025-09-02T00:00:00"/>
    <m/>
    <m/>
    <x v="0"/>
    <n v="4"/>
    <s v="Robert Coman"/>
    <m/>
  </r>
  <r>
    <x v="358"/>
    <x v="1"/>
    <x v="5"/>
    <s v="CLFF_1000$$$JP01GM4002"/>
    <s v="G000000199"/>
    <s v="GNMI000090"/>
    <s v="LFF (MDG-F)"/>
    <s v="JP01GM4002"/>
    <m/>
    <b v="0"/>
    <x v="3"/>
    <x v="3"/>
    <d v="2025-09-02T00:00:00"/>
    <m/>
    <m/>
    <x v="0"/>
    <n v="4"/>
    <s v="Robert Coman"/>
    <m/>
  </r>
  <r>
    <x v="358"/>
    <x v="1"/>
    <x v="2"/>
    <s v="CLFF_1000$$$JP01L4M302"/>
    <s v="P000000420"/>
    <s v="P000000420"/>
    <s v="LFF (MDG-F)"/>
    <s v="JP01L4M302"/>
    <m/>
    <b v="1"/>
    <x v="3"/>
    <x v="3"/>
    <d v="2025-09-02T00:00:00"/>
    <m/>
    <m/>
    <x v="0"/>
    <n v="4"/>
    <s v="Robert Coman"/>
    <m/>
  </r>
  <r>
    <x v="358"/>
    <x v="1"/>
    <x v="2"/>
    <s v="CLFF_1000$$$JP01O05001"/>
    <s v="O000000005"/>
    <s v="O000000005"/>
    <s v="LFF (MDG-F)"/>
    <s v="JP01O05001"/>
    <m/>
    <b v="1"/>
    <x v="3"/>
    <x v="3"/>
    <d v="2025-09-02T00:00:00"/>
    <m/>
    <m/>
    <x v="0"/>
    <n v="4"/>
    <s v="Robert Coman"/>
    <m/>
  </r>
  <r>
    <x v="358"/>
    <x v="1"/>
    <x v="2"/>
    <s v="CLFF_1000$$$JP01L7M303"/>
    <s v="P000000424"/>
    <s v="P000000424"/>
    <s v="LFF (MDG-F)"/>
    <s v="JP01L7M303"/>
    <m/>
    <b v="1"/>
    <x v="3"/>
    <x v="3"/>
    <d v="2025-09-02T00:00:00"/>
    <m/>
    <m/>
    <x v="0"/>
    <n v="4"/>
    <s v="Robert Coman"/>
    <m/>
  </r>
  <r>
    <x v="358"/>
    <x v="1"/>
    <x v="2"/>
    <s v="CLFF_1000$$$JP01TPOZ01"/>
    <s v="P000000601"/>
    <s v="P000000601"/>
    <s v="LFF (MDG-F)"/>
    <s v="JP01TPOZ01"/>
    <m/>
    <b v="1"/>
    <x v="3"/>
    <x v="3"/>
    <d v="2025-09-02T00:00:00"/>
    <m/>
    <m/>
    <x v="0"/>
    <n v="4"/>
    <s v="Robert Coman"/>
    <m/>
  </r>
  <r>
    <x v="358"/>
    <x v="1"/>
    <x v="2"/>
    <s v="CLFF_1000$$$JP01TQOZ03"/>
    <s v="P000000601"/>
    <s v="P000000601"/>
    <s v="LFF (MDG-F)"/>
    <s v="JP01TQOZ03"/>
    <m/>
    <b v="1"/>
    <x v="3"/>
    <x v="3"/>
    <d v="2025-09-02T00:00:00"/>
    <m/>
    <m/>
    <x v="0"/>
    <n v="4"/>
    <s v="Robert Coman"/>
    <m/>
  </r>
  <r>
    <x v="358"/>
    <x v="1"/>
    <x v="2"/>
    <s v="CLFF_1000$$$JP01C0M825"/>
    <s v="P000000742"/>
    <s v="P000000742"/>
    <s v="LFF (MDG-F)"/>
    <s v="JP01C0M825"/>
    <m/>
    <b v="1"/>
    <x v="3"/>
    <x v="3"/>
    <d v="2025-09-02T00:00:00"/>
    <m/>
    <m/>
    <x v="0"/>
    <n v="4"/>
    <s v="Robert Coman"/>
    <m/>
  </r>
  <r>
    <x v="358"/>
    <x v="1"/>
    <x v="2"/>
    <s v="CLFF_1000$$$JP01TFOZ01"/>
    <s v="P000000175"/>
    <s v="P000000175"/>
    <s v="LFF (MDG-F)"/>
    <s v="JP01TFOZ01"/>
    <m/>
    <b v="1"/>
    <x v="3"/>
    <x v="3"/>
    <d v="2025-09-02T00:00:00"/>
    <m/>
    <m/>
    <x v="0"/>
    <n v="4"/>
    <s v="Robert Coman"/>
    <m/>
  </r>
  <r>
    <x v="358"/>
    <x v="1"/>
    <x v="2"/>
    <s v="CLFF_1000$$$JP01TFOZ02"/>
    <s v="P000000175"/>
    <s v="P000000175"/>
    <s v="LFF (MDG-F)"/>
    <s v="JP01TFOZ02"/>
    <m/>
    <b v="1"/>
    <x v="3"/>
    <x v="3"/>
    <d v="2025-09-02T00:00:00"/>
    <m/>
    <m/>
    <x v="0"/>
    <n v="4"/>
    <s v="Robert Coman"/>
    <m/>
  </r>
  <r>
    <x v="358"/>
    <x v="1"/>
    <x v="2"/>
    <s v="CLFF_1000$$$JP01TFOZ03"/>
    <s v="P000000175"/>
    <s v="P000000175"/>
    <s v="LFF (MDG-F)"/>
    <s v="JP01TFOZ03"/>
    <m/>
    <b v="1"/>
    <x v="3"/>
    <x v="3"/>
    <d v="2025-09-02T00:00:00"/>
    <m/>
    <m/>
    <x v="0"/>
    <n v="4"/>
    <s v="Robert Coman"/>
    <m/>
  </r>
  <r>
    <x v="358"/>
    <x v="1"/>
    <x v="2"/>
    <s v="CLFF_1000$$$JP01Z03725"/>
    <s v="P000001206"/>
    <s v="P000001206"/>
    <s v="LFF (MDG-F)"/>
    <s v="JP01Z03725"/>
    <m/>
    <b v="1"/>
    <x v="3"/>
    <x v="3"/>
    <d v="2025-09-02T00:00:00"/>
    <m/>
    <m/>
    <x v="0"/>
    <n v="4"/>
    <s v="Robert Coman"/>
    <m/>
  </r>
  <r>
    <x v="358"/>
    <x v="1"/>
    <x v="2"/>
    <s v="CLFF_1000$$$JP01Z03104"/>
    <s v="P000001201"/>
    <s v="P000001201"/>
    <s v="LFF (MDG-F)"/>
    <s v="JP01Z03104"/>
    <m/>
    <b v="1"/>
    <x v="3"/>
    <x v="3"/>
    <d v="2025-09-02T00:00:00"/>
    <m/>
    <m/>
    <x v="0"/>
    <n v="4"/>
    <s v="Robert Coman"/>
    <m/>
  </r>
  <r>
    <x v="358"/>
    <x v="1"/>
    <x v="2"/>
    <s v="CLFF_1000$$$JP01Z03105"/>
    <s v="P000001270"/>
    <s v="P000001270"/>
    <s v="LFF (MDG-F)"/>
    <s v="JP01Z03105"/>
    <m/>
    <b v="1"/>
    <x v="3"/>
    <x v="3"/>
    <d v="2025-09-02T00:00:00"/>
    <m/>
    <m/>
    <x v="0"/>
    <n v="4"/>
    <s v="Robert Coman"/>
    <m/>
  </r>
  <r>
    <x v="358"/>
    <x v="1"/>
    <x v="2"/>
    <s v="CLFF_1000$$$JP01C00020"/>
    <s v="P000000612"/>
    <s v="P000000612"/>
    <s v="LFF (MDG-F)"/>
    <s v="JP01C00020"/>
    <m/>
    <b v="1"/>
    <x v="3"/>
    <x v="3"/>
    <d v="2025-09-02T00:00:00"/>
    <m/>
    <m/>
    <x v="0"/>
    <n v="4"/>
    <s v="Robert Coman"/>
    <m/>
  </r>
  <r>
    <x v="358"/>
    <x v="1"/>
    <x v="2"/>
    <s v="CLFF_1000$$$JP01C00301"/>
    <s v="P000001050"/>
    <s v="P000001050"/>
    <s v="LFF (MDG-F)"/>
    <s v="JP01C00301"/>
    <m/>
    <b v="1"/>
    <x v="3"/>
    <x v="3"/>
    <d v="2025-09-02T00:00:00"/>
    <m/>
    <m/>
    <x v="0"/>
    <n v="4"/>
    <s v="Robert Coman"/>
    <m/>
  </r>
  <r>
    <x v="358"/>
    <x v="1"/>
    <x v="2"/>
    <s v="CLFF_1000$$$JP01C00401"/>
    <s v="P000001050"/>
    <s v="P000001050"/>
    <s v="LFF (MDG-F)"/>
    <s v="JP01C00401"/>
    <m/>
    <b v="1"/>
    <x v="3"/>
    <x v="3"/>
    <d v="2025-09-02T00:00:00"/>
    <m/>
    <m/>
    <x v="0"/>
    <n v="4"/>
    <s v="Robert Coman"/>
    <m/>
  </r>
  <r>
    <x v="358"/>
    <x v="1"/>
    <x v="2"/>
    <s v="CLFF_1000$$$JP01GMW080"/>
    <s v="G000001177"/>
    <s v="G000001177"/>
    <s v="LFF (MDG-F)"/>
    <s v="JP01GMW080"/>
    <m/>
    <b v="1"/>
    <x v="3"/>
    <x v="3"/>
    <d v="2025-09-02T00:00:00"/>
    <m/>
    <m/>
    <x v="0"/>
    <n v="4"/>
    <s v="Robert Coman"/>
    <m/>
  </r>
  <r>
    <x v="358"/>
    <x v="1"/>
    <x v="2"/>
    <s v="CLFF_1000$$$JP01O05000"/>
    <s v="O000000005"/>
    <s v="O000000005"/>
    <s v="LFF (MDG-F)"/>
    <s v="JP01O05000"/>
    <m/>
    <b v="1"/>
    <x v="3"/>
    <x v="3"/>
    <d v="2025-09-02T00:00:00"/>
    <m/>
    <m/>
    <x v="0"/>
    <n v="4"/>
    <s v="Robert Coman"/>
    <m/>
  </r>
  <r>
    <x v="358"/>
    <x v="1"/>
    <x v="2"/>
    <s v="CLFF_1000$$$JP01O05002"/>
    <s v="O000000005"/>
    <s v="O000000005"/>
    <s v="LFF (MDG-F)"/>
    <s v="JP01O05002"/>
    <m/>
    <b v="1"/>
    <x v="3"/>
    <x v="3"/>
    <d v="2025-09-02T00:00:00"/>
    <m/>
    <m/>
    <x v="0"/>
    <n v="4"/>
    <s v="Robert Coman"/>
    <m/>
  </r>
  <r>
    <x v="358"/>
    <x v="1"/>
    <x v="2"/>
    <s v="CLFF_1000$$$JP01O05003"/>
    <s v="O000000005"/>
    <s v="O000000005"/>
    <s v="LFF (MDG-F)"/>
    <s v="JP01O05003"/>
    <m/>
    <b v="1"/>
    <x v="3"/>
    <x v="3"/>
    <d v="2025-09-02T00:00:00"/>
    <m/>
    <m/>
    <x v="0"/>
    <n v="4"/>
    <s v="Robert Coman"/>
    <m/>
  </r>
  <r>
    <x v="358"/>
    <x v="1"/>
    <x v="2"/>
    <s v="CLFF_1000$$$JP01O05004"/>
    <s v="O000000005"/>
    <s v="O000000005"/>
    <s v="LFF (MDG-F)"/>
    <s v="JP01O05004"/>
    <m/>
    <b v="1"/>
    <x v="3"/>
    <x v="3"/>
    <d v="2025-09-02T00:00:00"/>
    <m/>
    <m/>
    <x v="0"/>
    <n v="4"/>
    <s v="Robert Coman"/>
    <m/>
  </r>
  <r>
    <x v="358"/>
    <x v="1"/>
    <x v="5"/>
    <s v="CLFF_1000$$$JP01Z01000"/>
    <s v="P000001045"/>
    <s v="GNMI000090"/>
    <s v="LFF (MDG-F)"/>
    <s v="JP01Z01000"/>
    <m/>
    <b v="0"/>
    <x v="3"/>
    <x v="3"/>
    <d v="2025-09-02T00:00:00"/>
    <m/>
    <m/>
    <x v="0"/>
    <n v="4"/>
    <s v="Robert Coman"/>
    <m/>
  </r>
  <r>
    <x v="358"/>
    <x v="1"/>
    <x v="2"/>
    <s v="CLFF_1000$$$JP01Z01IF9"/>
    <s v="O000000006"/>
    <s v="O000000006"/>
    <s v="LFF (MDG-F)"/>
    <s v="JP01Z01IF9"/>
    <m/>
    <b v="1"/>
    <x v="3"/>
    <x v="3"/>
    <d v="2025-09-02T00:00:00"/>
    <m/>
    <m/>
    <x v="0"/>
    <n v="4"/>
    <s v="Robert Coman"/>
    <m/>
  </r>
  <r>
    <x v="358"/>
    <x v="1"/>
    <x v="2"/>
    <s v="CLFF_1000$$$JP01Z02141"/>
    <s v="P000000556"/>
    <s v="P000000556"/>
    <s v="LFF (MDG-F)"/>
    <s v="JP01Z02141"/>
    <m/>
    <b v="1"/>
    <x v="3"/>
    <x v="3"/>
    <d v="2025-09-02T00:00:00"/>
    <m/>
    <m/>
    <x v="0"/>
    <n v="4"/>
    <s v="Robert Coman"/>
    <m/>
  </r>
  <r>
    <x v="358"/>
    <x v="1"/>
    <x v="2"/>
    <s v="CLFF_1000$$$JP01Z02171"/>
    <s v="P000001048"/>
    <s v="P000001048"/>
    <s v="LFF (MDG-F)"/>
    <s v="JP01Z02171"/>
    <m/>
    <b v="1"/>
    <x v="3"/>
    <x v="3"/>
    <d v="2025-09-02T00:00:00"/>
    <m/>
    <m/>
    <x v="0"/>
    <n v="4"/>
    <s v="Robert Coman"/>
    <m/>
  </r>
  <r>
    <x v="358"/>
    <x v="1"/>
    <x v="2"/>
    <s v="CLFF_1000$$$JP01Z02173"/>
    <s v="P000001048"/>
    <s v="P000001048"/>
    <s v="LFF (MDG-F)"/>
    <s v="JP01Z02173"/>
    <m/>
    <b v="1"/>
    <x v="3"/>
    <x v="3"/>
    <d v="2025-09-02T00:00:00"/>
    <m/>
    <m/>
    <x v="0"/>
    <n v="4"/>
    <s v="Robert Coman"/>
    <m/>
  </r>
  <r>
    <x v="358"/>
    <x v="1"/>
    <x v="2"/>
    <s v="CLFF_1000$$$JP01Z02174"/>
    <s v="P000001048"/>
    <s v="P000001048"/>
    <s v="LFF (MDG-F)"/>
    <s v="JP01Z02174"/>
    <m/>
    <b v="1"/>
    <x v="3"/>
    <x v="3"/>
    <d v="2025-09-02T00:00:00"/>
    <m/>
    <m/>
    <x v="0"/>
    <n v="4"/>
    <s v="Robert Coman"/>
    <m/>
  </r>
  <r>
    <x v="358"/>
    <x v="1"/>
    <x v="2"/>
    <s v="CLFF_1000$$$JP01Z02175"/>
    <s v="P000001048"/>
    <s v="P000001048"/>
    <s v="LFF (MDG-F)"/>
    <s v="JP01Z02175"/>
    <m/>
    <b v="1"/>
    <x v="3"/>
    <x v="3"/>
    <d v="2025-09-02T00:00:00"/>
    <m/>
    <m/>
    <x v="0"/>
    <n v="4"/>
    <s v="Robert Coman"/>
    <m/>
  </r>
  <r>
    <x v="358"/>
    <x v="1"/>
    <x v="2"/>
    <s v="CLFF_1000$$$JP01Z02183"/>
    <s v="G000000553"/>
    <s v="G000000553"/>
    <s v="LFF (MDG-F)"/>
    <s v="JP01Z02183"/>
    <m/>
    <b v="1"/>
    <x v="3"/>
    <x v="3"/>
    <d v="2025-09-02T00:00:00"/>
    <m/>
    <m/>
    <x v="0"/>
    <n v="4"/>
    <s v="Robert Coman"/>
    <m/>
  </r>
  <r>
    <x v="358"/>
    <x v="1"/>
    <x v="2"/>
    <s v="CLFF_1000$$$JP01Z03700"/>
    <s v="P000000041"/>
    <s v="P000000041"/>
    <s v="LFF (MDG-F)"/>
    <s v="JP01Z03700"/>
    <m/>
    <b v="1"/>
    <x v="3"/>
    <x v="3"/>
    <d v="2025-09-02T00:00:00"/>
    <m/>
    <m/>
    <x v="0"/>
    <n v="4"/>
    <s v="Robert Coman"/>
    <m/>
  </r>
  <r>
    <x v="358"/>
    <x v="1"/>
    <x v="2"/>
    <s v="CLFF_1000$$$JP01GPS302"/>
    <s v="G000000131"/>
    <s v="G000000131"/>
    <s v="LFF (MDG-F)"/>
    <s v="JP01GPS302"/>
    <m/>
    <b v="1"/>
    <x v="3"/>
    <x v="3"/>
    <d v="2025-09-02T00:00:00"/>
    <m/>
    <m/>
    <x v="0"/>
    <n v="4"/>
    <s v="Robert Coman"/>
    <m/>
  </r>
  <r>
    <x v="358"/>
    <x v="1"/>
    <x v="2"/>
    <s v="CLFF_1000$$$JP01GPO301"/>
    <s v="P000000755"/>
    <s v="P000000755"/>
    <s v="LFF (MDG-F)"/>
    <s v="JP01GPO301"/>
    <m/>
    <b v="1"/>
    <x v="3"/>
    <x v="3"/>
    <d v="2025-09-02T00:00:00"/>
    <m/>
    <m/>
    <x v="0"/>
    <n v="4"/>
    <s v="Robert Coman"/>
    <m/>
  </r>
  <r>
    <x v="358"/>
    <x v="1"/>
    <x v="2"/>
    <s v="CLFF_1000$$$JP01GPO302"/>
    <s v="G000000055"/>
    <s v="G000000055"/>
    <s v="LFF (MDG-F)"/>
    <s v="JP01GPO302"/>
    <m/>
    <b v="1"/>
    <x v="3"/>
    <x v="3"/>
    <d v="2025-09-02T00:00:00"/>
    <m/>
    <m/>
    <x v="0"/>
    <n v="4"/>
    <s v="Robert Coman"/>
    <m/>
  </r>
  <r>
    <x v="358"/>
    <x v="1"/>
    <x v="2"/>
    <s v="CLFF_1000$$$JP01GIT01B"/>
    <s v="G000000277"/>
    <s v="G000000277"/>
    <s v="LFF (MDG-F)"/>
    <s v="JP01GIT01B"/>
    <m/>
    <b v="1"/>
    <x v="3"/>
    <x v="3"/>
    <d v="2025-09-02T00:00:00"/>
    <m/>
    <m/>
    <x v="0"/>
    <n v="4"/>
    <s v="Robert Coman"/>
    <m/>
  </r>
  <r>
    <x v="358"/>
    <x v="1"/>
    <x v="2"/>
    <s v="CLFF_1000$$$JP01TAOZ02"/>
    <s v="P000000170"/>
    <s v="P000000170"/>
    <s v="LFF (MDG-F)"/>
    <s v="JP01TAOZ02"/>
    <m/>
    <b v="1"/>
    <x v="3"/>
    <x v="3"/>
    <d v="2025-09-02T00:00:00"/>
    <m/>
    <m/>
    <x v="0"/>
    <n v="4"/>
    <s v="Robert Coman"/>
    <m/>
  </r>
  <r>
    <x v="358"/>
    <x v="1"/>
    <x v="2"/>
    <s v="CLFF_1000$$$JP01TAOZ05"/>
    <s v="P000000170"/>
    <s v="P000000170"/>
    <s v="LFF (MDG-F)"/>
    <s v="JP01TAOZ05"/>
    <m/>
    <b v="1"/>
    <x v="3"/>
    <x v="3"/>
    <d v="2025-09-02T00:00:00"/>
    <m/>
    <m/>
    <x v="0"/>
    <n v="4"/>
    <s v="Robert Coman"/>
    <m/>
  </r>
  <r>
    <x v="358"/>
    <x v="1"/>
    <x v="2"/>
    <s v="CLFF_1000$$$JP01GHR303"/>
    <s v="P000000757"/>
    <s v="P000000757"/>
    <s v="LFF (MDG-F)"/>
    <s v="JP01GHR303"/>
    <m/>
    <b v="1"/>
    <x v="3"/>
    <x v="3"/>
    <d v="2025-09-02T00:00:00"/>
    <m/>
    <m/>
    <x v="0"/>
    <n v="4"/>
    <s v="Robert Coman"/>
    <m/>
  </r>
  <r>
    <x v="358"/>
    <x v="1"/>
    <x v="2"/>
    <s v="CLFF_1000$$$JP01Z03103"/>
    <s v="P000001271"/>
    <s v="P000001271"/>
    <s v="LFF (MDG-F)"/>
    <s v="JP01Z03103"/>
    <m/>
    <b v="1"/>
    <x v="3"/>
    <x v="3"/>
    <d v="2025-09-02T00:00:00"/>
    <m/>
    <m/>
    <x v="0"/>
    <n v="4"/>
    <s v="Robert Coman"/>
    <m/>
  </r>
  <r>
    <x v="358"/>
    <x v="1"/>
    <x v="2"/>
    <s v="CLFF_1000$$$JP01TAOC00"/>
    <s v="P000000170"/>
    <s v="P000000170"/>
    <s v="LFF (MDG-F)"/>
    <s v="JP01TAOC00"/>
    <m/>
    <b v="1"/>
    <x v="3"/>
    <x v="3"/>
    <d v="2025-09-02T00:00:00"/>
    <m/>
    <m/>
    <x v="0"/>
    <n v="4"/>
    <s v="Robert Coman"/>
    <m/>
  </r>
  <r>
    <x v="358"/>
    <x v="1"/>
    <x v="2"/>
    <s v="CLFF_1000$$$JP01TAOC01"/>
    <s v="P000000170"/>
    <s v="P000000170"/>
    <s v="LFF (MDG-F)"/>
    <s v="JP01TAOC01"/>
    <m/>
    <b v="1"/>
    <x v="3"/>
    <x v="3"/>
    <d v="2025-09-02T00:00:00"/>
    <m/>
    <m/>
    <x v="0"/>
    <n v="4"/>
    <s v="Robert Coman"/>
    <m/>
  </r>
  <r>
    <x v="358"/>
    <x v="1"/>
    <x v="2"/>
    <s v="CLFF_1000$$$JP01TAOC03"/>
    <s v="P000000170"/>
    <s v="P000000170"/>
    <s v="LFF (MDG-F)"/>
    <s v="JP01TAOC03"/>
    <m/>
    <b v="1"/>
    <x v="3"/>
    <x v="3"/>
    <d v="2025-09-02T00:00:00"/>
    <m/>
    <m/>
    <x v="0"/>
    <n v="4"/>
    <s v="Robert Coman"/>
    <m/>
  </r>
  <r>
    <x v="358"/>
    <x v="1"/>
    <x v="2"/>
    <s v="CLFF_1000$$$JP01TAOC99"/>
    <s v="P000000170"/>
    <s v="P000000170"/>
    <s v="LFF (MDG-F)"/>
    <s v="JP01TAOC99"/>
    <m/>
    <b v="1"/>
    <x v="3"/>
    <x v="3"/>
    <d v="2025-09-02T00:00:00"/>
    <m/>
    <m/>
    <x v="0"/>
    <n v="4"/>
    <s v="Robert Coman"/>
    <m/>
  </r>
  <r>
    <x v="358"/>
    <x v="1"/>
    <x v="2"/>
    <s v="CLFF_1000$$$JP01TAOD00"/>
    <s v="P000000170"/>
    <s v="P000000170"/>
    <s v="LFF (MDG-F)"/>
    <s v="JP01TAOD00"/>
    <m/>
    <b v="1"/>
    <x v="3"/>
    <x v="3"/>
    <d v="2025-09-02T00:00:00"/>
    <m/>
    <m/>
    <x v="0"/>
    <n v="4"/>
    <s v="Robert Coman"/>
    <m/>
  </r>
  <r>
    <x v="358"/>
    <x v="1"/>
    <x v="2"/>
    <s v="CLFF_1000$$$JP01TAOD01"/>
    <s v="P000000170"/>
    <s v="P000000170"/>
    <s v="LFF (MDG-F)"/>
    <s v="JP01TAOD01"/>
    <m/>
    <b v="1"/>
    <x v="3"/>
    <x v="3"/>
    <d v="2025-09-02T00:00:00"/>
    <m/>
    <m/>
    <x v="0"/>
    <n v="4"/>
    <s v="Robert Coman"/>
    <m/>
  </r>
  <r>
    <x v="358"/>
    <x v="1"/>
    <x v="2"/>
    <s v="CLFF_1000$$$JP01TAOD99"/>
    <s v="P000000170"/>
    <s v="P000000170"/>
    <s v="LFF (MDG-F)"/>
    <s v="JP01TAOD99"/>
    <m/>
    <b v="1"/>
    <x v="3"/>
    <x v="3"/>
    <d v="2025-09-02T00:00:00"/>
    <m/>
    <m/>
    <x v="0"/>
    <n v="4"/>
    <s v="Robert Coman"/>
    <m/>
  </r>
  <r>
    <x v="358"/>
    <x v="1"/>
    <x v="2"/>
    <s v="CLFF_1000$$$JP01TAOZ03"/>
    <s v="P000000170"/>
    <s v="P000000170"/>
    <s v="LFF (MDG-F)"/>
    <s v="JP01TAOZ03"/>
    <m/>
    <b v="1"/>
    <x v="3"/>
    <x v="3"/>
    <d v="2025-09-02T00:00:00"/>
    <m/>
    <m/>
    <x v="0"/>
    <n v="4"/>
    <s v="Robert Coman"/>
    <m/>
  </r>
  <r>
    <x v="358"/>
    <x v="1"/>
    <x v="2"/>
    <s v="CLFF_1000$$$JP01TDOZ01"/>
    <s v="P000000173"/>
    <s v="P000000173"/>
    <s v="LFF (MDG-F)"/>
    <s v="JP01TDOZ01"/>
    <m/>
    <b v="1"/>
    <x v="3"/>
    <x v="3"/>
    <d v="2025-09-02T00:00:00"/>
    <m/>
    <m/>
    <x v="0"/>
    <n v="4"/>
    <s v="Robert Coman"/>
    <m/>
  </r>
  <r>
    <x v="358"/>
    <x v="1"/>
    <x v="2"/>
    <s v="CLFF_1000$$$JP01TDOZ02"/>
    <s v="P000000173"/>
    <s v="P000000173"/>
    <s v="LFF (MDG-F)"/>
    <s v="JP01TDOZ02"/>
    <m/>
    <b v="1"/>
    <x v="3"/>
    <x v="3"/>
    <d v="2025-09-02T00:00:00"/>
    <m/>
    <m/>
    <x v="0"/>
    <n v="4"/>
    <s v="Robert Coman"/>
    <m/>
  </r>
  <r>
    <x v="358"/>
    <x v="1"/>
    <x v="2"/>
    <s v="CLFF_1000$$$JP01TDOZ03"/>
    <s v="P000000173"/>
    <s v="P000000173"/>
    <s v="LFF (MDG-F)"/>
    <s v="JP01TDOZ03"/>
    <m/>
    <b v="1"/>
    <x v="3"/>
    <x v="3"/>
    <d v="2025-09-02T00:00:00"/>
    <m/>
    <m/>
    <x v="0"/>
    <n v="4"/>
    <s v="Robert Coman"/>
    <m/>
  </r>
  <r>
    <x v="358"/>
    <x v="1"/>
    <x v="2"/>
    <s v="CLFF_1000$$$JP01TDOZ04"/>
    <s v="P000000173"/>
    <s v="P000000173"/>
    <s v="LFF (MDG-F)"/>
    <s v="JP01TDOZ04"/>
    <m/>
    <b v="1"/>
    <x v="3"/>
    <x v="3"/>
    <d v="2025-09-02T00:00:00"/>
    <m/>
    <m/>
    <x v="0"/>
    <n v="4"/>
    <s v="Robert Coman"/>
    <m/>
  </r>
  <r>
    <x v="358"/>
    <x v="1"/>
    <x v="2"/>
    <s v="CLFF_1000$$$JP01TDOZ05"/>
    <s v="P000000173"/>
    <s v="P000000173"/>
    <s v="LFF (MDG-F)"/>
    <s v="JP01TDOZ05"/>
    <m/>
    <b v="1"/>
    <x v="3"/>
    <x v="3"/>
    <d v="2025-09-02T00:00:00"/>
    <m/>
    <m/>
    <x v="0"/>
    <n v="4"/>
    <s v="Robert Coman"/>
    <m/>
  </r>
  <r>
    <x v="358"/>
    <x v="1"/>
    <x v="2"/>
    <s v="CLFF_1000$$$JP01TDOZ06"/>
    <s v="P000000173"/>
    <s v="P000000173"/>
    <s v="LFF (MDG-F)"/>
    <s v="JP01TDOZ06"/>
    <m/>
    <b v="1"/>
    <x v="3"/>
    <x v="3"/>
    <d v="2025-09-02T00:00:00"/>
    <m/>
    <m/>
    <x v="0"/>
    <n v="4"/>
    <s v="Robert Coman"/>
    <m/>
  </r>
  <r>
    <x v="358"/>
    <x v="1"/>
    <x v="2"/>
    <s v="CLFF_1000$$$JP01TEOZ01"/>
    <s v="P000000174"/>
    <s v="P000000174"/>
    <s v="LFF (MDG-F)"/>
    <s v="JP01TEOZ01"/>
    <m/>
    <b v="1"/>
    <x v="3"/>
    <x v="3"/>
    <d v="2025-09-02T00:00:00"/>
    <m/>
    <m/>
    <x v="0"/>
    <n v="4"/>
    <s v="Robert Coman"/>
    <m/>
  </r>
  <r>
    <x v="358"/>
    <x v="1"/>
    <x v="2"/>
    <s v="CLFF_1000$$$JP01TAOB00"/>
    <s v="P000000170"/>
    <s v="P000000170"/>
    <s v="LFF (MDG-F)"/>
    <s v="JP01TAOB00"/>
    <m/>
    <b v="1"/>
    <x v="3"/>
    <x v="3"/>
    <d v="2025-09-02T00:00:00"/>
    <m/>
    <m/>
    <x v="0"/>
    <n v="4"/>
    <s v="Robert Coman"/>
    <m/>
  </r>
  <r>
    <x v="358"/>
    <x v="1"/>
    <x v="2"/>
    <s v="CLFF_1000$$$JP01TAOB01"/>
    <s v="P000000170"/>
    <s v="P000000170"/>
    <s v="LFF (MDG-F)"/>
    <s v="JP01TAOB01"/>
    <m/>
    <b v="1"/>
    <x v="3"/>
    <x v="3"/>
    <d v="2025-09-02T00:00:00"/>
    <m/>
    <m/>
    <x v="0"/>
    <n v="4"/>
    <s v="Robert Coman"/>
    <m/>
  </r>
  <r>
    <x v="358"/>
    <x v="1"/>
    <x v="2"/>
    <s v="CLFF_1000$$$JP01TAOB02"/>
    <s v="P000000170"/>
    <s v="P000000170"/>
    <s v="LFF (MDG-F)"/>
    <s v="JP01TAOB02"/>
    <m/>
    <b v="1"/>
    <x v="3"/>
    <x v="3"/>
    <d v="2025-09-02T00:00:00"/>
    <m/>
    <m/>
    <x v="0"/>
    <n v="4"/>
    <s v="Robert Coman"/>
    <m/>
  </r>
  <r>
    <x v="358"/>
    <x v="1"/>
    <x v="2"/>
    <s v="CLFF_1000$$$JP01TAOB99"/>
    <s v="P000000170"/>
    <s v="P000000170"/>
    <s v="LFF (MDG-F)"/>
    <s v="JP01TAOB99"/>
    <m/>
    <b v="1"/>
    <x v="3"/>
    <x v="3"/>
    <d v="2025-09-02T00:00:00"/>
    <m/>
    <m/>
    <x v="0"/>
    <n v="4"/>
    <s v="Robert Coman"/>
    <m/>
  </r>
  <r>
    <x v="358"/>
    <x v="1"/>
    <x v="2"/>
    <s v="CLFF_1000$$$JP01TAOC02"/>
    <s v="P000000170"/>
    <s v="P000000170"/>
    <s v="LFF (MDG-F)"/>
    <s v="JP01TAOC02"/>
    <m/>
    <b v="1"/>
    <x v="3"/>
    <x v="3"/>
    <d v="2025-09-02T00:00:00"/>
    <m/>
    <m/>
    <x v="0"/>
    <n v="4"/>
    <s v="Robert Coman"/>
    <m/>
  </r>
  <r>
    <x v="358"/>
    <x v="1"/>
    <x v="2"/>
    <s v="CLFF_1000$$$JP01TAOE00"/>
    <s v="P000000170"/>
    <s v="P000000170"/>
    <s v="LFF (MDG-F)"/>
    <s v="JP01TAOE00"/>
    <m/>
    <b v="1"/>
    <x v="3"/>
    <x v="3"/>
    <d v="2025-09-02T00:00:00"/>
    <m/>
    <m/>
    <x v="0"/>
    <n v="4"/>
    <s v="Robert Coman"/>
    <m/>
  </r>
  <r>
    <x v="358"/>
    <x v="1"/>
    <x v="2"/>
    <s v="CLFF_1000$$$JP01TAOE01"/>
    <s v="P000000170"/>
    <s v="P000000170"/>
    <s v="LFF (MDG-F)"/>
    <s v="JP01TAOE01"/>
    <m/>
    <b v="1"/>
    <x v="3"/>
    <x v="3"/>
    <d v="2025-09-02T00:00:00"/>
    <m/>
    <m/>
    <x v="0"/>
    <n v="4"/>
    <s v="Robert Coman"/>
    <m/>
  </r>
  <r>
    <x v="358"/>
    <x v="1"/>
    <x v="2"/>
    <s v="CLFF_1000$$$JP01TAOE99"/>
    <s v="P000000170"/>
    <s v="P000000170"/>
    <s v="LFF (MDG-F)"/>
    <s v="JP01TAOE99"/>
    <m/>
    <b v="1"/>
    <x v="3"/>
    <x v="3"/>
    <d v="2025-09-02T00:00:00"/>
    <m/>
    <m/>
    <x v="0"/>
    <n v="4"/>
    <s v="Robert Coman"/>
    <m/>
  </r>
  <r>
    <x v="358"/>
    <x v="1"/>
    <x v="2"/>
    <s v="CLFF_1000$$$JP01TAOA00"/>
    <s v="P000000170"/>
    <s v="P000000170"/>
    <s v="LFF (MDG-F)"/>
    <s v="JP01TAOA00"/>
    <m/>
    <b v="1"/>
    <x v="3"/>
    <x v="3"/>
    <d v="2025-09-02T00:00:00"/>
    <m/>
    <m/>
    <x v="0"/>
    <n v="4"/>
    <s v="Robert Coman"/>
    <m/>
  </r>
  <r>
    <x v="358"/>
    <x v="1"/>
    <x v="2"/>
    <s v="CLFF_1000$$$JP01TAOA01"/>
    <s v="P000000170"/>
    <s v="P000000170"/>
    <s v="LFF (MDG-F)"/>
    <s v="JP01TAOA01"/>
    <m/>
    <b v="1"/>
    <x v="3"/>
    <x v="3"/>
    <d v="2025-09-02T00:00:00"/>
    <m/>
    <m/>
    <x v="0"/>
    <n v="4"/>
    <s v="Robert Coman"/>
    <m/>
  </r>
  <r>
    <x v="358"/>
    <x v="1"/>
    <x v="2"/>
    <s v="CLFF_1000$$$JP01TAOA99"/>
    <s v="P000000170"/>
    <s v="P000000170"/>
    <s v="LFF (MDG-F)"/>
    <s v="JP01TAOA99"/>
    <m/>
    <b v="1"/>
    <x v="3"/>
    <x v="3"/>
    <d v="2025-09-02T00:00:00"/>
    <m/>
    <m/>
    <x v="0"/>
    <n v="4"/>
    <s v="Robert Coman"/>
    <m/>
  </r>
  <r>
    <x v="358"/>
    <x v="1"/>
    <x v="2"/>
    <s v="CLFF_1000$$$JP01TAOD02"/>
    <s v="P000000170"/>
    <s v="P000000170"/>
    <s v="LFF (MDG-F)"/>
    <s v="JP01TAOD02"/>
    <m/>
    <b v="1"/>
    <x v="3"/>
    <x v="3"/>
    <d v="2025-09-02T00:00:00"/>
    <m/>
    <m/>
    <x v="0"/>
    <n v="4"/>
    <s v="Robert Coman"/>
    <m/>
  </r>
  <r>
    <x v="358"/>
    <x v="1"/>
    <x v="2"/>
    <s v="CLFF_1000$$$JP01TAOZ06"/>
    <s v="P000000170"/>
    <s v="P000000170"/>
    <s v="LFF (MDG-F)"/>
    <s v="JP01TAOZ06"/>
    <m/>
    <b v="1"/>
    <x v="3"/>
    <x v="3"/>
    <d v="2025-09-02T00:00:00"/>
    <m/>
    <m/>
    <x v="0"/>
    <n v="4"/>
    <s v="Robert Coman"/>
    <m/>
  </r>
  <r>
    <x v="358"/>
    <x v="1"/>
    <x v="2"/>
    <s v="CLFF_1000$$$JP01GSQ013"/>
    <s v="G000000103"/>
    <s v="G000000103"/>
    <s v="LFF (MDG-F)"/>
    <s v="JP01GSQ013"/>
    <m/>
    <b v="1"/>
    <x v="3"/>
    <x v="3"/>
    <d v="2025-09-02T00:00:00"/>
    <m/>
    <m/>
    <x v="0"/>
    <n v="4"/>
    <s v="Robert Coman"/>
    <m/>
  </r>
  <r>
    <x v="358"/>
    <x v="1"/>
    <x v="2"/>
    <s v="CLFF_1000$$$JP01TAOZ01"/>
    <s v="P000000170"/>
    <s v="P000000170"/>
    <s v="LFF (MDG-F)"/>
    <s v="JP01TAOZ01"/>
    <m/>
    <b v="1"/>
    <x v="3"/>
    <x v="3"/>
    <d v="2025-09-02T00:00:00"/>
    <m/>
    <m/>
    <x v="0"/>
    <n v="4"/>
    <s v="Robert Coman"/>
    <m/>
  </r>
  <r>
    <x v="358"/>
    <x v="1"/>
    <x v="2"/>
    <s v="CLFF_1000$$$JP01TLOZ01"/>
    <s v="P000000177"/>
    <s v="P000000177"/>
    <s v="LFF (MDG-F)"/>
    <s v="JP01TLOZ01"/>
    <m/>
    <b v="1"/>
    <x v="3"/>
    <x v="3"/>
    <d v="2025-09-02T00:00:00"/>
    <m/>
    <m/>
    <x v="0"/>
    <n v="4"/>
    <s v="Robert Coman"/>
    <m/>
  </r>
  <r>
    <x v="358"/>
    <x v="1"/>
    <x v="2"/>
    <s v="CLFF_1000$$$JP01TNMZ04"/>
    <s v="P000000794"/>
    <s v="P000000794"/>
    <s v="LFF (MDG-F)"/>
    <s v="JP01TNMZ04"/>
    <m/>
    <b v="1"/>
    <x v="3"/>
    <x v="3"/>
    <d v="2025-09-02T00:00:00"/>
    <m/>
    <m/>
    <x v="0"/>
    <n v="4"/>
    <s v="Robert Coman"/>
    <m/>
  </r>
  <r>
    <x v="358"/>
    <x v="1"/>
    <x v="2"/>
    <s v="CLFF_1000$$$JP01TAOZ04"/>
    <s v="P000000170"/>
    <s v="P000000170"/>
    <s v="LFF (MDG-F)"/>
    <s v="JP01TAOZ04"/>
    <m/>
    <b v="1"/>
    <x v="3"/>
    <x v="3"/>
    <d v="2025-09-02T00:00:00"/>
    <m/>
    <m/>
    <x v="0"/>
    <n v="4"/>
    <s v="Robert Coman"/>
    <m/>
  </r>
  <r>
    <x v="358"/>
    <x v="1"/>
    <x v="2"/>
    <s v="CLFF_1000$$$JP01TKOZ00"/>
    <s v="P000000176"/>
    <s v="P000000176"/>
    <s v="LFF (MDG-F)"/>
    <s v="JP01TKOZ00"/>
    <m/>
    <b v="1"/>
    <x v="3"/>
    <x v="3"/>
    <d v="2025-09-02T00:00:00"/>
    <m/>
    <m/>
    <x v="0"/>
    <n v="4"/>
    <s v="Robert Coman"/>
    <m/>
  </r>
  <r>
    <x v="358"/>
    <x v="1"/>
    <x v="2"/>
    <s v="CLFF_1000$$$JP01TBOZ01"/>
    <s v="P000000171"/>
    <s v="P000000171"/>
    <s v="LFF (MDG-F)"/>
    <s v="JP01TBOZ01"/>
    <m/>
    <b v="1"/>
    <x v="3"/>
    <x v="3"/>
    <d v="2025-09-02T00:00:00"/>
    <m/>
    <m/>
    <x v="0"/>
    <n v="4"/>
    <s v="Robert Coman"/>
    <m/>
  </r>
  <r>
    <x v="358"/>
    <x v="1"/>
    <x v="2"/>
    <s v="CLFF_1000$$$JP01TQOZ01"/>
    <s v="P000000601"/>
    <s v="P000000601"/>
    <s v="LFF (MDG-F)"/>
    <s v="JP01TQOZ01"/>
    <m/>
    <b v="1"/>
    <x v="3"/>
    <x v="3"/>
    <d v="2025-09-02T00:00:00"/>
    <m/>
    <m/>
    <x v="0"/>
    <n v="4"/>
    <s v="Robert Coman"/>
    <m/>
  </r>
  <r>
    <x v="358"/>
    <x v="1"/>
    <x v="2"/>
    <s v="CLFF_1000$$$JP01TBOZ05"/>
    <s v="P000000317"/>
    <s v="P000000317"/>
    <s v="LFF (MDG-F)"/>
    <s v="JP01TBOZ05"/>
    <m/>
    <b v="1"/>
    <x v="3"/>
    <x v="3"/>
    <d v="2025-09-02T00:00:00"/>
    <m/>
    <m/>
    <x v="0"/>
    <n v="4"/>
    <s v="Robert Coman"/>
    <m/>
  </r>
  <r>
    <x v="358"/>
    <x v="1"/>
    <x v="2"/>
    <s v="CLFF_1000$$$JP01TCOZ01"/>
    <s v="P000000172"/>
    <s v="P000000172"/>
    <s v="LFF (MDG-F)"/>
    <s v="JP01TCOZ01"/>
    <m/>
    <b v="1"/>
    <x v="3"/>
    <x v="3"/>
    <d v="2025-09-02T00:00:00"/>
    <m/>
    <m/>
    <x v="0"/>
    <n v="4"/>
    <s v="Robert Coman"/>
    <m/>
  </r>
  <r>
    <x v="358"/>
    <x v="1"/>
    <x v="2"/>
    <s v="CLFF_1000$$$JP01C0M821"/>
    <s v="P000000447"/>
    <s v="P000000447"/>
    <s v="LFF (MDG-F)"/>
    <s v="JP01C0M821"/>
    <m/>
    <b v="1"/>
    <x v="3"/>
    <x v="3"/>
    <d v="2025-09-02T00:00:00"/>
    <m/>
    <m/>
    <x v="0"/>
    <n v="4"/>
    <s v="Robert Coman"/>
    <m/>
  </r>
  <r>
    <x v="358"/>
    <x v="1"/>
    <x v="2"/>
    <s v="CLFF_1000$$$JP01C0M921"/>
    <s v="P000000666"/>
    <s v="P000000666"/>
    <s v="LFF (MDG-F)"/>
    <s v="JP01C0M921"/>
    <m/>
    <b v="1"/>
    <x v="3"/>
    <x v="3"/>
    <d v="2025-09-02T00:00:00"/>
    <m/>
    <m/>
    <x v="0"/>
    <n v="4"/>
    <s v="Robert Coman"/>
    <m/>
  </r>
  <r>
    <x v="358"/>
    <x v="1"/>
    <x v="2"/>
    <s v="CLFF_1000$$$JP01C0M822"/>
    <s v="P000000448"/>
    <s v="P000000448"/>
    <s v="LFF (MDG-F)"/>
    <s v="JP01C0M822"/>
    <m/>
    <b v="1"/>
    <x v="3"/>
    <x v="3"/>
    <d v="2025-09-02T00:00:00"/>
    <m/>
    <m/>
    <x v="0"/>
    <n v="4"/>
    <s v="Robert Coman"/>
    <m/>
  </r>
  <r>
    <x v="358"/>
    <x v="1"/>
    <x v="2"/>
    <s v="CLFF_1000$$$JP01C0O999"/>
    <s v="P000000565"/>
    <s v="P000000565"/>
    <s v="LFF (MDG-F)"/>
    <s v="JP01C0O999"/>
    <m/>
    <b v="1"/>
    <x v="3"/>
    <x v="3"/>
    <d v="2025-09-02T00:00:00"/>
    <m/>
    <m/>
    <x v="0"/>
    <n v="4"/>
    <s v="Robert Coman"/>
    <m/>
  </r>
  <r>
    <x v="358"/>
    <x v="1"/>
    <x v="2"/>
    <s v="CLFF_1000$$$JP01L1M001"/>
    <s v="P000000958"/>
    <s v="P000000958"/>
    <s v="LFF (MDG-F)"/>
    <s v="JP01L1M001"/>
    <m/>
    <b v="1"/>
    <x v="3"/>
    <x v="3"/>
    <d v="2025-09-02T00:00:00"/>
    <m/>
    <m/>
    <x v="0"/>
    <n v="4"/>
    <s v="Robert Coman"/>
    <m/>
  </r>
  <r>
    <x v="358"/>
    <x v="1"/>
    <x v="2"/>
    <s v="CLFF_1000$$$JP01GPO303"/>
    <s v="G000000179"/>
    <s v="G000000179"/>
    <s v="LFF (MDG-F)"/>
    <s v="JP01GPO303"/>
    <m/>
    <b v="1"/>
    <x v="3"/>
    <x v="3"/>
    <d v="2025-09-02T00:00:00"/>
    <m/>
    <m/>
    <x v="0"/>
    <n v="4"/>
    <s v="Robert Coman"/>
    <m/>
  </r>
  <r>
    <x v="358"/>
    <x v="1"/>
    <x v="2"/>
    <s v="CLFF_1000$$$JP01L3K302"/>
    <s v="G000000179"/>
    <s v="G000000179"/>
    <s v="LFF (MDG-F)"/>
    <s v="JP01L3K302"/>
    <m/>
    <b v="1"/>
    <x v="3"/>
    <x v="3"/>
    <d v="2025-09-02T00:00:00"/>
    <m/>
    <m/>
    <x v="0"/>
    <n v="4"/>
    <s v="Robert Coman"/>
    <m/>
  </r>
  <r>
    <x v="358"/>
    <x v="1"/>
    <x v="2"/>
    <s v="CLFF_1000$$$JP01L3K304"/>
    <s v="P000000424"/>
    <s v="P000000424"/>
    <s v="LFF (MDG-F)"/>
    <s v="JP01L3K304"/>
    <m/>
    <b v="1"/>
    <x v="3"/>
    <x v="3"/>
    <d v="2025-09-02T00:00:00"/>
    <m/>
    <m/>
    <x v="0"/>
    <n v="4"/>
    <s v="Robert Coman"/>
    <m/>
  </r>
  <r>
    <x v="358"/>
    <x v="1"/>
    <x v="2"/>
    <s v="CLFF_1000$$$JP01L3M301"/>
    <s v="G000000179"/>
    <s v="G000000179"/>
    <s v="LFF (MDG-F)"/>
    <s v="JP01L3M301"/>
    <m/>
    <b v="1"/>
    <x v="3"/>
    <x v="3"/>
    <d v="2025-09-02T00:00:00"/>
    <m/>
    <m/>
    <x v="0"/>
    <n v="4"/>
    <s v="Robert Coman"/>
    <m/>
  </r>
  <r>
    <x v="358"/>
    <x v="1"/>
    <x v="2"/>
    <s v="CLFF_1000$$$JP01L3M303"/>
    <s v="P000000424"/>
    <s v="P000000424"/>
    <s v="LFF (MDG-F)"/>
    <s v="JP01L3M303"/>
    <m/>
    <b v="1"/>
    <x v="3"/>
    <x v="3"/>
    <d v="2025-09-02T00:00:00"/>
    <m/>
    <m/>
    <x v="0"/>
    <n v="4"/>
    <s v="Robert Coman"/>
    <m/>
  </r>
  <r>
    <x v="358"/>
    <x v="1"/>
    <x v="2"/>
    <s v="CLFF_1000$$$JP01L4M301"/>
    <s v="P000000424"/>
    <s v="P000000424"/>
    <s v="LFF (MDG-F)"/>
    <s v="JP01L4M301"/>
    <m/>
    <b v="1"/>
    <x v="3"/>
    <x v="3"/>
    <d v="2025-09-02T00:00:00"/>
    <m/>
    <m/>
    <x v="0"/>
    <n v="4"/>
    <s v="Robert Coman"/>
    <m/>
  </r>
  <r>
    <x v="358"/>
    <x v="1"/>
    <x v="2"/>
    <s v="CLFF_1000$$$JP01L5M301"/>
    <s v="P000000421"/>
    <s v="P000000421"/>
    <s v="LFF (MDG-F)"/>
    <s v="JP01L5M301"/>
    <m/>
    <b v="1"/>
    <x v="3"/>
    <x v="3"/>
    <d v="2025-09-02T00:00:00"/>
    <m/>
    <m/>
    <x v="0"/>
    <n v="4"/>
    <s v="Robert Coman"/>
    <m/>
  </r>
  <r>
    <x v="358"/>
    <x v="1"/>
    <x v="2"/>
    <s v="CLFF_1000$$$JP01L7M301"/>
    <s v="P000000424"/>
    <s v="P000000424"/>
    <s v="LFF (MDG-F)"/>
    <s v="JP01L7M301"/>
    <m/>
    <b v="1"/>
    <x v="3"/>
    <x v="3"/>
    <d v="2025-09-02T00:00:00"/>
    <m/>
    <m/>
    <x v="0"/>
    <n v="4"/>
    <s v="Robert Coman"/>
    <m/>
  </r>
  <r>
    <x v="358"/>
    <x v="1"/>
    <x v="2"/>
    <s v="CLFF_1000$$$JP01GBT301"/>
    <s v="G000000635"/>
    <s v="G000000635"/>
    <s v="LFF (MDG-F)"/>
    <s v="JP01GBT301"/>
    <m/>
    <b v="1"/>
    <x v="3"/>
    <x v="3"/>
    <d v="2025-09-02T00:00:00"/>
    <m/>
    <m/>
    <x v="0"/>
    <n v="4"/>
    <s v="Robert Coman"/>
    <m/>
  </r>
  <r>
    <x v="358"/>
    <x v="1"/>
    <x v="2"/>
    <s v="CLFF_1000$$$JP01GBT303"/>
    <s v="G000000635"/>
    <s v="G000000635"/>
    <s v="LFF (MDG-F)"/>
    <s v="JP01GBT303"/>
    <m/>
    <b v="1"/>
    <x v="3"/>
    <x v="3"/>
    <d v="2025-09-02T00:00:00"/>
    <m/>
    <m/>
    <x v="0"/>
    <n v="4"/>
    <s v="Robert Coman"/>
    <m/>
  </r>
  <r>
    <x v="358"/>
    <x v="1"/>
    <x v="2"/>
    <s v="CLFF_1000$$$JP01GBT304"/>
    <s v="G000000635"/>
    <s v="G000000635"/>
    <s v="LFF (MDG-F)"/>
    <s v="JP01GBT304"/>
    <m/>
    <b v="1"/>
    <x v="3"/>
    <x v="3"/>
    <d v="2025-09-02T00:00:00"/>
    <m/>
    <m/>
    <x v="0"/>
    <n v="4"/>
    <s v="Robert Coman"/>
    <m/>
  </r>
  <r>
    <x v="358"/>
    <x v="1"/>
    <x v="2"/>
    <s v="CLFF_1000$$$JP01GFO300"/>
    <s v="G000000635"/>
    <s v="G000000635"/>
    <s v="LFF (MDG-F)"/>
    <s v="JP01GFO300"/>
    <m/>
    <b v="1"/>
    <x v="3"/>
    <x v="3"/>
    <d v="2025-09-02T00:00:00"/>
    <m/>
    <m/>
    <x v="0"/>
    <n v="4"/>
    <s v="Robert Coman"/>
    <m/>
  </r>
  <r>
    <x v="358"/>
    <x v="1"/>
    <x v="2"/>
    <s v="CLFF_1000$$$JP01GLE302"/>
    <s v="G000000096"/>
    <s v="G000000096"/>
    <s v="LFF (MDG-F)"/>
    <s v="JP01GLE302"/>
    <m/>
    <b v="1"/>
    <x v="3"/>
    <x v="3"/>
    <d v="2025-09-02T00:00:00"/>
    <m/>
    <m/>
    <x v="0"/>
    <n v="4"/>
    <s v="Robert Coman"/>
    <m/>
  </r>
  <r>
    <x v="358"/>
    <x v="1"/>
    <x v="5"/>
    <s v="CLFF_1000$$$JP01GM1002"/>
    <s v="G000000189"/>
    <s v="GNMI000090"/>
    <s v="LFF (MDG-F)"/>
    <s v="JP01GM1002"/>
    <m/>
    <b v="0"/>
    <x v="3"/>
    <x v="3"/>
    <d v="2025-09-02T00:00:00"/>
    <m/>
    <m/>
    <x v="0"/>
    <n v="4"/>
    <s v="Robert Coman"/>
    <m/>
  </r>
  <r>
    <x v="358"/>
    <x v="1"/>
    <x v="2"/>
    <s v="CLFF_1000$$$JP01GM8001"/>
    <s v="G000000635"/>
    <s v="G000000635"/>
    <s v="LFF (MDG-F)"/>
    <s v="JP01GM8001"/>
    <m/>
    <b v="1"/>
    <x v="3"/>
    <x v="3"/>
    <d v="2025-09-02T00:00:00"/>
    <m/>
    <m/>
    <x v="0"/>
    <n v="4"/>
    <s v="Robert Coman"/>
    <m/>
  </r>
  <r>
    <x v="358"/>
    <x v="1"/>
    <x v="2"/>
    <s v="CLFF_1000$$$JP01GMB040"/>
    <s v="G000001181"/>
    <s v="G000001181"/>
    <s v="LFF (MDG-F)"/>
    <s v="JP01GMB040"/>
    <m/>
    <b v="1"/>
    <x v="3"/>
    <x v="3"/>
    <d v="2025-09-02T00:00:00"/>
    <m/>
    <m/>
    <x v="0"/>
    <n v="4"/>
    <s v="Robert Coman"/>
    <m/>
  </r>
  <r>
    <x v="358"/>
    <x v="1"/>
    <x v="2"/>
    <s v="CLFF_1000$$$JP01L7M302"/>
    <s v="P000000424"/>
    <s v="P000000424"/>
    <s v="LFF (MDG-F)"/>
    <s v="JP01L7M302"/>
    <m/>
    <b v="1"/>
    <x v="3"/>
    <x v="3"/>
    <d v="2025-09-02T00:00:00"/>
    <m/>
    <m/>
    <x v="0"/>
    <n v="4"/>
    <s v="Robert Coman"/>
    <m/>
  </r>
  <r>
    <x v="358"/>
    <x v="1"/>
    <x v="2"/>
    <s v="CLFF_1000$$$JP01OF0203"/>
    <s v="P000001160"/>
    <s v="P000001160"/>
    <s v="LFF (MDG-F)"/>
    <s v="JP01OF0203"/>
    <m/>
    <b v="1"/>
    <x v="3"/>
    <x v="3"/>
    <d v="2025-09-02T00:00:00"/>
    <m/>
    <m/>
    <x v="0"/>
    <n v="4"/>
    <s v="Robert Coman"/>
    <m/>
  </r>
  <r>
    <x v="358"/>
    <x v="1"/>
    <x v="2"/>
    <s v="CLFF_1000$$$JP01R0S743"/>
    <s v="P000001015"/>
    <s v="P000001015"/>
    <s v="LFF (MDG-F)"/>
    <s v="JP01R0S743"/>
    <m/>
    <b v="1"/>
    <x v="3"/>
    <x v="3"/>
    <d v="2025-09-02T00:00:00"/>
    <m/>
    <m/>
    <x v="0"/>
    <n v="4"/>
    <s v="Robert Coman"/>
    <m/>
  </r>
  <r>
    <x v="359"/>
    <x v="1"/>
    <x v="5"/>
    <s v="CEMERAL_70001058600"/>
    <s v="L000012407"/>
    <m/>
    <s v="Non-LFF"/>
    <s v=""/>
    <m/>
    <b v="0"/>
    <x v="2"/>
    <x v="3"/>
    <d v="2025-09-02T00:00:00"/>
    <m/>
    <m/>
    <x v="0"/>
    <n v="4"/>
    <s v="Lakshmi Shree"/>
    <m/>
  </r>
  <r>
    <x v="360"/>
    <x v="1"/>
    <x v="2"/>
    <s v="CLFF_1000$$$CNS1OF0144"/>
    <s v="P000000769"/>
    <s v="P000000769"/>
    <s v="LFF (MDG-F)"/>
    <s v="CNS1OF0144"/>
    <m/>
    <b v="1"/>
    <x v="3"/>
    <x v="3"/>
    <d v="2025-09-06T00:00:00"/>
    <m/>
    <m/>
    <x v="0"/>
    <n v="0"/>
    <s v="Robert Coman"/>
    <m/>
  </r>
  <r>
    <x v="360"/>
    <x v="1"/>
    <x v="5"/>
    <s v="CLFF_1000$$$DES1OFCX20"/>
    <s v="GNMI000082"/>
    <s v="DFLTPGCOH_001524"/>
    <s v="LFF (MDG-F)"/>
    <s v="DES1OFCX20"/>
    <m/>
    <b v="0"/>
    <x v="3"/>
    <x v="3"/>
    <d v="2025-09-06T00:00:00"/>
    <m/>
    <m/>
    <x v="0"/>
    <n v="0"/>
    <s v="Robert Coman"/>
    <m/>
  </r>
  <r>
    <x v="360"/>
    <x v="1"/>
    <x v="5"/>
    <s v="CLFF_1000$$$DES1OFCX21"/>
    <s v="GNMI000082"/>
    <s v="DFLTPGCOH_001524"/>
    <s v="LFF (MDG-F)"/>
    <s v="DES1OFCX21"/>
    <m/>
    <b v="0"/>
    <x v="3"/>
    <x v="3"/>
    <d v="2025-09-06T00:00:00"/>
    <m/>
    <m/>
    <x v="0"/>
    <n v="0"/>
    <s v="Robert Coman"/>
    <m/>
  </r>
  <r>
    <x v="360"/>
    <x v="1"/>
    <x v="5"/>
    <s v="CLFF_1000$$$DES1Z01000"/>
    <s v="GNMI000090"/>
    <s v="P000001045"/>
    <s v="LFF (MDG-F)"/>
    <s v="DES1Z01000"/>
    <m/>
    <b v="0"/>
    <x v="3"/>
    <x v="3"/>
    <d v="2025-09-06T00:00:00"/>
    <m/>
    <m/>
    <x v="0"/>
    <n v="0"/>
    <s v="Robert Coman"/>
    <m/>
  </r>
  <r>
    <x v="360"/>
    <x v="1"/>
    <x v="5"/>
    <s v="CLFF_1000$$$KRS1Z01000"/>
    <s v="GNMI000090"/>
    <s v="P000001045"/>
    <s v="LFF (MDG-F)"/>
    <s v="KRS1Z01000"/>
    <m/>
    <b v="0"/>
    <x v="3"/>
    <x v="3"/>
    <d v="2025-09-06T00:00:00"/>
    <m/>
    <m/>
    <x v="0"/>
    <n v="0"/>
    <s v="Robert Coman"/>
    <m/>
  </r>
  <r>
    <x v="360"/>
    <x v="1"/>
    <x v="2"/>
    <s v="CLFF_1000$$$MYS1OF0110"/>
    <s v="P000000769"/>
    <s v="P000000769"/>
    <s v="LFF (MDG-F)"/>
    <s v="MYS1OF0110"/>
    <m/>
    <b v="1"/>
    <x v="3"/>
    <x v="3"/>
    <d v="2025-09-06T00:00:00"/>
    <m/>
    <m/>
    <x v="0"/>
    <n v="0"/>
    <s v="Robert Coman"/>
    <m/>
  </r>
  <r>
    <x v="360"/>
    <x v="1"/>
    <x v="5"/>
    <s v="CLFF_1000$$$MYS1Z01000"/>
    <s v="GNMI000090"/>
    <s v="P000001045"/>
    <s v="LFF (MDG-F)"/>
    <s v="MYS1Z01000"/>
    <m/>
    <b v="0"/>
    <x v="3"/>
    <x v="3"/>
    <d v="2025-09-06T00:00:00"/>
    <m/>
    <m/>
    <x v="0"/>
    <n v="0"/>
    <s v="Robert Coman"/>
    <m/>
  </r>
  <r>
    <x v="360"/>
    <x v="1"/>
    <x v="2"/>
    <s v="CLFF_1000$$$THS1OF0110"/>
    <s v="P000000769"/>
    <s v="P000000769"/>
    <s v="LFF (MDG-F)"/>
    <s v="THS1OF0110"/>
    <m/>
    <b v="1"/>
    <x v="3"/>
    <x v="3"/>
    <d v="2025-09-06T00:00:00"/>
    <m/>
    <m/>
    <x v="0"/>
    <n v="0"/>
    <s v="Robert Coman"/>
    <m/>
  </r>
  <r>
    <x v="360"/>
    <x v="1"/>
    <x v="5"/>
    <s v="CLFF_1000$$$USS1Z01000"/>
    <s v="GNMI000090"/>
    <s v="P000001045"/>
    <s v="LFF (MDG-F)"/>
    <s v="USS1Z01000"/>
    <m/>
    <b v="0"/>
    <x v="3"/>
    <x v="3"/>
    <d v="2025-09-06T00:00:00"/>
    <m/>
    <m/>
    <x v="0"/>
    <n v="0"/>
    <s v="Robert Coman"/>
    <m/>
  </r>
  <r>
    <x v="360"/>
    <x v="1"/>
    <x v="5"/>
    <s v="CLFF_1000$$$CNS1Z01000"/>
    <s v="GNMI000090"/>
    <s v="P000001045"/>
    <s v="LFF (MDG-F)"/>
    <s v="CNS1Z01000"/>
    <m/>
    <b v="0"/>
    <x v="3"/>
    <x v="3"/>
    <d v="2025-09-06T00:00:00"/>
    <m/>
    <m/>
    <x v="0"/>
    <n v="0"/>
    <s v="Robert Coman"/>
    <m/>
  </r>
  <r>
    <x v="360"/>
    <x v="1"/>
    <x v="5"/>
    <s v="CLFF_1000$$$THS1Z01000"/>
    <s v="GNMI000090"/>
    <s v="P000001045"/>
    <s v="LFF (MDG-F)"/>
    <s v="THS1Z01000"/>
    <m/>
    <b v="0"/>
    <x v="3"/>
    <x v="3"/>
    <d v="2025-09-06T00:00:00"/>
    <m/>
    <m/>
    <x v="0"/>
    <n v="0"/>
    <s v="Robert Coman"/>
    <m/>
  </r>
  <r>
    <x v="361"/>
    <x v="1"/>
    <x v="5"/>
    <s v="CTEMPEU_1000PL80GMK003"/>
    <s v="G000001362"/>
    <m/>
    <s v="Non-LFF"/>
    <s v=""/>
    <m/>
    <b v="0"/>
    <x v="0"/>
    <x v="3"/>
    <d v="2025-09-08T00:00:00"/>
    <m/>
    <m/>
    <x v="0"/>
    <n v="0"/>
    <s v="Jojeff Tagnong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8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5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>
      <x v="7"/>
    </i>
    <i r="1">
      <x/>
    </i>
    <i r="1">
      <x v="7"/>
    </i>
    <i r="1">
      <x v="10"/>
    </i>
    <i r="1">
      <x v="13"/>
    </i>
    <i>
      <x v="8"/>
    </i>
    <i r="1">
      <x/>
    </i>
    <i r="1">
      <x v="3"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34" firstHeaderRow="1" firstDataRow="1" firstDataCol="1" rowPageCount="1" colPageCount="1"/>
  <pivotFields count="19">
    <pivotField axis="axisRow" showAll="0" sortType="ascending">
      <items count="1544">
        <item m="1" x="928"/>
        <item x="0"/>
        <item m="1" x="998"/>
        <item m="1" x="1419"/>
        <item m="1" x="581"/>
        <item m="1" x="1436"/>
        <item m="1" x="958"/>
        <item m="1" x="1048"/>
        <item m="1" x="1469"/>
        <item m="1" x="1263"/>
        <item m="1" x="951"/>
        <item m="1" x="1535"/>
        <item m="1" x="1281"/>
        <item m="1" x="1525"/>
        <item m="1" x="899"/>
        <item m="1" x="800"/>
        <item m="1" x="504"/>
        <item m="1" x="765"/>
        <item m="1" x="1489"/>
        <item m="1" x="557"/>
        <item m="1" x="865"/>
        <item m="1" x="1233"/>
        <item m="1" x="948"/>
        <item m="1" x="1041"/>
        <item m="1" x="1337"/>
        <item m="1" x="1522"/>
        <item m="1" x="983"/>
        <item m="1" x="1005"/>
        <item m="1" x="770"/>
        <item m="1" x="1171"/>
        <item m="1" x="930"/>
        <item m="1" x="1476"/>
        <item m="1" x="1133"/>
        <item m="1" x="566"/>
        <item m="1" x="674"/>
        <item m="1" x="1461"/>
        <item m="1" x="1225"/>
        <item m="1" x="479"/>
        <item m="1" x="1311"/>
        <item m="1" x="977"/>
        <item m="1" x="1272"/>
        <item m="1" x="858"/>
        <item m="1" x="1210"/>
        <item m="1" x="469"/>
        <item m="1" x="499"/>
        <item m="1" x="1538"/>
        <item m="1" x="1217"/>
        <item m="1" x="1285"/>
        <item m="1" x="1392"/>
        <item m="1" x="1161"/>
        <item m="1" x="1259"/>
        <item m="1" x="1098"/>
        <item m="1" x="553"/>
        <item m="1" x="744"/>
        <item m="1" x="1520"/>
        <item m="1" x="1088"/>
        <item m="1" x="1228"/>
        <item m="1" x="756"/>
        <item m="1" x="717"/>
        <item m="1" x="1009"/>
        <item m="1" x="901"/>
        <item m="1" x="934"/>
        <item m="1" x="493"/>
        <item m="1" x="632"/>
        <item m="1" x="1294"/>
        <item m="1" x="1511"/>
        <item m="1" x="697"/>
        <item m="1" x="1102"/>
        <item m="1" x="1112"/>
        <item m="1" x="1289"/>
        <item m="1" x="1399"/>
        <item m="1" x="1277"/>
        <item m="1" x="572"/>
        <item m="1" x="1420"/>
        <item m="1" x="1150"/>
        <item m="1" x="1137"/>
        <item m="1" x="672"/>
        <item m="1" x="1025"/>
        <item m="1" x="1372"/>
        <item m="1" x="490"/>
        <item m="1" x="1069"/>
        <item m="1" x="1422"/>
        <item m="1" x="1260"/>
        <item m="1" x="995"/>
        <item m="1" x="1037"/>
        <item m="1" x="918"/>
        <item m="1" x="1153"/>
        <item m="1" x="965"/>
        <item m="1" x="1197"/>
        <item m="1" x="681"/>
        <item m="1" x="1510"/>
        <item m="1" x="1035"/>
        <item m="1" x="1321"/>
        <item m="1" x="398"/>
        <item m="1" x="1526"/>
        <item m="1" x="1062"/>
        <item m="1" x="1351"/>
        <item m="1" x="1264"/>
        <item m="1" x="1042"/>
        <item m="1" x="552"/>
        <item m="1" x="559"/>
        <item m="1" x="599"/>
        <item m="1" x="781"/>
        <item m="1" x="1205"/>
        <item m="1" x="966"/>
        <item m="1" x="1082"/>
        <item m="1" x="1145"/>
        <item m="1" x="1292"/>
        <item m="1" x="1375"/>
        <item m="1" x="937"/>
        <item m="1" x="658"/>
        <item m="1" x="501"/>
        <item m="1" x="644"/>
        <item m="1" x="1519"/>
        <item m="1" x="676"/>
        <item m="1" x="1357"/>
        <item m="1" x="1286"/>
        <item m="1" x="904"/>
        <item m="1" x="976"/>
        <item m="1" x="842"/>
        <item m="1" x="1099"/>
        <item m="1" x="1474"/>
        <item m="1" x="650"/>
        <item m="1" x="598"/>
        <item m="1" x="533"/>
        <item m="1" x="1199"/>
        <item m="1" x="1459"/>
        <item m="1" x="1387"/>
        <item m="1" x="1044"/>
        <item m="1" x="568"/>
        <item m="1" x="1293"/>
        <item m="1" x="745"/>
        <item m="1" x="999"/>
        <item m="1" x="1174"/>
        <item m="1" x="1282"/>
        <item m="1" x="402"/>
        <item m="1" x="1231"/>
        <item m="1" x="1194"/>
        <item m="1" x="635"/>
        <item m="1" x="1083"/>
        <item m="1" x="971"/>
        <item m="1" x="924"/>
        <item m="1" x="657"/>
        <item m="1" x="593"/>
        <item m="1" x="833"/>
        <item m="1" x="1020"/>
        <item m="1" x="427"/>
        <item m="1" x="766"/>
        <item m="1" x="625"/>
        <item m="1" x="367"/>
        <item m="1" x="877"/>
        <item m="1" x="1078"/>
        <item m="1" x="960"/>
        <item m="1" x="1006"/>
        <item m="1" x="1325"/>
        <item m="1" x="907"/>
        <item m="1" x="1433"/>
        <item m="1" x="1157"/>
        <item m="1" x="1096"/>
        <item m="1" x="610"/>
        <item m="1" x="1243"/>
        <item m="1" x="1521"/>
        <item m="1" x="1209"/>
        <item m="1" x="1193"/>
        <item m="1" x="480"/>
        <item m="1" x="528"/>
        <item m="1" x="1063"/>
        <item m="1" x="569"/>
        <item m="1" x="1506"/>
        <item m="1" x="1172"/>
        <item m="1" x="1097"/>
        <item m="1" x="1049"/>
        <item m="1" x="850"/>
        <item m="1" x="478"/>
        <item m="1" x="578"/>
        <item m="1" x="684"/>
        <item m="1" x="1417"/>
        <item m="1" x="1449"/>
        <item m="1" x="1148"/>
        <item m="1" x="875"/>
        <item m="1" x="963"/>
        <item m="1" x="473"/>
        <item m="1" x="513"/>
        <item m="1" x="852"/>
        <item m="1" x="1077"/>
        <item m="1" x="990"/>
        <item m="1" x="648"/>
        <item m="1" x="881"/>
        <item m="1" x="595"/>
        <item m="1" x="790"/>
        <item m="1" x="712"/>
        <item m="1" x="547"/>
        <item m="1" x="683"/>
        <item m="1" x="1053"/>
        <item m="1" x="463"/>
        <item m="1" x="702"/>
        <item m="1" x="494"/>
        <item m="1" x="1187"/>
        <item m="1" x="1376"/>
        <item m="1" x="986"/>
        <item m="1" x="630"/>
        <item m="1" x="1280"/>
        <item m="1" x="1125"/>
        <item m="1" x="642"/>
        <item m="1" x="643"/>
        <item m="1" x="828"/>
        <item m="1" x="518"/>
        <item m="1" x="707"/>
        <item m="1" x="502"/>
        <item m="1" x="688"/>
        <item m="1" x="1256"/>
        <item m="1" x="767"/>
        <item m="1" x="1134"/>
        <item m="1" x="1184"/>
        <item m="1" x="1318"/>
        <item m="1" x="1322"/>
        <item m="1" x="1039"/>
        <item m="1" x="880"/>
        <item m="1" x="919"/>
        <item m="1" x="1486"/>
        <item m="1" x="779"/>
        <item m="1" x="591"/>
        <item m="1" x="969"/>
        <item m="1" x="426"/>
        <item m="1" x="1490"/>
        <item m="1" x="953"/>
        <item m="1" x="387"/>
        <item m="1" x="1408"/>
        <item m="1" x="1451"/>
        <item m="1" x="1288"/>
        <item m="1" x="665"/>
        <item m="1" x="404"/>
        <item m="1" x="1338"/>
        <item m="1" x="729"/>
        <item m="1" x="365"/>
        <item m="1" x="1509"/>
        <item m="1" x="753"/>
        <item m="1" x="908"/>
        <item m="1" x="1353"/>
        <item m="1" x="440"/>
        <item m="1" x="1265"/>
        <item m="1" x="1073"/>
        <item m="1" x="938"/>
        <item m="1" x="808"/>
        <item m="1" x="555"/>
        <item m="1" x="1056"/>
        <item m="1" x="758"/>
        <item m="1" x="1296"/>
        <item m="1" x="618"/>
        <item m="1" x="1366"/>
        <item m="1" x="1373"/>
        <item m="1" x="1057"/>
        <item m="1" x="1247"/>
        <item m="1" x="664"/>
        <item m="1" x="961"/>
        <item m="1" x="1250"/>
        <item m="1" x="834"/>
        <item m="1" x="1124"/>
        <item m="1" x="763"/>
        <item m="1" x="548"/>
        <item m="1" x="752"/>
        <item m="1" x="1518"/>
        <item m="1" x="1460"/>
        <item m="1" x="605"/>
        <item m="1" x="1406"/>
        <item m="1" x="412"/>
        <item m="1" x="1428"/>
        <item m="1" x="447"/>
        <item m="1" x="749"/>
        <item m="1" x="847"/>
        <item m="1" x="794"/>
        <item m="1" x="1401"/>
        <item m="1" x="1304"/>
        <item m="1" x="545"/>
        <item m="1" x="1115"/>
        <item m="1" x="1323"/>
        <item m="1" x="1457"/>
        <item m="1" x="1364"/>
        <item m="1" x="450"/>
        <item m="1" x="1530"/>
        <item m="1" x="601"/>
        <item m="1" x="882"/>
        <item m="1" x="1326"/>
        <item m="1" x="449"/>
        <item m="1" x="1385"/>
        <item m="1" x="614"/>
        <item m="1" x="1258"/>
        <item m="1" x="1122"/>
        <item m="1" x="1100"/>
        <item m="1" x="679"/>
        <item m="1" x="641"/>
        <item m="1" x="1453"/>
        <item m="1" x="394"/>
        <item m="1" x="576"/>
        <item m="1" x="1235"/>
        <item m="1" x="1346"/>
        <item m="1" x="1273"/>
        <item m="1" x="1477"/>
        <item m="1" x="981"/>
        <item m="1" x="608"/>
        <item m="1" x="728"/>
        <item m="1" x="1047"/>
        <item m="1" x="789"/>
        <item m="1" x="1117"/>
        <item m="1" x="730"/>
        <item m="1" x="532"/>
        <item m="1" x="1185"/>
        <item m="1" x="587"/>
        <item m="1" x="467"/>
        <item m="1" x="1319"/>
        <item m="1" x="1466"/>
        <item m="1" x="1167"/>
        <item m="1" x="432"/>
        <item m="1" x="1358"/>
        <item m="1" x="1156"/>
        <item m="1" x="1266"/>
        <item m="1" x="1405"/>
        <item m="1" x="633"/>
        <item m="1" x="825"/>
        <item m="1" x="663"/>
        <item m="1" x="931"/>
        <item m="1" x="855"/>
        <item m="1" x="885"/>
        <item m="1" x="1421"/>
        <item m="1" x="867"/>
        <item m="1" x="1070"/>
        <item m="1" x="602"/>
        <item m="1" x="801"/>
        <item m="1" x="775"/>
        <item m="1" x="1118"/>
        <item m="1" x="1021"/>
        <item m="1" x="1249"/>
        <item m="1" x="771"/>
        <item m="1" x="1407"/>
        <item m="1" x="609"/>
        <item m="1" x="535"/>
        <item m="1" x="791"/>
        <item m="1" x="1332"/>
        <item m="1" x="442"/>
        <item m="1" x="443"/>
        <item m="1" x="739"/>
        <item m="1" x="1412"/>
        <item m="1" x="806"/>
        <item m="1" x="451"/>
        <item m="1" x="611"/>
        <item m="1" x="853"/>
        <item m="1" x="1164"/>
        <item m="1" x="1136"/>
        <item m="1" x="807"/>
        <item m="1" x="388"/>
        <item m="1" x="526"/>
        <item m="1" x="738"/>
        <item m="1" x="626"/>
        <item m="1" x="383"/>
        <item m="1" x="1336"/>
        <item m="1" x="1465"/>
        <item m="1" x="935"/>
        <item m="1" x="1365"/>
        <item m="1" x="1425"/>
        <item m="1" x="448"/>
        <item m="1" x="1463"/>
        <item m="1" x="1201"/>
        <item m="1" x="624"/>
        <item m="1" x="810"/>
        <item m="1" x="714"/>
        <item m="1" x="1076"/>
        <item m="1" x="647"/>
        <item m="1" x="863"/>
        <item m="1" x="1158"/>
        <item m="1" x="1283"/>
        <item m="1" x="786"/>
        <item m="1" x="914"/>
        <item m="1" x="726"/>
        <item m="1" x="652"/>
        <item m="1" x="1163"/>
        <item m="1" x="1278"/>
        <item m="1" x="1440"/>
        <item m="1" x="482"/>
        <item m="1" x="686"/>
        <item m="1" x="1126"/>
        <item m="1" x="527"/>
        <item m="1" x="814"/>
        <item m="1" x="1195"/>
        <item m="1" x="460"/>
        <item m="1" x="670"/>
        <item m="1" x="780"/>
        <item m="1" x="1386"/>
        <item m="1" x="619"/>
        <item m="1" x="889"/>
        <item m="1" x="1442"/>
        <item m="1" x="570"/>
        <item m="1" x="759"/>
        <item m="1" x="947"/>
        <item m="1" x="1284"/>
        <item m="1" x="582"/>
        <item m="1" x="838"/>
        <item m="1" x="680"/>
        <item m="1" x="1176"/>
        <item m="1" x="1362"/>
        <item m="1" x="488"/>
        <item m="1" x="708"/>
        <item m="1" x="1444"/>
        <item m="1" x="1409"/>
        <item m="1" x="509"/>
        <item m="1" x="826"/>
        <item m="1" x="1350"/>
        <item m="1" x="1481"/>
        <item m="1" x="1352"/>
        <item m="1" x="1327"/>
        <item m="1" x="458"/>
        <item m="1" x="634"/>
        <item m="1" x="716"/>
        <item m="1" x="705"/>
        <item m="1" x="932"/>
        <item m="1" x="420"/>
        <item m="1" x="1119"/>
        <item m="1" x="1190"/>
        <item m="1" x="372"/>
        <item m="1" x="1450"/>
        <item m="1" x="1312"/>
        <item m="1" x="1441"/>
        <item m="1" x="1471"/>
        <item m="1" x="1507"/>
        <item m="1" x="1445"/>
        <item m="1" x="809"/>
        <item m="1" x="1169"/>
        <item m="1" x="776"/>
        <item m="1" x="1182"/>
        <item m="1" x="1147"/>
        <item m="1" x="585"/>
        <item m="1" x="623"/>
        <item m="1" x="761"/>
        <item m="1" x="1226"/>
        <item m="1" x="746"/>
        <item m="1" x="492"/>
        <item m="1" x="1491"/>
        <item m="1" x="1241"/>
        <item m="1" x="1074"/>
        <item m="1" x="1106"/>
        <item m="1" x="1155"/>
        <item m="1" x="580"/>
        <item m="1" x="922"/>
        <item m="1" x="1267"/>
        <item m="1" x="418"/>
        <item m="1" x="661"/>
        <item m="1" x="561"/>
        <item m="1" x="558"/>
        <item m="1" x="562"/>
        <item m="1" x="363"/>
        <item m="1" x="584"/>
        <item m="1" x="1381"/>
        <item m="1" x="385"/>
        <item m="1" x="1031"/>
        <item m="1" x="1468"/>
        <item m="1" x="1279"/>
        <item m="1" x="539"/>
        <item m="1" x="1539"/>
        <item m="1" x="468"/>
        <item m="1" x="835"/>
        <item m="1" x="1058"/>
        <item m="1" x="514"/>
        <item m="1" x="967"/>
        <item m="1" x="1127"/>
        <item m="1" x="1395"/>
        <item m="1" x="1297"/>
        <item m="1" x="376"/>
        <item m="1" x="1059"/>
        <item m="1" x="459"/>
        <item m="1" x="695"/>
        <item m="1" x="667"/>
        <item m="1" x="429"/>
        <item m="1" x="1022"/>
        <item m="1" x="1029"/>
        <item m="1" x="1129"/>
        <item m="1" x="878"/>
        <item m="1" x="1378"/>
        <item m="1" x="787"/>
        <item m="1" x="1497"/>
        <item m="1" x="1132"/>
        <item m="1" x="1023"/>
        <item m="1" x="687"/>
        <item m="1" x="1095"/>
        <item m="1" x="1393"/>
        <item m="1" x="1458"/>
        <item m="1" x="1437"/>
        <item m="1" x="1367"/>
        <item m="1" x="1116"/>
        <item m="1" x="1229"/>
        <item m="1" x="742"/>
        <item m="1" x="1191"/>
        <item m="1" x="1016"/>
        <item m="1" x="975"/>
        <item m="1" x="973"/>
        <item m="1" x="974"/>
        <item m="1" x="671"/>
        <item m="1" x="715"/>
        <item m="1" x="1328"/>
        <item m="1" x="893"/>
        <item m="1" x="735"/>
        <item m="1" x="777"/>
        <item m="1" x="823"/>
        <item m="1" x="1075"/>
        <item m="1" x="1413"/>
        <item m="1" x="1502"/>
        <item m="1" x="620"/>
        <item m="1" x="571"/>
        <item m="1" x="408"/>
        <item m="1" x="430"/>
        <item m="1" x="727"/>
        <item m="1" x="515"/>
        <item m="1" x="843"/>
        <item m="1" x="1379"/>
        <item m="1" x="720"/>
        <item m="1" x="512"/>
        <item m="1" x="1271"/>
        <item m="1" x="389"/>
        <item m="1" x="1397"/>
        <item m="1" x="1472"/>
        <item m="1" x="1536"/>
        <item m="1" x="1411"/>
        <item m="1" x="654"/>
        <item m="1" x="431"/>
        <item m="1" x="895"/>
        <item m="1" x="979"/>
        <item m="1" x="1175"/>
        <item m="1" x="1143"/>
        <item m="1" x="1179"/>
        <item m="1" x="956"/>
        <item m="1" x="994"/>
        <item m="1" x="1435"/>
        <item m="1" x="1198"/>
        <item m="1" x="1168"/>
        <item m="1" x="1107"/>
        <item m="1" x="1180"/>
        <item m="1" x="381"/>
        <item m="1" x="386"/>
        <item m="1" x="989"/>
        <item m="1" x="1374"/>
        <item m="1" x="944"/>
        <item m="1" x="1514"/>
        <item m="1" x="913"/>
        <item m="1" x="1089"/>
        <item m="1" x="1160"/>
        <item m="1" x="774"/>
        <item m="1" x="606"/>
        <item m="1" x="982"/>
        <item m="1" x="668"/>
        <item m="1" x="1523"/>
        <item m="1" x="1438"/>
        <item m="1" x="1251"/>
        <item m="1" x="508"/>
        <item m="1" x="435"/>
        <item m="1" x="1008"/>
        <item m="1" x="1252"/>
        <item m="1" x="1541"/>
        <item m="1" x="887"/>
        <item m="1" x="1488"/>
        <item m="1" x="422"/>
        <item m="1" x="536"/>
        <item m="1" x="848"/>
        <item m="1" x="939"/>
        <item m="1" x="1368"/>
        <item m="1" x="692"/>
        <item m="1" x="1371"/>
        <item m="1" x="788"/>
        <item m="1" x="1360"/>
        <item m="1" x="1524"/>
        <item m="1" x="452"/>
        <item m="1" x="1508"/>
        <item m="1" x="399"/>
        <item m="1" x="1261"/>
        <item m="1" x="879"/>
        <item m="1" x="710"/>
        <item m="1" x="673"/>
        <item m="1" x="817"/>
        <item m="1" x="416"/>
        <item m="1" x="1501"/>
        <item m="1" x="500"/>
        <item m="1" x="521"/>
        <item m="1" x="1394"/>
        <item m="1" x="1473"/>
        <item m="1" x="987"/>
        <item m="1" x="1128"/>
        <item m="1" x="829"/>
        <item m="1" x="942"/>
        <item m="1" x="1091"/>
        <item m="1" x="1208"/>
        <item m="1" x="795"/>
        <item m="1" x="1071"/>
        <item m="1" x="890"/>
        <item m="1" x="1527"/>
        <item m="1" x="380"/>
        <item m="1" x="819"/>
        <item m="1" x="760"/>
        <item m="1" x="721"/>
        <item m="1" x="1515"/>
        <item m="1" x="1333"/>
        <item m="1" x="1464"/>
        <item m="1" x="477"/>
        <item m="1" x="1475"/>
        <item m="1" x="1462"/>
        <item m="1" x="1339"/>
        <item m="1" x="574"/>
        <item m="1" x="943"/>
        <item m="1" x="1036"/>
        <item m="1" x="782"/>
        <item m="1" x="1380"/>
        <item m="1" x="1166"/>
        <item m="1" x="1186"/>
        <item m="1" x="1080"/>
        <item m="1" x="423"/>
        <item m="1" x="1253"/>
        <item m="1" x="1415"/>
        <item m="1" x="820"/>
        <item m="1" x="1534"/>
        <item m="1" x="1028"/>
        <item m="1" x="615"/>
        <item m="1" x="748"/>
        <item m="1" x="784"/>
        <item m="1" x="1443"/>
        <item m="1" x="1427"/>
        <item m="1" x="487"/>
        <item m="1" x="489"/>
        <item m="1" x="403"/>
        <item m="1" x="1363"/>
        <item m="1" x="405"/>
        <item m="1" x="822"/>
        <item m="1" x="722"/>
        <item m="1" x="1178"/>
        <item m="1" x="1121"/>
        <item m="1" x="1470"/>
        <item m="1" x="1402"/>
        <item m="1" x="894"/>
        <item m="1" x="1108"/>
        <item m="1" x="1343"/>
        <item m="1" x="456"/>
        <item m="1" x="888"/>
        <item m="1" x="818"/>
        <item m="1" x="1512"/>
        <item m="1" x="1479"/>
        <item m="1" x="910"/>
        <item m="1" x="516"/>
        <item m="1" x="811"/>
        <item m="1" x="984"/>
        <item m="1" x="438"/>
        <item m="1" x="1274"/>
        <item m="1" x="868"/>
        <item m="1" x="678"/>
        <item m="1" x="772"/>
        <item m="1" x="1218"/>
        <item m="1" x="1517"/>
        <item m="1" x="596"/>
        <item m="1" x="1369"/>
        <item m="1" x="590"/>
        <item m="1" x="1154"/>
        <item m="1" x="926"/>
        <item m="1" x="857"/>
        <item m="1" x="579"/>
        <item m="1" x="646"/>
        <item m="1" x="434"/>
        <item m="1" x="1234"/>
        <item m="1" x="747"/>
        <item m="1" x="471"/>
        <item m="1" x="1085"/>
        <item m="1" x="1400"/>
        <item m="1" x="940"/>
        <item m="1" x="898"/>
        <item m="1" x="369"/>
        <item m="1" x="1505"/>
        <item m="1" x="755"/>
        <item m="1" x="815"/>
        <item m="1" x="1222"/>
        <item m="1" x="1499"/>
        <item m="1" x="1424"/>
        <item m="1" x="1275"/>
        <item m="1" x="1390"/>
        <item m="1" x="551"/>
        <item m="1" x="750"/>
        <item m="1" x="583"/>
        <item m="1" x="375"/>
        <item m="1" x="988"/>
        <item m="1" x="437"/>
        <item m="1" x="659"/>
        <item m="1" x="603"/>
        <item m="1" x="549"/>
        <item m="1" x="1504"/>
        <item m="1" x="600"/>
        <item m="1" x="1202"/>
        <item m="1" x="1414"/>
        <item m="1" x="540"/>
        <item m="1" x="444"/>
        <item m="1" x="1237"/>
        <item m="1" x="1213"/>
        <item m="1" x="1254"/>
        <item m="1" x="1173"/>
        <item m="1" x="517"/>
        <item m="1" x="873"/>
        <item m="1" x="1141"/>
        <item m="1" x="1391"/>
        <item m="1" x="985"/>
        <item m="1" x="1103"/>
        <item m="1" x="1447"/>
        <item m="1" x="859"/>
        <item m="1" x="703"/>
        <item m="1" x="936"/>
        <item m="1" x="883"/>
        <item m="1" x="813"/>
        <item m="1" x="1330"/>
        <item m="1" x="1017"/>
        <item m="1" x="1113"/>
        <item m="1" x="364"/>
        <item m="1" x="909"/>
        <item m="1" x="511"/>
        <item m="1" x="778"/>
        <item m="1" x="916"/>
        <item m="1" x="446"/>
        <item m="1" x="563"/>
        <item m="1" x="1018"/>
        <item m="1" x="1215"/>
        <item m="1" x="1485"/>
        <item m="1" x="1528"/>
        <item m="1" x="1138"/>
        <item m="1" x="486"/>
        <item m="1" x="414"/>
        <item m="1" x="1000"/>
        <item m="1" x="622"/>
        <item m="1" x="896"/>
        <item m="1" x="524"/>
        <item m="1" x="627"/>
        <item m="1" x="1054"/>
        <item m="1" x="1410"/>
        <item m="1" x="1341"/>
        <item m="1" x="757"/>
        <item m="1" x="792"/>
        <item m="1" x="1068"/>
        <item m="1" x="1498"/>
        <item m="1" x="1224"/>
        <item m="1" x="390"/>
        <item m="1" x="1452"/>
        <item m="1" x="498"/>
        <item m="1" x="1144"/>
        <item m="1" x="1189"/>
        <item m="1" x="1192"/>
        <item m="1" x="1532"/>
        <item m="1" x="425"/>
        <item m="1" x="1203"/>
        <item m="1" x="1300"/>
        <item m="1" x="1072"/>
        <item m="1" x="1242"/>
        <item m="1" x="484"/>
        <item m="1" x="876"/>
        <item m="1" x="723"/>
        <item m="1" x="1335"/>
        <item m="1" x="1430"/>
        <item m="1" x="959"/>
        <item m="1" x="1398"/>
        <item m="1" x="1446"/>
        <item m="1" x="799"/>
        <item m="1" x="1302"/>
        <item m="1" x="1165"/>
        <item m="1" x="1448"/>
        <item m="1" x="1492"/>
        <item m="1" x="1230"/>
        <item m="1" x="840"/>
        <item m="1" x="645"/>
        <item m="1" x="1480"/>
        <item m="1" x="1027"/>
        <item m="1" x="1001"/>
        <item m="1" x="1010"/>
        <item m="1" x="1531"/>
        <item m="1" x="1255"/>
        <item m="1" x="950"/>
        <item m="1" x="1219"/>
        <item m="1" x="1196"/>
        <item m="1" x="812"/>
        <item m="1" x="713"/>
        <item m="1" x="1212"/>
        <item m="1" x="607"/>
        <item m="1" x="564"/>
        <item m="1" x="506"/>
        <item m="1" x="1493"/>
        <item m="1" x="1109"/>
        <item m="1" x="844"/>
        <item m="1" x="925"/>
        <item m="1" x="406"/>
        <item m="1" x="1482"/>
        <item m="1" x="1033"/>
        <item m="1" x="1181"/>
        <item m="1" x="629"/>
        <item m="1" x="1313"/>
        <item m="1" x="816"/>
        <item m="1" x="709"/>
        <item m="1" x="1537"/>
        <item m="1" x="839"/>
        <item m="1" x="1478"/>
        <item m="1" x="1064"/>
        <item m="1" x="740"/>
        <item m="1" x="531"/>
        <item m="1" x="474"/>
        <item m="1" x="768"/>
        <item m="1" x="465"/>
        <item m="1" x="436"/>
        <item m="1" x="453"/>
        <item m="1" x="732"/>
        <item m="1" x="577"/>
        <item m="1" x="884"/>
        <item m="1" x="941"/>
        <item m="1" x="1040"/>
        <item m="1" x="911"/>
        <item m="1" x="1244"/>
        <item m="1" x="1308"/>
        <item m="1" x="520"/>
        <item m="1" x="530"/>
        <item m="1" x="719"/>
        <item m="1" x="861"/>
        <item m="1" x="651"/>
        <item m="1" x="1204"/>
        <item m="1" x="954"/>
        <item m="1" x="871"/>
        <item m="1" x="1004"/>
        <item m="1" x="1310"/>
        <item m="1" x="1248"/>
        <item m="1" x="1334"/>
        <item m="1" x="1090"/>
        <item m="1" x="510"/>
        <item m="1" x="1516"/>
        <item m="1" x="929"/>
        <item m="1" x="544"/>
        <item m="1" x="368"/>
        <item m="1" x="1513"/>
        <item m="1" x="997"/>
        <item m="1" x="964"/>
        <item m="1" x="736"/>
        <item m="1" x="616"/>
        <item m="1" x="700"/>
        <item m="1" x="854"/>
        <item m="1" x="1429"/>
        <item m="1" x="1348"/>
        <item m="1" x="724"/>
        <item m="1" x="797"/>
        <item m="1" x="804"/>
        <item m="1" x="1342"/>
        <item m="1" x="945"/>
        <item m="1" x="417"/>
        <item m="1" x="978"/>
        <item m="1" x="1257"/>
        <item m="1" x="1383"/>
        <item m="1" x="1276"/>
        <item m="1" x="1084"/>
        <item m="1" x="1382"/>
        <item m="1" x="396"/>
        <item m="1" x="1299"/>
        <item m="1" x="378"/>
        <item m="1" x="718"/>
        <item m="1" x="382"/>
        <item m="1" x="541"/>
        <item m="1" x="631"/>
        <item m="1" x="637"/>
        <item m="1" x="1055"/>
        <item m="1" x="1309"/>
        <item m="1" x="836"/>
        <item m="1" x="407"/>
        <item m="1" x="613"/>
        <item m="1" x="401"/>
        <item m="1" x="1396"/>
        <item m="1" x="621"/>
        <item m="1" x="957"/>
        <item m="1" x="1416"/>
        <item m="1" x="743"/>
        <item m="1" x="685"/>
        <item m="1" x="1081"/>
        <item m="1" x="638"/>
        <item m="1" x="946"/>
        <item m="1" x="1240"/>
        <item m="1" x="379"/>
        <item m="1" x="892"/>
        <item m="1" x="1011"/>
        <item m="1" x="503"/>
        <item m="1" x="845"/>
        <item m="1" x="980"/>
        <item m="1" x="731"/>
        <item m="1" x="769"/>
        <item m="1" x="496"/>
        <item m="1" x="902"/>
        <item m="1" x="366"/>
        <item m="1" x="1038"/>
        <item m="1" x="1431"/>
        <item m="1" x="1152"/>
        <item m="1" x="1146"/>
        <item m="1" x="1045"/>
        <item m="1" x="371"/>
        <item m="1" x="1177"/>
        <item m="1" x="1220"/>
        <item m="1" x="1026"/>
        <item m="1" x="370"/>
        <item m="1" x="1377"/>
        <item m="1" x="1344"/>
        <item m="1" x="374"/>
        <item m="1" x="653"/>
        <item m="1" x="1043"/>
        <item m="1" x="1298"/>
        <item m="1" x="495"/>
        <item m="1" x="391"/>
        <item m="1" x="550"/>
        <item m="1" x="441"/>
        <item m="1" x="849"/>
        <item m="1" x="662"/>
        <item m="1" x="660"/>
        <item m="1" x="831"/>
        <item m="1" x="933"/>
        <item m="1" x="837"/>
        <item m="1" x="1034"/>
        <item m="1" x="886"/>
        <item m="1" x="751"/>
        <item m="1" x="866"/>
        <item m="1" x="1359"/>
        <item m="1" x="1454"/>
        <item m="1" x="711"/>
        <item m="1" x="1434"/>
        <item m="1" x="476"/>
        <item m="1" x="1423"/>
        <item m="1" x="1120"/>
        <item m="1" x="1291"/>
        <item m="1" x="1370"/>
        <item m="1" x="1050"/>
        <item m="1" x="1262"/>
        <item m="1" x="554"/>
        <item m="1" x="537"/>
        <item m="1" x="1159"/>
        <item m="1" x="1131"/>
        <item m="1" x="693"/>
        <item m="1" x="1529"/>
        <item m="1" x="1101"/>
        <item m="1" x="841"/>
        <item m="1" x="915"/>
        <item m="1" x="874"/>
        <item m="1" x="1384"/>
        <item m="1" x="1388"/>
        <item m="1" x="384"/>
        <item m="1" x="1268"/>
        <item m="1" x="1314"/>
        <item m="1" x="433"/>
        <item m="1" x="805"/>
        <item m="1" x="796"/>
        <item m="1" x="1303"/>
        <item m="1" x="1002"/>
        <item m="1" x="1206"/>
        <item m="1" x="872"/>
        <item m="1" x="1223"/>
        <item m="1" x="411"/>
        <item m="1" x="534"/>
        <item m="1" x="1503"/>
        <item m="1" x="1123"/>
        <item m="1" x="1495"/>
        <item m="1" x="415"/>
        <item m="1" x="675"/>
        <item m="1" x="491"/>
        <item m="1" x="424"/>
        <item m="1" x="439"/>
        <item m="1" x="991"/>
        <item m="1" x="1024"/>
        <item m="1" x="696"/>
        <item m="1" x="1114"/>
        <item m="1" x="1432"/>
        <item m="1" x="783"/>
        <item m="1" x="862"/>
        <item m="1" x="1012"/>
        <item m="1" x="1500"/>
        <item m="1" x="677"/>
        <item m="1" x="689"/>
        <item m="1" x="699"/>
        <item m="1" x="1320"/>
        <item m="1" x="1456"/>
        <item m="1" x="373"/>
        <item m="1" x="1200"/>
        <item m="1" x="1496"/>
        <item m="1" x="597"/>
        <item m="1" x="912"/>
        <item m="1" x="1533"/>
        <item m="1" x="1439"/>
        <item m="1" x="586"/>
        <item m="1" x="698"/>
        <item m="1" x="785"/>
        <item m="1" x="1110"/>
        <item m="1" x="1307"/>
        <item m="1" x="542"/>
        <item m="1" x="1013"/>
        <item m="1" x="538"/>
        <item m="1" x="507"/>
        <item m="1" x="455"/>
        <item m="1" x="1426"/>
        <item m="1" x="1019"/>
        <item m="1" x="1467"/>
        <item m="1" x="860"/>
        <item m="1" x="1484"/>
        <item m="1" x="1236"/>
        <item m="1" x="525"/>
        <item m="1" x="1340"/>
        <item m="1" x="1354"/>
        <item m="1" x="1014"/>
        <item m="1" x="1389"/>
        <item m="1" x="1227"/>
        <item m="1" x="1092"/>
        <item m="1" x="409"/>
        <item m="1" x="1238"/>
        <item m="1" x="970"/>
        <item m="1" x="903"/>
        <item m="1" x="1246"/>
        <item m="1" x="830"/>
        <item m="1" x="464"/>
        <item m="1" x="636"/>
        <item m="1" x="413"/>
        <item m="1" x="762"/>
        <item m="1" x="1140"/>
        <item m="1" x="725"/>
        <item m="1" x="588"/>
        <item m="1" x="803"/>
        <item m="1" x="481"/>
        <item m="1" x="733"/>
        <item m="1" x="604"/>
        <item m="1" x="955"/>
        <item m="1" x="1542"/>
        <item m="1" x="996"/>
        <item m="1" x="592"/>
        <item m="1" x="869"/>
        <item m="1" x="575"/>
        <item m="1" x="628"/>
        <item m="1" x="920"/>
        <item m="1" x="1188"/>
        <item m="1" x="905"/>
        <item m="1" x="1355"/>
        <item m="1" x="917"/>
        <item m="1" x="1151"/>
        <item m="1" x="466"/>
        <item m="1" x="949"/>
        <item m="1" x="589"/>
        <item m="1" x="519"/>
        <item m="1" x="1245"/>
        <item m="1" x="560"/>
        <item m="1" x="1269"/>
        <item m="1" x="461"/>
        <item m="1" x="1086"/>
        <item m="1" x="1093"/>
        <item m="1" x="497"/>
        <item m="1" x="1015"/>
        <item m="1" x="393"/>
        <item m="1" x="1216"/>
        <item m="1" x="921"/>
        <item m="1" x="1142"/>
        <item m="1" x="1111"/>
        <item m="1" x="1331"/>
        <item m="1" x="1104"/>
        <item m="1" x="682"/>
        <item m="1" x="1183"/>
        <item m="1" x="1317"/>
        <item m="1" x="1007"/>
        <item m="1" x="1139"/>
        <item m="1" x="472"/>
        <item m="1" x="1305"/>
        <item m="1" x="962"/>
        <item m="1" x="827"/>
        <item m="1" x="1211"/>
        <item m="1" x="737"/>
        <item m="1" x="1060"/>
        <item m="1" x="594"/>
        <item m="1" x="690"/>
        <item m="1" x="1087"/>
        <item m="1" x="856"/>
        <item m="1" x="400"/>
        <item m="1" x="734"/>
        <item m="1" x="1214"/>
        <item m="1" x="1316"/>
        <item m="1" x="419"/>
        <item m="1" x="704"/>
        <item m="1" x="639"/>
        <item m="1" x="972"/>
        <item m="1" x="1065"/>
        <item m="1" x="505"/>
        <item m="1" x="1487"/>
        <item m="1" x="470"/>
        <item m="1" x="543"/>
        <item m="1" x="1324"/>
        <item m="1" x="832"/>
        <item m="1" x="846"/>
        <item m="1" x="900"/>
        <item m="1" x="475"/>
        <item m="1" x="754"/>
        <item m="1" x="1149"/>
        <item m="1" x="1061"/>
        <item m="1" x="851"/>
        <item m="1" x="798"/>
        <item m="1" x="428"/>
        <item m="1" x="666"/>
        <item m="1" x="1130"/>
        <item m="1" x="764"/>
        <item m="1" x="927"/>
        <item m="1" x="864"/>
        <item m="1" x="1046"/>
        <item m="1" x="410"/>
        <item m="1" x="891"/>
        <item m="1" x="565"/>
        <item m="1" x="968"/>
        <item m="1" x="1094"/>
        <item m="1" x="1170"/>
        <item m="1" x="1105"/>
        <item m="1" x="1066"/>
        <item m="1" x="992"/>
        <item m="1" x="1403"/>
        <item m="1" x="1295"/>
        <item m="1" x="546"/>
        <item m="1" x="1287"/>
        <item m="1" x="741"/>
        <item m="1" x="1051"/>
        <item m="1" x="457"/>
        <item m="1" x="1030"/>
        <item m="1" x="897"/>
        <item m="1" x="1329"/>
        <item m="1" x="483"/>
        <item m="1" x="1540"/>
        <item m="1" x="522"/>
        <item m="1" x="462"/>
        <item m="1" x="1032"/>
        <item m="1" x="1232"/>
        <item m="1" x="1135"/>
        <item m="1" x="421"/>
        <item m="1" x="573"/>
        <item m="1" x="1361"/>
        <item m="1" x="1301"/>
        <item m="1" x="556"/>
        <item m="1" x="529"/>
        <item m="1" x="824"/>
        <item m="1" x="445"/>
        <item m="1" x="1052"/>
        <item m="1" x="485"/>
        <item m="1" x="655"/>
        <item m="1" x="952"/>
        <item m="1" x="1483"/>
        <item m="1" x="523"/>
        <item m="1" x="793"/>
        <item m="1" x="640"/>
        <item m="1" x="802"/>
        <item m="1" x="1356"/>
        <item m="1" x="1239"/>
        <item m="1" x="701"/>
        <item m="1" x="454"/>
        <item m="1" x="1404"/>
        <item m="1" x="567"/>
        <item m="1" x="1349"/>
        <item m="1" x="906"/>
        <item m="1" x="1290"/>
        <item m="1" x="649"/>
        <item m="1" x="821"/>
        <item m="1" x="1306"/>
        <item m="1" x="1494"/>
        <item m="1" x="1270"/>
        <item m="1" x="669"/>
        <item m="1" x="612"/>
        <item m="1" x="1315"/>
        <item m="1" x="1079"/>
        <item m="1" x="923"/>
        <item m="1" x="1347"/>
        <item m="1" x="395"/>
        <item m="1" x="392"/>
        <item m="1" x="1067"/>
        <item m="1" x="1207"/>
        <item m="1" x="1162"/>
        <item m="1" x="1345"/>
        <item m="1" x="870"/>
        <item m="1" x="617"/>
        <item m="1" x="691"/>
        <item m="1" x="1221"/>
        <item m="1" x="773"/>
        <item m="1" x="1003"/>
        <item m="1" x="1418"/>
        <item m="1" x="656"/>
        <item m="1" x="993"/>
        <item m="1" x="377"/>
        <item m="1" x="706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m="1" x="694"/>
        <item m="1" x="1455"/>
        <item m="1" x="397"/>
        <item m="1" x="362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30">
    <i>
      <x/>
    </i>
    <i r="1">
      <x v="1533"/>
    </i>
    <i r="2">
      <x v="3"/>
    </i>
    <i r="2">
      <x v="8"/>
    </i>
    <i r="1">
      <x v="1535"/>
    </i>
    <i r="2">
      <x v="3"/>
    </i>
    <i r="2">
      <x v="8"/>
    </i>
    <i r="1">
      <x v="1536"/>
    </i>
    <i r="2">
      <x v="8"/>
    </i>
    <i r="1">
      <x v="1537"/>
    </i>
    <i r="2">
      <x v="3"/>
    </i>
    <i r="2">
      <x v="8"/>
    </i>
    <i r="1">
      <x v="1538"/>
    </i>
    <i r="2">
      <x v="8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18"/>
    </i>
    <i r="2">
      <x v="3"/>
    </i>
    <i r="2">
      <x v="13"/>
    </i>
    <i r="1">
      <x v="1526"/>
    </i>
    <i r="2">
      <x v="3"/>
    </i>
    <i r="2">
      <x v="8"/>
    </i>
    <i r="1">
      <x v="1530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77" totalsRowShown="0" totalsRowDxfId="24">
  <autoFilter ref="A1:C1277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154" totalsRowShown="0">
  <autoFilter ref="A1:S4154" xr:uid="{678037D6-A574-4B81-B392-ED766472D9FE}">
    <filterColumn colId="1">
      <filters>
        <filter val="open"/>
      </filters>
    </filterColumn>
    <filterColumn colId="2">
      <filters>
        <filter val="New"/>
      </filters>
    </filterColumn>
  </autoFilter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5" totalsRowShown="0">
  <autoFilter ref="A1:B13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8"/>
  <sheetViews>
    <sheetView workbookViewId="0">
      <selection activeCell="B34" sqref="B34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4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40">
        <v>1323</v>
      </c>
    </row>
    <row r="5" spans="1:2">
      <c r="A5" s="111" t="s">
        <v>369</v>
      </c>
      <c r="B5" s="140">
        <v>1280</v>
      </c>
    </row>
    <row r="6" spans="1:2">
      <c r="A6" s="111" t="s">
        <v>404</v>
      </c>
      <c r="B6" s="140"/>
    </row>
    <row r="7" spans="1:2">
      <c r="A7" s="111" t="s">
        <v>370</v>
      </c>
      <c r="B7" s="140">
        <v>4</v>
      </c>
    </row>
    <row r="8" spans="1:2">
      <c r="A8" s="111" t="s">
        <v>403</v>
      </c>
      <c r="B8" s="140"/>
    </row>
    <row r="9" spans="1:2">
      <c r="A9" s="111" t="s">
        <v>398</v>
      </c>
      <c r="B9" s="140"/>
    </row>
    <row r="10" spans="1:2">
      <c r="A10" s="111" t="s">
        <v>377</v>
      </c>
      <c r="B10" s="140">
        <v>37</v>
      </c>
    </row>
    <row r="11" spans="1:2">
      <c r="A11" s="111" t="s">
        <v>375</v>
      </c>
      <c r="B11" s="140"/>
    </row>
    <row r="12" spans="1:2">
      <c r="A12" s="111" t="s">
        <v>405</v>
      </c>
      <c r="B12" s="140"/>
    </row>
    <row r="13" spans="1:2">
      <c r="A13" s="111" t="s">
        <v>692</v>
      </c>
      <c r="B13" s="140">
        <v>2</v>
      </c>
    </row>
    <row r="14" spans="1:2">
      <c r="A14" s="17" t="s">
        <v>568</v>
      </c>
      <c r="B14" s="140">
        <v>980</v>
      </c>
    </row>
    <row r="15" spans="1:2">
      <c r="A15" s="111" t="s">
        <v>369</v>
      </c>
      <c r="B15" s="140">
        <v>957</v>
      </c>
    </row>
    <row r="16" spans="1:2">
      <c r="A16" s="111" t="s">
        <v>370</v>
      </c>
      <c r="B16" s="140">
        <v>1</v>
      </c>
    </row>
    <row r="17" spans="1:2">
      <c r="A17" s="111" t="s">
        <v>398</v>
      </c>
      <c r="B17" s="140">
        <v>13</v>
      </c>
    </row>
    <row r="18" spans="1:2">
      <c r="A18" s="111" t="s">
        <v>377</v>
      </c>
      <c r="B18" s="140">
        <v>9</v>
      </c>
    </row>
    <row r="19" spans="1:2">
      <c r="A19" s="17" t="s">
        <v>569</v>
      </c>
      <c r="B19" s="140">
        <v>1433</v>
      </c>
    </row>
    <row r="20" spans="1:2">
      <c r="A20" s="111" t="s">
        <v>369</v>
      </c>
      <c r="B20" s="140">
        <v>1417</v>
      </c>
    </row>
    <row r="21" spans="1:2">
      <c r="A21" s="111" t="s">
        <v>398</v>
      </c>
      <c r="B21" s="140">
        <v>8</v>
      </c>
    </row>
    <row r="22" spans="1:2">
      <c r="A22" s="111" t="s">
        <v>377</v>
      </c>
      <c r="B22" s="140">
        <v>7</v>
      </c>
    </row>
    <row r="23" spans="1:2">
      <c r="A23" s="111" t="s">
        <v>692</v>
      </c>
      <c r="B23" s="140">
        <v>1</v>
      </c>
    </row>
    <row r="24" spans="1:2">
      <c r="A24" s="17" t="s">
        <v>570</v>
      </c>
      <c r="B24" s="140">
        <v>385</v>
      </c>
    </row>
    <row r="25" spans="1:2">
      <c r="A25" s="111" t="s">
        <v>369</v>
      </c>
      <c r="B25" s="140">
        <v>369</v>
      </c>
    </row>
    <row r="26" spans="1:2">
      <c r="A26" s="111" t="s">
        <v>370</v>
      </c>
      <c r="B26" s="140">
        <v>14</v>
      </c>
    </row>
    <row r="27" spans="1:2">
      <c r="A27" s="111" t="s">
        <v>377</v>
      </c>
      <c r="B27" s="140">
        <v>2</v>
      </c>
    </row>
    <row r="28" spans="1:2">
      <c r="A28" s="17" t="s">
        <v>381</v>
      </c>
      <c r="B28" s="140">
        <v>4121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25" sqref="D25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4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40">
        <v>143</v>
      </c>
      <c r="C5"/>
      <c r="D5"/>
      <c r="E5"/>
    </row>
    <row r="6" spans="1:6">
      <c r="A6" s="111" t="s">
        <v>6163</v>
      </c>
      <c r="B6" s="140">
        <v>17</v>
      </c>
      <c r="C6" s="126"/>
      <c r="D6" s="124"/>
      <c r="E6" s="124"/>
    </row>
    <row r="7" spans="1:6">
      <c r="A7" s="112" t="s">
        <v>369</v>
      </c>
      <c r="B7" s="140">
        <v>14</v>
      </c>
      <c r="C7"/>
      <c r="D7"/>
      <c r="E7"/>
    </row>
    <row r="8" spans="1:6">
      <c r="A8" s="112" t="s">
        <v>370</v>
      </c>
      <c r="B8" s="140">
        <v>3</v>
      </c>
      <c r="C8" s="56"/>
      <c r="D8" s="124"/>
      <c r="E8" s="124"/>
    </row>
    <row r="9" spans="1:6">
      <c r="A9" s="111" t="s">
        <v>6204</v>
      </c>
      <c r="B9" s="140">
        <v>113</v>
      </c>
      <c r="C9"/>
      <c r="D9"/>
    </row>
    <row r="10" spans="1:6">
      <c r="A10" s="112" t="s">
        <v>369</v>
      </c>
      <c r="B10" s="140">
        <v>109</v>
      </c>
      <c r="C10" s="53"/>
      <c r="D10" s="124"/>
      <c r="E10" s="124"/>
    </row>
    <row r="11" spans="1:6">
      <c r="A11" s="112" t="s">
        <v>370</v>
      </c>
      <c r="B11" s="140">
        <v>4</v>
      </c>
      <c r="C11"/>
      <c r="D11"/>
    </row>
    <row r="12" spans="1:6">
      <c r="A12" s="111" t="s">
        <v>6205</v>
      </c>
      <c r="B12" s="140">
        <v>1</v>
      </c>
      <c r="C12" s="126"/>
      <c r="D12"/>
    </row>
    <row r="13" spans="1:6">
      <c r="A13" s="112" t="s">
        <v>370</v>
      </c>
      <c r="B13" s="140">
        <v>1</v>
      </c>
      <c r="C13"/>
      <c r="D13"/>
    </row>
    <row r="14" spans="1:6">
      <c r="A14" s="111" t="s">
        <v>6220</v>
      </c>
      <c r="B14" s="140">
        <v>11</v>
      </c>
      <c r="C14" s="126"/>
      <c r="D14"/>
    </row>
    <row r="15" spans="1:6">
      <c r="A15" s="112" t="s">
        <v>369</v>
      </c>
      <c r="B15" s="140">
        <v>3</v>
      </c>
      <c r="C15"/>
      <c r="D15" s="124"/>
      <c r="E15" s="124"/>
    </row>
    <row r="16" spans="1:6">
      <c r="A16" s="112" t="s">
        <v>370</v>
      </c>
      <c r="B16" s="140">
        <v>8</v>
      </c>
      <c r="C16"/>
      <c r="D16"/>
    </row>
    <row r="17" spans="1:5">
      <c r="A17" s="111" t="s">
        <v>6222</v>
      </c>
      <c r="B17" s="140">
        <v>1</v>
      </c>
      <c r="C17"/>
      <c r="D17" s="124"/>
      <c r="E17" s="124"/>
    </row>
    <row r="18" spans="1:5">
      <c r="A18" s="112" t="s">
        <v>370</v>
      </c>
      <c r="B18" s="140">
        <v>1</v>
      </c>
      <c r="C18" s="126"/>
      <c r="D18"/>
    </row>
    <row r="19" spans="1:5">
      <c r="A19" s="17" t="s">
        <v>4328</v>
      </c>
      <c r="B19" s="140">
        <v>315</v>
      </c>
      <c r="C19" s="47"/>
      <c r="D19"/>
    </row>
    <row r="20" spans="1:5">
      <c r="A20" s="111" t="s">
        <v>4414</v>
      </c>
      <c r="B20" s="140">
        <v>11</v>
      </c>
      <c r="C20" s="126"/>
    </row>
    <row r="21" spans="1:5" ht="17.25" customHeight="1">
      <c r="A21" s="112" t="s">
        <v>369</v>
      </c>
      <c r="B21" s="140">
        <v>10</v>
      </c>
    </row>
    <row r="22" spans="1:5">
      <c r="A22" s="112" t="s">
        <v>692</v>
      </c>
      <c r="B22" s="140">
        <v>1</v>
      </c>
    </row>
    <row r="23" spans="1:5">
      <c r="A23" s="111" t="s">
        <v>5480</v>
      </c>
      <c r="B23" s="140">
        <v>178</v>
      </c>
    </row>
    <row r="24" spans="1:5">
      <c r="A24" s="112" t="s">
        <v>369</v>
      </c>
      <c r="B24" s="140">
        <v>177</v>
      </c>
    </row>
    <row r="25" spans="1:5">
      <c r="A25" s="112" t="s">
        <v>692</v>
      </c>
      <c r="B25" s="140">
        <v>1</v>
      </c>
      <c r="D25" s="124"/>
      <c r="E25" s="124"/>
    </row>
    <row r="26" spans="1:5">
      <c r="A26" s="111" t="s">
        <v>5774</v>
      </c>
      <c r="B26" s="140">
        <v>11</v>
      </c>
      <c r="C26" s="126"/>
    </row>
    <row r="27" spans="1:5">
      <c r="A27" s="112" t="s">
        <v>369</v>
      </c>
      <c r="B27" s="140">
        <v>10</v>
      </c>
    </row>
    <row r="28" spans="1:5">
      <c r="A28" s="112" t="s">
        <v>692</v>
      </c>
      <c r="B28" s="140">
        <v>1</v>
      </c>
    </row>
    <row r="29" spans="1:5">
      <c r="A29" s="111" t="s">
        <v>6089</v>
      </c>
      <c r="B29" s="140">
        <v>114</v>
      </c>
    </row>
    <row r="30" spans="1:5">
      <c r="A30" s="112" t="s">
        <v>369</v>
      </c>
      <c r="B30" s="140">
        <v>113</v>
      </c>
    </row>
    <row r="31" spans="1:5">
      <c r="A31" s="112" t="s">
        <v>370</v>
      </c>
      <c r="B31" s="140">
        <v>1</v>
      </c>
      <c r="C31" s="30"/>
    </row>
    <row r="32" spans="1:5">
      <c r="A32" s="111" t="s">
        <v>6108</v>
      </c>
      <c r="B32" s="140">
        <v>1</v>
      </c>
      <c r="C32" s="30"/>
    </row>
    <row r="33" spans="1:3">
      <c r="A33" s="112" t="s">
        <v>370</v>
      </c>
      <c r="B33" s="140">
        <v>1</v>
      </c>
      <c r="C33" s="30"/>
    </row>
    <row r="34" spans="1:3">
      <c r="A34" s="17" t="s">
        <v>381</v>
      </c>
      <c r="B34" s="140">
        <v>458</v>
      </c>
      <c r="C34" s="30"/>
    </row>
    <row r="35" spans="1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77"/>
  <sheetViews>
    <sheetView topLeftCell="A1267" workbookViewId="0">
      <selection activeCell="D1257" sqref="D1257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5573</v>
      </c>
      <c r="B1250">
        <v>1</v>
      </c>
      <c r="C1250" s="128" t="s">
        <v>4</v>
      </c>
    </row>
    <row r="1251" spans="1:3">
      <c r="A1251" t="s">
        <v>5576</v>
      </c>
      <c r="B1251">
        <v>2</v>
      </c>
      <c r="C1251" s="135" t="s">
        <v>4</v>
      </c>
    </row>
    <row r="1252" spans="1:3">
      <c r="A1252" t="s">
        <v>5671</v>
      </c>
      <c r="B1252">
        <v>93</v>
      </c>
      <c r="C1252" s="135" t="s">
        <v>4</v>
      </c>
    </row>
    <row r="1253" spans="1:3">
      <c r="A1253" t="s">
        <v>5672</v>
      </c>
      <c r="B1253">
        <v>1</v>
      </c>
      <c r="C1253" s="135" t="s">
        <v>4</v>
      </c>
    </row>
    <row r="1254" spans="1:3">
      <c r="A1254" t="s">
        <v>5674</v>
      </c>
      <c r="B1254">
        <v>6</v>
      </c>
      <c r="C1254" s="135" t="s">
        <v>4</v>
      </c>
    </row>
    <row r="1255" spans="1:3">
      <c r="A1255" t="s">
        <v>5685</v>
      </c>
      <c r="B1255">
        <v>12</v>
      </c>
      <c r="C1255" s="135" t="s">
        <v>4</v>
      </c>
    </row>
    <row r="1256" spans="1:3">
      <c r="A1256" t="s">
        <v>5698</v>
      </c>
      <c r="B1256">
        <v>1</v>
      </c>
      <c r="C1256" s="135" t="s">
        <v>4</v>
      </c>
    </row>
    <row r="1257" spans="1:3">
      <c r="A1257" t="s">
        <v>5702</v>
      </c>
      <c r="B1257">
        <v>5</v>
      </c>
      <c r="C1257" s="135" t="s">
        <v>4</v>
      </c>
    </row>
    <row r="1258" spans="1:3">
      <c r="A1258" t="s">
        <v>5712</v>
      </c>
      <c r="B1258">
        <v>12</v>
      </c>
      <c r="C1258" s="135" t="s">
        <v>4</v>
      </c>
    </row>
    <row r="1259" spans="1:3">
      <c r="A1259" t="s">
        <v>5723</v>
      </c>
      <c r="B1259">
        <v>8</v>
      </c>
      <c r="C1259" s="135" t="s">
        <v>4</v>
      </c>
    </row>
    <row r="1260" spans="1:3">
      <c r="A1260" t="s">
        <v>5733</v>
      </c>
      <c r="B1260">
        <v>2</v>
      </c>
      <c r="C1260" s="135" t="s">
        <v>4</v>
      </c>
    </row>
    <row r="1261" spans="1:3">
      <c r="A1261" t="s">
        <v>5710</v>
      </c>
      <c r="B1261">
        <v>1</v>
      </c>
      <c r="C1261" s="135" t="s">
        <v>4</v>
      </c>
    </row>
    <row r="1262" spans="1:3">
      <c r="A1262" t="s">
        <v>5736</v>
      </c>
      <c r="B1262">
        <v>1</v>
      </c>
      <c r="C1262" s="135" t="s">
        <v>4</v>
      </c>
    </row>
    <row r="1263" spans="1:3">
      <c r="A1263" t="s">
        <v>5739</v>
      </c>
      <c r="B1263">
        <v>1</v>
      </c>
      <c r="C1263" s="135" t="s">
        <v>4</v>
      </c>
    </row>
    <row r="1264" spans="1:3">
      <c r="A1264" t="s">
        <v>5743</v>
      </c>
      <c r="B1264">
        <v>18</v>
      </c>
      <c r="C1264" s="135" t="s">
        <v>4</v>
      </c>
    </row>
    <row r="1265" spans="1:3">
      <c r="A1265" t="s">
        <v>5857</v>
      </c>
      <c r="B1265">
        <v>2</v>
      </c>
      <c r="C1265" s="135" t="s">
        <v>4</v>
      </c>
    </row>
    <row r="1266" spans="1:3">
      <c r="A1266" t="s">
        <v>5776</v>
      </c>
      <c r="B1266">
        <v>35</v>
      </c>
      <c r="C1266" s="138" t="s">
        <v>4</v>
      </c>
    </row>
    <row r="1267" spans="1:3">
      <c r="A1267" t="s">
        <v>5817</v>
      </c>
      <c r="B1267">
        <v>36</v>
      </c>
      <c r="C1267" s="138" t="s">
        <v>4</v>
      </c>
    </row>
    <row r="1268" spans="1:3">
      <c r="A1268" t="s">
        <v>5858</v>
      </c>
      <c r="B1268">
        <v>60</v>
      </c>
      <c r="C1268" s="138" t="s">
        <v>4</v>
      </c>
    </row>
    <row r="1269" spans="1:3">
      <c r="A1269" t="s">
        <v>5920</v>
      </c>
      <c r="B1269">
        <v>5</v>
      </c>
      <c r="C1269" s="138" t="s">
        <v>4</v>
      </c>
    </row>
    <row r="1270" spans="1:3">
      <c r="A1270" t="s">
        <v>5922</v>
      </c>
      <c r="B1270">
        <v>19</v>
      </c>
      <c r="C1270" s="138" t="s">
        <v>4</v>
      </c>
    </row>
    <row r="1271" spans="1:3">
      <c r="A1271" t="s">
        <v>6092</v>
      </c>
      <c r="B1271">
        <v>5</v>
      </c>
      <c r="C1271" s="138" t="s">
        <v>4</v>
      </c>
    </row>
    <row r="1272" spans="1:3">
      <c r="A1272" t="s">
        <v>6101</v>
      </c>
      <c r="B1272">
        <v>7</v>
      </c>
      <c r="C1272" s="138" t="s">
        <v>4</v>
      </c>
    </row>
    <row r="1273" spans="1:3">
      <c r="A1273" s="138" t="s">
        <v>5817</v>
      </c>
      <c r="B1273" s="30">
        <v>35</v>
      </c>
      <c r="C1273" s="138" t="s">
        <v>4</v>
      </c>
    </row>
    <row r="1274" spans="1:3">
      <c r="A1274" t="s">
        <v>6109</v>
      </c>
      <c r="B1274">
        <v>39</v>
      </c>
      <c r="C1274" s="139" t="s">
        <v>4</v>
      </c>
    </row>
    <row r="1275" spans="1:3">
      <c r="A1275" t="s">
        <v>6150</v>
      </c>
      <c r="B1275">
        <v>1</v>
      </c>
      <c r="C1275" s="144" t="s">
        <v>4</v>
      </c>
    </row>
    <row r="1276" spans="1:3">
      <c r="A1276" t="s">
        <v>6164</v>
      </c>
      <c r="B1276">
        <v>1</v>
      </c>
      <c r="C1276" s="144" t="s">
        <v>4</v>
      </c>
    </row>
    <row r="1277" spans="1:3">
      <c r="A1277" t="s">
        <v>6102</v>
      </c>
      <c r="B1277">
        <v>3</v>
      </c>
      <c r="C1277" s="144" t="s">
        <v>4</v>
      </c>
    </row>
  </sheetData>
  <conditionalFormatting sqref="A2:A545 A548:A568 A570:A1036 A1038:A1232 A1238:A1272 A1274:A1048576">
    <cfRule type="duplicateValues" dxfId="2" priority="2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154"/>
  <sheetViews>
    <sheetView tabSelected="1" topLeftCell="C1" zoomScale="85" zoomScaleNormal="85" workbookViewId="0">
      <selection activeCell="I4163" sqref="I4163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45.6640625" customWidth="1"/>
    <col min="5" max="5" width="23.6640625" customWidth="1"/>
    <col min="6" max="6" width="27.88671875" bestFit="1" customWidth="1"/>
    <col min="7" max="7" width="14.88671875" customWidth="1"/>
    <col min="8" max="8" width="12.44140625" customWidth="1" outlineLevel="1"/>
    <col min="9" max="9" width="4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 ca="1"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 ca="1">IF(Proc[[#This Row],[type]]="LFF (MDG-F)",MID(Proc[[#This Row],[Obj]],13,10),"")</f>
        <v/>
      </c>
      <c r="J2" t="b">
        <f ca="1">Proc[[#This Row],[Requested]]=Proc[[#This Row],[CurrentParent]]</f>
        <v>1</v>
      </c>
      <c r="K2" t="str">
        <f ca="1"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38" t="str">
        <f ca="1"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 ca="1">IF(Proc[[#This Row],[type]]="LFF (MDG-F)",MID(Proc[[#This Row],[Obj]],13,10),"")</f>
        <v/>
      </c>
      <c r="J3" t="b">
        <f ca="1">Proc[[#This Row],[Requested]]=Proc[[#This Row],[CurrentParent]]</f>
        <v>1</v>
      </c>
      <c r="K3" t="str">
        <f ca="1"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38" t="str">
        <f ca="1"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 ca="1">IF(Proc[[#This Row],[type]]="LFF (MDG-F)",MID(Proc[[#This Row],[Obj]],13,10),"")</f>
        <v/>
      </c>
      <c r="J4" t="b">
        <f ca="1">Proc[[#This Row],[Requested]]=Proc[[#This Row],[CurrentParent]]</f>
        <v>1</v>
      </c>
      <c r="K4" t="str">
        <f ca="1"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38" t="str">
        <f ca="1"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 ca="1">IF(Proc[[#This Row],[type]]="LFF (MDG-F)",MID(Proc[[#This Row],[Obj]],13,10),"")</f>
        <v/>
      </c>
      <c r="J5" t="b">
        <f ca="1">Proc[[#This Row],[Requested]]=Proc[[#This Row],[CurrentParent]]</f>
        <v>1</v>
      </c>
      <c r="K5" t="str">
        <f ca="1"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38" t="str">
        <f ca="1"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 ca="1">IF(Proc[[#This Row],[type]]="LFF (MDG-F)",MID(Proc[[#This Row],[Obj]],13,10),"")</f>
        <v/>
      </c>
      <c r="J6" t="b">
        <f ca="1">Proc[[#This Row],[Requested]]=Proc[[#This Row],[CurrentParent]]</f>
        <v>1</v>
      </c>
      <c r="K6" t="str">
        <f ca="1"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38" t="str">
        <f ca="1"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 ca="1">IF(Proc[[#This Row],[type]]="LFF (MDG-F)",MID(Proc[[#This Row],[Obj]],13,10),"")</f>
        <v/>
      </c>
      <c r="J7" t="b">
        <f ca="1">Proc[[#This Row],[Requested]]=Proc[[#This Row],[CurrentParent]]</f>
        <v>1</v>
      </c>
      <c r="K7" t="str">
        <f ca="1"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38" t="str">
        <f ca="1"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 ca="1">IF(Proc[[#This Row],[type]]="LFF (MDG-F)",MID(Proc[[#This Row],[Obj]],13,10),"")</f>
        <v/>
      </c>
      <c r="J8" t="b">
        <f ca="1">Proc[[#This Row],[Requested]]=Proc[[#This Row],[CurrentParent]]</f>
        <v>1</v>
      </c>
      <c r="K8" t="str">
        <f ca="1"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38" t="str">
        <f ca="1"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 ca="1">IF(Proc[[#This Row],[type]]="LFF (MDG-F)",MID(Proc[[#This Row],[Obj]],13,10),"")</f>
        <v/>
      </c>
      <c r="J9" t="b">
        <f ca="1">Proc[[#This Row],[Requested]]=Proc[[#This Row],[CurrentParent]]</f>
        <v>1</v>
      </c>
      <c r="K9" t="str">
        <f ca="1"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38" t="str">
        <f ca="1"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 ca="1">IF(Proc[[#This Row],[type]]="LFF (MDG-F)",MID(Proc[[#This Row],[Obj]],13,10),"")</f>
        <v/>
      </c>
      <c r="J10" s="22" t="b">
        <f ca="1">Proc[[#This Row],[Requested]]=Proc[[#This Row],[CurrentParent]]</f>
        <v>1</v>
      </c>
      <c r="K10" s="22" t="str">
        <f ca="1"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38" t="str">
        <f ca="1"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 ca="1">IF(Proc[[#This Row],[type]]="LFF (MDG-F)",MID(Proc[[#This Row],[Obj]],13,10),"")</f>
        <v>DE10N01513</v>
      </c>
      <c r="J11" s="60" t="b">
        <f ca="1">Proc[[#This Row],[Requested]]=Proc[[#This Row],[CurrentParent]]</f>
        <v>1</v>
      </c>
      <c r="K11" s="60" t="str">
        <f ca="1"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38" t="str">
        <f ca="1"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 ca="1">IF(Proc[[#This Row],[type]]="LFF (MDG-F)",MID(Proc[[#This Row],[Obj]],13,10),"")</f>
        <v/>
      </c>
      <c r="J12" s="60" t="b">
        <f ca="1">Proc[[#This Row],[Requested]]=Proc[[#This Row],[CurrentParent]]</f>
        <v>1</v>
      </c>
      <c r="K12" s="60" t="str">
        <f ca="1"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38" t="str">
        <f ca="1"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 ca="1">IF(Proc[[#This Row],[type]]="LFF (MDG-F)",MID(Proc[[#This Row],[Obj]],13,10),"")</f>
        <v/>
      </c>
      <c r="J13" s="60" t="b">
        <f ca="1">Proc[[#This Row],[Requested]]=Proc[[#This Row],[CurrentParent]]</f>
        <v>1</v>
      </c>
      <c r="K13" s="60" t="str">
        <f ca="1"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38" t="str">
        <f ca="1"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 ca="1">IF(Proc[[#This Row],[type]]="LFF (MDG-F)",MID(Proc[[#This Row],[Obj]],13,10),"")</f>
        <v/>
      </c>
      <c r="J14" s="60" t="b">
        <f ca="1">Proc[[#This Row],[Requested]]=Proc[[#This Row],[CurrentParent]]</f>
        <v>1</v>
      </c>
      <c r="K14" s="60" t="str">
        <f ca="1"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38" t="str">
        <f ca="1"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 ca="1">IF(Proc[[#This Row],[type]]="LFF (MDG-F)",MID(Proc[[#This Row],[Obj]],13,10),"")</f>
        <v/>
      </c>
      <c r="J15" s="60" t="b">
        <f ca="1">Proc[[#This Row],[Requested]]=Proc[[#This Row],[CurrentParent]]</f>
        <v>1</v>
      </c>
      <c r="K15" s="60" t="str">
        <f ca="1"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38" t="str">
        <f ca="1"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 ca="1">IF(Proc[[#This Row],[type]]="LFF (MDG-F)",MID(Proc[[#This Row],[Obj]],13,10),"")</f>
        <v/>
      </c>
      <c r="J16" s="60" t="b">
        <f ca="1">Proc[[#This Row],[Requested]]=Proc[[#This Row],[CurrentParent]]</f>
        <v>1</v>
      </c>
      <c r="K16" s="60" t="str">
        <f ca="1"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38" t="str">
        <f ca="1"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 ca="1">IF(Proc[[#This Row],[type]]="LFF (MDG-F)",MID(Proc[[#This Row],[Obj]],13,10),"")</f>
        <v>CH65GMF012</v>
      </c>
      <c r="J17" s="60" t="b">
        <f ca="1">Proc[[#This Row],[Requested]]=Proc[[#This Row],[CurrentParent]]</f>
        <v>1</v>
      </c>
      <c r="K17" s="60" t="str">
        <f ca="1"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38" t="str">
        <f ca="1"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 ca="1">IF(Proc[[#This Row],[type]]="LFF (MDG-F)",MID(Proc[[#This Row],[Obj]],13,10),"")</f>
        <v>CH65GMF011</v>
      </c>
      <c r="J18" s="60" t="b">
        <f ca="1">Proc[[#This Row],[Requested]]=Proc[[#This Row],[CurrentParent]]</f>
        <v>1</v>
      </c>
      <c r="K18" s="60" t="str">
        <f ca="1"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38" t="str">
        <f ca="1"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 ca="1">IF(Proc[[#This Row],[type]]="LFF (MDG-F)",MID(Proc[[#This Row],[Obj]],13,10),"")</f>
        <v>CH65C00056</v>
      </c>
      <c r="J19" s="60" t="b">
        <f ca="1">Proc[[#This Row],[Requested]]=Proc[[#This Row],[CurrentParent]]</f>
        <v>1</v>
      </c>
      <c r="K19" s="60" t="str">
        <f ca="1"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38" t="str">
        <f ca="1"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 ca="1">IF(Proc[[#This Row],[type]]="LFF (MDG-F)",MID(Proc[[#This Row],[Obj]],13,10),"")</f>
        <v>CH65C00057</v>
      </c>
      <c r="J20" s="60" t="b">
        <f ca="1">Proc[[#This Row],[Requested]]=Proc[[#This Row],[CurrentParent]]</f>
        <v>1</v>
      </c>
      <c r="K20" s="60" t="str">
        <f ca="1"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38" t="str">
        <f ca="1"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 ca="1">IF(Proc[[#This Row],[type]]="LFF (MDG-F)",MID(Proc[[#This Row],[Obj]],13,10),"")</f>
        <v/>
      </c>
      <c r="J21" s="60" t="b">
        <f ca="1">Proc[[#This Row],[Requested]]=Proc[[#This Row],[CurrentParent]]</f>
        <v>1</v>
      </c>
      <c r="K21" s="60" t="str">
        <f ca="1"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38" t="str">
        <f ca="1"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 ca="1">IF(Proc[[#This Row],[type]]="LFF (MDG-F)",MID(Proc[[#This Row],[Obj]],13,10),"")</f>
        <v/>
      </c>
      <c r="J22" s="60" t="b">
        <f ca="1">Proc[[#This Row],[Requested]]=Proc[[#This Row],[CurrentParent]]</f>
        <v>1</v>
      </c>
      <c r="K22" s="60" t="str">
        <f ca="1"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38" t="str">
        <f ca="1"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 ca="1">IF(Proc[[#This Row],[type]]="LFF (MDG-F)",MID(Proc[[#This Row],[Obj]],13,10),"")</f>
        <v/>
      </c>
      <c r="J23" s="60" t="b">
        <f ca="1">Proc[[#This Row],[Requested]]=Proc[[#This Row],[CurrentParent]]</f>
        <v>1</v>
      </c>
      <c r="K23" s="60" t="str">
        <f ca="1"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38" t="str">
        <f ca="1"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 ca="1">IF(Proc[[#This Row],[type]]="LFF (MDG-F)",MID(Proc[[#This Row],[Obj]],13,10),"")</f>
        <v>DE10501102</v>
      </c>
      <c r="J24" s="60" t="b">
        <f ca="1">Proc[[#This Row],[Requested]]=Proc[[#This Row],[CurrentParent]]</f>
        <v>1</v>
      </c>
      <c r="K24" s="60" t="str">
        <f ca="1"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38" t="str">
        <f ca="1"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 ca="1">IF(Proc[[#This Row],[type]]="LFF (MDG-F)",MID(Proc[[#This Row],[Obj]],13,10),"")</f>
        <v>DE10501111</v>
      </c>
      <c r="J25" s="60" t="b">
        <f ca="1">Proc[[#This Row],[Requested]]=Proc[[#This Row],[CurrentParent]]</f>
        <v>1</v>
      </c>
      <c r="K25" s="60" t="str">
        <f ca="1"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38" t="str">
        <f ca="1"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 ca="1">IF(Proc[[#This Row],[type]]="LFF (MDG-F)",MID(Proc[[#This Row],[Obj]],13,10),"")</f>
        <v>DE10502401</v>
      </c>
      <c r="J26" s="60" t="b">
        <f ca="1">Proc[[#This Row],[Requested]]=Proc[[#This Row],[CurrentParent]]</f>
        <v>1</v>
      </c>
      <c r="K26" s="60" t="str">
        <f ca="1"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38" t="str">
        <f ca="1"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 ca="1">IF(Proc[[#This Row],[type]]="LFF (MDG-F)",MID(Proc[[#This Row],[Obj]],13,10),"")</f>
        <v>DE10502404</v>
      </c>
      <c r="J27" s="60" t="b">
        <f ca="1">Proc[[#This Row],[Requested]]=Proc[[#This Row],[CurrentParent]]</f>
        <v>1</v>
      </c>
      <c r="K27" s="60" t="str">
        <f ca="1"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38" t="str">
        <f ca="1"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 ca="1">IF(Proc[[#This Row],[type]]="LFF (MDG-F)",MID(Proc[[#This Row],[Obj]],13,10),"")</f>
        <v>DE10502405</v>
      </c>
      <c r="J28" s="60" t="b">
        <f ca="1">Proc[[#This Row],[Requested]]=Proc[[#This Row],[CurrentParent]]</f>
        <v>1</v>
      </c>
      <c r="K28" s="60" t="str">
        <f ca="1"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38" t="str">
        <f ca="1"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 ca="1">IF(Proc[[#This Row],[type]]="LFF (MDG-F)",MID(Proc[[#This Row],[Obj]],13,10),"")</f>
        <v>DE10502407</v>
      </c>
      <c r="J29" s="60" t="b">
        <f ca="1">Proc[[#This Row],[Requested]]=Proc[[#This Row],[CurrentParent]]</f>
        <v>1</v>
      </c>
      <c r="K29" s="60" t="str">
        <f ca="1"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38" t="str">
        <f ca="1"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 ca="1">IF(Proc[[#This Row],[type]]="LFF (MDG-F)",MID(Proc[[#This Row],[Obj]],13,10),"")</f>
        <v>DE10502408</v>
      </c>
      <c r="J30" s="60" t="b">
        <f ca="1">Proc[[#This Row],[Requested]]=Proc[[#This Row],[CurrentParent]]</f>
        <v>1</v>
      </c>
      <c r="K30" s="60" t="str">
        <f ca="1"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38" t="str">
        <f ca="1"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 ca="1">IF(Proc[[#This Row],[type]]="LFF (MDG-F)",MID(Proc[[#This Row],[Obj]],13,10),"")</f>
        <v>DE10502409</v>
      </c>
      <c r="J31" s="60" t="b">
        <f ca="1">Proc[[#This Row],[Requested]]=Proc[[#This Row],[CurrentParent]]</f>
        <v>1</v>
      </c>
      <c r="K31" s="60" t="str">
        <f ca="1"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38" t="str">
        <f ca="1"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 ca="1">IF(Proc[[#This Row],[type]]="LFF (MDG-F)",MID(Proc[[#This Row],[Obj]],13,10),"")</f>
        <v>DE10502410</v>
      </c>
      <c r="J32" s="60" t="b">
        <f ca="1">Proc[[#This Row],[Requested]]=Proc[[#This Row],[CurrentParent]]</f>
        <v>1</v>
      </c>
      <c r="K32" s="60" t="str">
        <f ca="1"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38" t="str">
        <f ca="1"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 ca="1">IF(Proc[[#This Row],[type]]="LFF (MDG-F)",MID(Proc[[#This Row],[Obj]],13,10),"")</f>
        <v>DE10502411</v>
      </c>
      <c r="J33" s="60" t="b">
        <f ca="1">Proc[[#This Row],[Requested]]=Proc[[#This Row],[CurrentParent]]</f>
        <v>1</v>
      </c>
      <c r="K33" s="60" t="str">
        <f ca="1"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38" t="str">
        <f ca="1"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 ca="1">IF(Proc[[#This Row],[type]]="LFF (MDG-F)",MID(Proc[[#This Row],[Obj]],13,10),"")</f>
        <v>DE10502412</v>
      </c>
      <c r="J34" s="60" t="b">
        <f ca="1">Proc[[#This Row],[Requested]]=Proc[[#This Row],[CurrentParent]]</f>
        <v>1</v>
      </c>
      <c r="K34" s="60" t="str">
        <f ca="1"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38" t="str">
        <f ca="1"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 ca="1">IF(Proc[[#This Row],[type]]="LFF (MDG-F)",MID(Proc[[#This Row],[Obj]],13,10),"")</f>
        <v>DE10502415</v>
      </c>
      <c r="J35" s="60" t="b">
        <f ca="1">Proc[[#This Row],[Requested]]=Proc[[#This Row],[CurrentParent]]</f>
        <v>1</v>
      </c>
      <c r="K35" s="60" t="str">
        <f ca="1"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38" t="str">
        <f ca="1"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 ca="1">IF(Proc[[#This Row],[type]]="LFF (MDG-F)",MID(Proc[[#This Row],[Obj]],13,10),"")</f>
        <v>DE10502417</v>
      </c>
      <c r="J36" s="60" t="b">
        <f ca="1">Proc[[#This Row],[Requested]]=Proc[[#This Row],[CurrentParent]]</f>
        <v>1</v>
      </c>
      <c r="K36" s="60" t="str">
        <f ca="1"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38" t="str">
        <f ca="1"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 ca="1">IF(Proc[[#This Row],[type]]="LFF (MDG-F)",MID(Proc[[#This Row],[Obj]],13,10),"")</f>
        <v>DE10502702</v>
      </c>
      <c r="J37" s="60" t="b">
        <f ca="1">Proc[[#This Row],[Requested]]=Proc[[#This Row],[CurrentParent]]</f>
        <v>1</v>
      </c>
      <c r="K37" s="60" t="str">
        <f ca="1"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38" t="str">
        <f ca="1"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 ca="1">IF(Proc[[#This Row],[type]]="LFF (MDG-F)",MID(Proc[[#This Row],[Obj]],13,10),"")</f>
        <v>DE10502703</v>
      </c>
      <c r="J38" s="60" t="b">
        <f ca="1">Proc[[#This Row],[Requested]]=Proc[[#This Row],[CurrentParent]]</f>
        <v>1</v>
      </c>
      <c r="K38" s="60" t="str">
        <f ca="1"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38" t="str">
        <f ca="1"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 ca="1">IF(Proc[[#This Row],[type]]="LFF (MDG-F)",MID(Proc[[#This Row],[Obj]],13,10),"")</f>
        <v>DE10502704</v>
      </c>
      <c r="J39" s="60" t="b">
        <f ca="1">Proc[[#This Row],[Requested]]=Proc[[#This Row],[CurrentParent]]</f>
        <v>1</v>
      </c>
      <c r="K39" s="60" t="str">
        <f ca="1"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38" t="str">
        <f ca="1"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 ca="1">IF(Proc[[#This Row],[type]]="LFF (MDG-F)",MID(Proc[[#This Row],[Obj]],13,10),"")</f>
        <v>DE10502705</v>
      </c>
      <c r="J40" s="60" t="b">
        <f ca="1">Proc[[#This Row],[Requested]]=Proc[[#This Row],[CurrentParent]]</f>
        <v>1</v>
      </c>
      <c r="K40" s="60" t="str">
        <f ca="1"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38" t="str">
        <f ca="1"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 ca="1">IF(Proc[[#This Row],[type]]="LFF (MDG-F)",MID(Proc[[#This Row],[Obj]],13,10),"")</f>
        <v>DE10502706</v>
      </c>
      <c r="J41" s="60" t="b">
        <f ca="1">Proc[[#This Row],[Requested]]=Proc[[#This Row],[CurrentParent]]</f>
        <v>1</v>
      </c>
      <c r="K41" s="60" t="str">
        <f ca="1"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38" t="str">
        <f ca="1"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 ca="1">IF(Proc[[#This Row],[type]]="LFF (MDG-F)",MID(Proc[[#This Row],[Obj]],13,10),"")</f>
        <v>DE10502707</v>
      </c>
      <c r="J42" s="60" t="b">
        <f ca="1">Proc[[#This Row],[Requested]]=Proc[[#This Row],[CurrentParent]]</f>
        <v>1</v>
      </c>
      <c r="K42" s="60" t="str">
        <f ca="1"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38" t="str">
        <f ca="1"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 ca="1">IF(Proc[[#This Row],[type]]="LFF (MDG-F)",MID(Proc[[#This Row],[Obj]],13,10),"")</f>
        <v>DE10502708</v>
      </c>
      <c r="J43" s="60" t="b">
        <f ca="1">Proc[[#This Row],[Requested]]=Proc[[#This Row],[CurrentParent]]</f>
        <v>1</v>
      </c>
      <c r="K43" s="60" t="str">
        <f ca="1"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38" t="str">
        <f ca="1"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 ca="1">IF(Proc[[#This Row],[type]]="LFF (MDG-F)",MID(Proc[[#This Row],[Obj]],13,10),"")</f>
        <v>DE10502709</v>
      </c>
      <c r="J44" s="60" t="b">
        <f ca="1">Proc[[#This Row],[Requested]]=Proc[[#This Row],[CurrentParent]]</f>
        <v>1</v>
      </c>
      <c r="K44" s="60" t="str">
        <f ca="1"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38" t="str">
        <f ca="1"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 ca="1">IF(Proc[[#This Row],[type]]="LFF (MDG-F)",MID(Proc[[#This Row],[Obj]],13,10),"")</f>
        <v>DE10503603</v>
      </c>
      <c r="J45" s="60" t="b">
        <f ca="1">Proc[[#This Row],[Requested]]=Proc[[#This Row],[CurrentParent]]</f>
        <v>1</v>
      </c>
      <c r="K45" s="60" t="str">
        <f ca="1"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38" t="str">
        <f ca="1"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 ca="1">IF(Proc[[#This Row],[type]]="LFF (MDG-F)",MID(Proc[[#This Row],[Obj]],13,10),"")</f>
        <v>DE10503604</v>
      </c>
      <c r="J46" s="60" t="b">
        <f ca="1">Proc[[#This Row],[Requested]]=Proc[[#This Row],[CurrentParent]]</f>
        <v>1</v>
      </c>
      <c r="K46" s="60" t="str">
        <f ca="1"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38" t="str">
        <f ca="1"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 ca="1">IF(Proc[[#This Row],[type]]="LFF (MDG-F)",MID(Proc[[#This Row],[Obj]],13,10),"")</f>
        <v>DE10503605</v>
      </c>
      <c r="J47" s="60" t="b">
        <f ca="1">Proc[[#This Row],[Requested]]=Proc[[#This Row],[CurrentParent]]</f>
        <v>1</v>
      </c>
      <c r="K47" s="60" t="str">
        <f ca="1"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38" t="str">
        <f ca="1"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 ca="1">IF(Proc[[#This Row],[type]]="LFF (MDG-F)",MID(Proc[[#This Row],[Obj]],13,10),"")</f>
        <v>DE10503606</v>
      </c>
      <c r="J48" s="60" t="b">
        <f ca="1">Proc[[#This Row],[Requested]]=Proc[[#This Row],[CurrentParent]]</f>
        <v>1</v>
      </c>
      <c r="K48" s="60" t="str">
        <f ca="1"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38" t="str">
        <f ca="1"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 ca="1">IF(Proc[[#This Row],[type]]="LFF (MDG-F)",MID(Proc[[#This Row],[Obj]],13,10),"")</f>
        <v>DE10538105</v>
      </c>
      <c r="J49" s="60" t="b">
        <f ca="1">Proc[[#This Row],[Requested]]=Proc[[#This Row],[CurrentParent]]</f>
        <v>1</v>
      </c>
      <c r="K49" s="60" t="str">
        <f ca="1"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38" t="str">
        <f ca="1"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 ca="1">IF(Proc[[#This Row],[type]]="LFF (MDG-F)",MID(Proc[[#This Row],[Obj]],13,10),"")</f>
        <v>DE10538155</v>
      </c>
      <c r="J50" s="60" t="b">
        <f ca="1">Proc[[#This Row],[Requested]]=Proc[[#This Row],[CurrentParent]]</f>
        <v>1</v>
      </c>
      <c r="K50" s="60" t="str">
        <f ca="1"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38" t="str">
        <f ca="1"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 ca="1">IF(Proc[[#This Row],[type]]="LFF (MDG-F)",MID(Proc[[#This Row],[Obj]],13,10),"")</f>
        <v>DE10538336</v>
      </c>
      <c r="J51" s="60" t="b">
        <f ca="1">Proc[[#This Row],[Requested]]=Proc[[#This Row],[CurrentParent]]</f>
        <v>1</v>
      </c>
      <c r="K51" s="60" t="str">
        <f ca="1"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38" t="str">
        <f ca="1"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 ca="1">IF(Proc[[#This Row],[type]]="LFF (MDG-F)",MID(Proc[[#This Row],[Obj]],13,10),"")</f>
        <v>DE10538520</v>
      </c>
      <c r="J52" s="60" t="b">
        <f ca="1">Proc[[#This Row],[Requested]]=Proc[[#This Row],[CurrentParent]]</f>
        <v>1</v>
      </c>
      <c r="K52" s="60" t="str">
        <f ca="1"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38" t="str">
        <f ca="1"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 ca="1">IF(Proc[[#This Row],[type]]="LFF (MDG-F)",MID(Proc[[#This Row],[Obj]],13,10),"")</f>
        <v>DE10538527</v>
      </c>
      <c r="J53" s="60" t="b">
        <f ca="1">Proc[[#This Row],[Requested]]=Proc[[#This Row],[CurrentParent]]</f>
        <v>1</v>
      </c>
      <c r="K53" s="60" t="str">
        <f ca="1"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38" t="str">
        <f ca="1"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 ca="1">IF(Proc[[#This Row],[type]]="LFF (MDG-F)",MID(Proc[[#This Row],[Obj]],13,10),"")</f>
        <v>DE10588102</v>
      </c>
      <c r="J54" s="60" t="b">
        <f ca="1">Proc[[#This Row],[Requested]]=Proc[[#This Row],[CurrentParent]]</f>
        <v>1</v>
      </c>
      <c r="K54" s="60" t="str">
        <f ca="1"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38" t="str">
        <f ca="1"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 ca="1">IF(Proc[[#This Row],[type]]="LFF (MDG-F)",MID(Proc[[#This Row],[Obj]],13,10),"")</f>
        <v>DE20501102</v>
      </c>
      <c r="J55" s="60" t="b">
        <f ca="1">Proc[[#This Row],[Requested]]=Proc[[#This Row],[CurrentParent]]</f>
        <v>1</v>
      </c>
      <c r="K55" s="60" t="str">
        <f ca="1"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38" t="str">
        <f ca="1"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 ca="1">IF(Proc[[#This Row],[type]]="LFF (MDG-F)",MID(Proc[[#This Row],[Obj]],13,10),"")</f>
        <v>DE20501100</v>
      </c>
      <c r="J56" s="60" t="b">
        <f ca="1">Proc[[#This Row],[Requested]]=Proc[[#This Row],[CurrentParent]]</f>
        <v>1</v>
      </c>
      <c r="K56" s="60" t="str">
        <f ca="1"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38" t="str">
        <f ca="1"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 ca="1">IF(Proc[[#This Row],[type]]="LFF (MDG-F)",MID(Proc[[#This Row],[Obj]],13,10),"")</f>
        <v>DE20502401</v>
      </c>
      <c r="J57" s="60" t="b">
        <f ca="1">Proc[[#This Row],[Requested]]=Proc[[#This Row],[CurrentParent]]</f>
        <v>1</v>
      </c>
      <c r="K57" s="60" t="str">
        <f ca="1"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38" t="str">
        <f ca="1"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 ca="1">IF(Proc[[#This Row],[type]]="LFF (MDG-F)",MID(Proc[[#This Row],[Obj]],13,10),"")</f>
        <v>DE20502404</v>
      </c>
      <c r="J58" s="60" t="b">
        <f ca="1">Proc[[#This Row],[Requested]]=Proc[[#This Row],[CurrentParent]]</f>
        <v>1</v>
      </c>
      <c r="K58" s="60" t="str">
        <f ca="1"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38" t="str">
        <f ca="1"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 ca="1">IF(Proc[[#This Row],[type]]="LFF (MDG-F)",MID(Proc[[#This Row],[Obj]],13,10),"")</f>
        <v>DE20502405</v>
      </c>
      <c r="J59" s="60" t="b">
        <f ca="1">Proc[[#This Row],[Requested]]=Proc[[#This Row],[CurrentParent]]</f>
        <v>1</v>
      </c>
      <c r="K59" s="60" t="str">
        <f ca="1"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38" t="str">
        <f ca="1"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 ca="1">IF(Proc[[#This Row],[type]]="LFF (MDG-F)",MID(Proc[[#This Row],[Obj]],13,10),"")</f>
        <v>DE20502407</v>
      </c>
      <c r="J60" s="60" t="b">
        <f ca="1">Proc[[#This Row],[Requested]]=Proc[[#This Row],[CurrentParent]]</f>
        <v>1</v>
      </c>
      <c r="K60" s="60" t="str">
        <f ca="1"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38" t="str">
        <f ca="1"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 ca="1">IF(Proc[[#This Row],[type]]="LFF (MDG-F)",MID(Proc[[#This Row],[Obj]],13,10),"")</f>
        <v>DE20502408</v>
      </c>
      <c r="J61" s="60" t="b">
        <f ca="1">Proc[[#This Row],[Requested]]=Proc[[#This Row],[CurrentParent]]</f>
        <v>1</v>
      </c>
      <c r="K61" s="60" t="str">
        <f ca="1"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38" t="str">
        <f ca="1"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 ca="1">IF(Proc[[#This Row],[type]]="LFF (MDG-F)",MID(Proc[[#This Row],[Obj]],13,10),"")</f>
        <v>DE20502409</v>
      </c>
      <c r="I62" t="s">
        <v>1421</v>
      </c>
      <c r="J62" s="60" t="b">
        <f ca="1">Proc[[#This Row],[Requested]]=Proc[[#This Row],[CurrentParent]]</f>
        <v>1</v>
      </c>
      <c r="K62" s="60" t="str">
        <f ca="1"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38" t="str">
        <f ca="1"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 ca="1">IF(Proc[[#This Row],[type]]="LFF (MDG-F)",MID(Proc[[#This Row],[Obj]],13,10),"")</f>
        <v>DE20502410</v>
      </c>
      <c r="J63" s="60" t="b">
        <f ca="1">Proc[[#This Row],[Requested]]=Proc[[#This Row],[CurrentParent]]</f>
        <v>1</v>
      </c>
      <c r="K63" s="60" t="str">
        <f ca="1"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38" t="str">
        <f ca="1"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 ca="1">IF(Proc[[#This Row],[type]]="LFF (MDG-F)",MID(Proc[[#This Row],[Obj]],13,10),"")</f>
        <v>DE20502411</v>
      </c>
      <c r="J64" s="60" t="b">
        <f ca="1">Proc[[#This Row],[Requested]]=Proc[[#This Row],[CurrentParent]]</f>
        <v>1</v>
      </c>
      <c r="K64" s="60" t="str">
        <f ca="1"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38" t="str">
        <f ca="1"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 ca="1">IF(Proc[[#This Row],[type]]="LFF (MDG-F)",MID(Proc[[#This Row],[Obj]],13,10),"")</f>
        <v>DE20502412</v>
      </c>
      <c r="J65" s="60" t="b">
        <f ca="1">Proc[[#This Row],[Requested]]=Proc[[#This Row],[CurrentParent]]</f>
        <v>1</v>
      </c>
      <c r="K65" s="60" t="str">
        <f ca="1"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38" t="str">
        <f ca="1"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 ca="1">IF(Proc[[#This Row],[type]]="LFF (MDG-F)",MID(Proc[[#This Row],[Obj]],13,10),"")</f>
        <v>DE20502415</v>
      </c>
      <c r="J66" s="60" t="b">
        <f ca="1">Proc[[#This Row],[Requested]]=Proc[[#This Row],[CurrentParent]]</f>
        <v>1</v>
      </c>
      <c r="K66" s="60" t="str">
        <f ca="1"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38" t="str">
        <f ca="1"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 ca="1">IF(Proc[[#This Row],[type]]="LFF (MDG-F)",MID(Proc[[#This Row],[Obj]],13,10),"")</f>
        <v>DE20502417</v>
      </c>
      <c r="J67" s="60" t="b">
        <f ca="1">Proc[[#This Row],[Requested]]=Proc[[#This Row],[CurrentParent]]</f>
        <v>1</v>
      </c>
      <c r="K67" s="60" t="str">
        <f ca="1"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38" t="str">
        <f ca="1"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 ca="1">IF(Proc[[#This Row],[type]]="LFF (MDG-F)",MID(Proc[[#This Row],[Obj]],13,10),"")</f>
        <v>DE20502702</v>
      </c>
      <c r="J68" s="60" t="b">
        <f ca="1">Proc[[#This Row],[Requested]]=Proc[[#This Row],[CurrentParent]]</f>
        <v>1</v>
      </c>
      <c r="K68" s="60" t="str">
        <f ca="1"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38" t="str">
        <f ca="1"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 ca="1">IF(Proc[[#This Row],[type]]="LFF (MDG-F)",MID(Proc[[#This Row],[Obj]],13,10),"")</f>
        <v>DE20502703</v>
      </c>
      <c r="J69" s="60" t="b">
        <f ca="1">Proc[[#This Row],[Requested]]=Proc[[#This Row],[CurrentParent]]</f>
        <v>1</v>
      </c>
      <c r="K69" s="60" t="str">
        <f ca="1"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38" t="str">
        <f ca="1"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 ca="1">IF(Proc[[#This Row],[type]]="LFF (MDG-F)",MID(Proc[[#This Row],[Obj]],13,10),"")</f>
        <v>DE20502704</v>
      </c>
      <c r="J70" s="60" t="b">
        <f ca="1">Proc[[#This Row],[Requested]]=Proc[[#This Row],[CurrentParent]]</f>
        <v>1</v>
      </c>
      <c r="K70" s="60" t="str">
        <f ca="1"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38" t="str">
        <f ca="1"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 ca="1">IF(Proc[[#This Row],[type]]="LFF (MDG-F)",MID(Proc[[#This Row],[Obj]],13,10),"")</f>
        <v>DE20502705</v>
      </c>
      <c r="J71" s="60" t="b">
        <f ca="1">Proc[[#This Row],[Requested]]=Proc[[#This Row],[CurrentParent]]</f>
        <v>1</v>
      </c>
      <c r="K71" s="60" t="str">
        <f ca="1"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38" t="str">
        <f ca="1"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 ca="1">IF(Proc[[#This Row],[type]]="LFF (MDG-F)",MID(Proc[[#This Row],[Obj]],13,10),"")</f>
        <v>DE20502706</v>
      </c>
      <c r="J72" s="60" t="b">
        <f ca="1">Proc[[#This Row],[Requested]]=Proc[[#This Row],[CurrentParent]]</f>
        <v>1</v>
      </c>
      <c r="K72" s="60" t="str">
        <f ca="1"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38" t="str">
        <f ca="1"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 ca="1">IF(Proc[[#This Row],[type]]="LFF (MDG-F)",MID(Proc[[#This Row],[Obj]],13,10),"")</f>
        <v>DE20502707</v>
      </c>
      <c r="J73" s="60" t="b">
        <f ca="1">Proc[[#This Row],[Requested]]=Proc[[#This Row],[CurrentParent]]</f>
        <v>1</v>
      </c>
      <c r="K73" s="60" t="str">
        <f ca="1"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38" t="str">
        <f ca="1"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 ca="1">IF(Proc[[#This Row],[type]]="LFF (MDG-F)",MID(Proc[[#This Row],[Obj]],13,10),"")</f>
        <v>DE20502708</v>
      </c>
      <c r="J74" s="60" t="b">
        <f ca="1">Proc[[#This Row],[Requested]]=Proc[[#This Row],[CurrentParent]]</f>
        <v>1</v>
      </c>
      <c r="K74" s="60" t="str">
        <f ca="1"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38" t="str">
        <f ca="1"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 ca="1">IF(Proc[[#This Row],[type]]="LFF (MDG-F)",MID(Proc[[#This Row],[Obj]],13,10),"")</f>
        <v>DE20502709</v>
      </c>
      <c r="J75" s="60" t="b">
        <f ca="1">Proc[[#This Row],[Requested]]=Proc[[#This Row],[CurrentParent]]</f>
        <v>1</v>
      </c>
      <c r="K75" s="60" t="str">
        <f ca="1"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38" t="str">
        <f ca="1"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 ca="1">IF(Proc[[#This Row],[type]]="LFF (MDG-F)",MID(Proc[[#This Row],[Obj]],13,10),"")</f>
        <v>DE20503603</v>
      </c>
      <c r="J76" s="60" t="b">
        <f ca="1">Proc[[#This Row],[Requested]]=Proc[[#This Row],[CurrentParent]]</f>
        <v>1</v>
      </c>
      <c r="K76" s="60" t="str">
        <f ca="1"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38" t="str">
        <f ca="1"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 ca="1">IF(Proc[[#This Row],[type]]="LFF (MDG-F)",MID(Proc[[#This Row],[Obj]],13,10),"")</f>
        <v>DE20503604</v>
      </c>
      <c r="J77" s="60" t="b">
        <f ca="1">Proc[[#This Row],[Requested]]=Proc[[#This Row],[CurrentParent]]</f>
        <v>1</v>
      </c>
      <c r="K77" s="60" t="str">
        <f ca="1"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38" t="str">
        <f ca="1"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 ca="1">IF(Proc[[#This Row],[type]]="LFF (MDG-F)",MID(Proc[[#This Row],[Obj]],13,10),"")</f>
        <v>DE20503605</v>
      </c>
      <c r="J78" s="60" t="b">
        <f ca="1">Proc[[#This Row],[Requested]]=Proc[[#This Row],[CurrentParent]]</f>
        <v>1</v>
      </c>
      <c r="K78" s="60" t="str">
        <f ca="1"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38" t="str">
        <f ca="1"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 ca="1">IF(Proc[[#This Row],[type]]="LFF (MDG-F)",MID(Proc[[#This Row],[Obj]],13,10),"")</f>
        <v>DE20503606</v>
      </c>
      <c r="J79" s="60" t="b">
        <f ca="1">Proc[[#This Row],[Requested]]=Proc[[#This Row],[CurrentParent]]</f>
        <v>1</v>
      </c>
      <c r="K79" s="60" t="str">
        <f ca="1"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38" t="str">
        <f ca="1"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 ca="1">IF(Proc[[#This Row],[type]]="LFF (MDG-F)",MID(Proc[[#This Row],[Obj]],13,10),"")</f>
        <v>DE20538105</v>
      </c>
      <c r="J80" s="60" t="b">
        <f ca="1">Proc[[#This Row],[Requested]]=Proc[[#This Row],[CurrentParent]]</f>
        <v>1</v>
      </c>
      <c r="K80" s="60" t="str">
        <f ca="1"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38" t="str">
        <f ca="1"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 ca="1">IF(Proc[[#This Row],[type]]="LFF (MDG-F)",MID(Proc[[#This Row],[Obj]],13,10),"")</f>
        <v>DE20538155</v>
      </c>
      <c r="J81" s="60" t="b">
        <f ca="1">Proc[[#This Row],[Requested]]=Proc[[#This Row],[CurrentParent]]</f>
        <v>1</v>
      </c>
      <c r="K81" s="60" t="str">
        <f ca="1"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38" t="str">
        <f ca="1"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 ca="1">IF(Proc[[#This Row],[type]]="LFF (MDG-F)",MID(Proc[[#This Row],[Obj]],13,10),"")</f>
        <v>DE20538336</v>
      </c>
      <c r="J82" s="60" t="b">
        <f ca="1">Proc[[#This Row],[Requested]]=Proc[[#This Row],[CurrentParent]]</f>
        <v>1</v>
      </c>
      <c r="K82" s="60" t="str">
        <f ca="1"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38" t="str">
        <f ca="1"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 ca="1">IF(Proc[[#This Row],[type]]="LFF (MDG-F)",MID(Proc[[#This Row],[Obj]],13,10),"")</f>
        <v>DE20538520</v>
      </c>
      <c r="J83" s="60" t="b">
        <f ca="1">Proc[[#This Row],[Requested]]=Proc[[#This Row],[CurrentParent]]</f>
        <v>1</v>
      </c>
      <c r="K83" s="60" t="str">
        <f ca="1"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38" t="str">
        <f ca="1"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 ca="1">IF(Proc[[#This Row],[type]]="LFF (MDG-F)",MID(Proc[[#This Row],[Obj]],13,10),"")</f>
        <v>DE20538527</v>
      </c>
      <c r="J84" s="60" t="b">
        <f ca="1">Proc[[#This Row],[Requested]]=Proc[[#This Row],[CurrentParent]]</f>
        <v>1</v>
      </c>
      <c r="K84" s="60" t="str">
        <f ca="1"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38" t="str">
        <f ca="1"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 ca="1">IF(Proc[[#This Row],[type]]="LFF (MDG-F)",MID(Proc[[#This Row],[Obj]],13,10),"")</f>
        <v>DE20588102</v>
      </c>
      <c r="J85" s="60" t="b">
        <f ca="1">Proc[[#This Row],[Requested]]=Proc[[#This Row],[CurrentParent]]</f>
        <v>1</v>
      </c>
      <c r="K85" s="60" t="str">
        <f ca="1"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38" t="str">
        <f ca="1"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 ca="1">IF(Proc[[#This Row],[type]]="LFF (MDG-F)",MID(Proc[[#This Row],[Obj]],13,10),"")</f>
        <v/>
      </c>
      <c r="I86" t="s">
        <v>1420</v>
      </c>
      <c r="J86" s="60" t="b">
        <f ca="1">Proc[[#This Row],[Requested]]=Proc[[#This Row],[CurrentParent]]</f>
        <v>1</v>
      </c>
      <c r="K86" s="60" t="str">
        <f ca="1"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38" t="str">
        <f ca="1"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 ca="1">IF(Proc[[#This Row],[type]]="LFF (MDG-F)",MID(Proc[[#This Row],[Obj]],13,10),"")</f>
        <v/>
      </c>
      <c r="I87" t="s">
        <v>1198</v>
      </c>
      <c r="J87" s="60" t="b">
        <f ca="1">Proc[[#This Row],[Requested]]=Proc[[#This Row],[CurrentParent]]</f>
        <v>1</v>
      </c>
      <c r="K87" s="60" t="str">
        <f ca="1"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187</v>
      </c>
      <c r="R87" s="64" t="s">
        <v>1076</v>
      </c>
      <c r="S87" s="60"/>
    </row>
    <row r="88" spans="1:19" hidden="1">
      <c r="A88" s="62" t="s">
        <v>1389</v>
      </c>
      <c r="B88" s="138" t="str">
        <f ca="1"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 ca="1">IF(Proc[[#This Row],[type]]="LFF (MDG-F)",MID(Proc[[#This Row],[Obj]],13,10),"")</f>
        <v/>
      </c>
      <c r="I88" t="s">
        <v>1420</v>
      </c>
      <c r="J88" s="60" t="b">
        <f ca="1">Proc[[#This Row],[Requested]]=Proc[[#This Row],[CurrentParent]]</f>
        <v>1</v>
      </c>
      <c r="K88" s="60" t="str">
        <f ca="1"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38" t="str">
        <f ca="1"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 ca="1">IF(Proc[[#This Row],[type]]="LFF (MDG-F)",MID(Proc[[#This Row],[Obj]],13,10),"")</f>
        <v/>
      </c>
      <c r="J89" s="60" t="b">
        <f ca="1">Proc[[#This Row],[Requested]]=Proc[[#This Row],[CurrentParent]]</f>
        <v>1</v>
      </c>
      <c r="K89" s="60" t="str">
        <f ca="1"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38" t="str">
        <f ca="1"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 ca="1">IF(Proc[[#This Row],[type]]="LFF (MDG-F)",MID(Proc[[#This Row],[Obj]],13,10),"")</f>
        <v/>
      </c>
      <c r="J90" s="60" t="b">
        <f ca="1">Proc[[#This Row],[Requested]]=Proc[[#This Row],[CurrentParent]]</f>
        <v>1</v>
      </c>
      <c r="K90" s="60" t="str">
        <f ca="1"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38" t="str">
        <f ca="1"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 ca="1">IF(Proc[[#This Row],[type]]="LFF (MDG-F)",MID(Proc[[#This Row],[Obj]],13,10),"")</f>
        <v/>
      </c>
      <c r="J91" s="60" t="b">
        <f ca="1">Proc[[#This Row],[Requested]]=Proc[[#This Row],[CurrentParent]]</f>
        <v>1</v>
      </c>
      <c r="K91" s="60" t="str">
        <f ca="1"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38" t="str">
        <f ca="1"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 ca="1">IF(Proc[[#This Row],[type]]="LFF (MDG-F)",MID(Proc[[#This Row],[Obj]],13,10),"")</f>
        <v/>
      </c>
      <c r="J92" s="60" t="b">
        <f ca="1">Proc[[#This Row],[Requested]]=Proc[[#This Row],[CurrentParent]]</f>
        <v>1</v>
      </c>
      <c r="K92" s="60" t="str">
        <f ca="1"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38" t="str">
        <f ca="1"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 ca="1">IF(Proc[[#This Row],[type]]="LFF (MDG-F)",MID(Proc[[#This Row],[Obj]],13,10),"")</f>
        <v/>
      </c>
      <c r="J93" s="60" t="b">
        <f ca="1">Proc[[#This Row],[Requested]]=Proc[[#This Row],[CurrentParent]]</f>
        <v>1</v>
      </c>
      <c r="K93" s="60" t="str">
        <f ca="1"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38" t="str">
        <f ca="1"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 ca="1">IF(Proc[[#This Row],[type]]="LFF (MDG-F)",MID(Proc[[#This Row],[Obj]],13,10),"")</f>
        <v/>
      </c>
      <c r="J94" s="60" t="b">
        <f ca="1">Proc[[#This Row],[Requested]]=Proc[[#This Row],[CurrentParent]]</f>
        <v>1</v>
      </c>
      <c r="K94" s="60" t="str">
        <f ca="1"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38" t="str">
        <f ca="1"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 ca="1">IF(Proc[[#This Row],[type]]="LFF (MDG-F)",MID(Proc[[#This Row],[Obj]],13,10),"")</f>
        <v/>
      </c>
      <c r="J95" s="60" t="b">
        <f ca="1">Proc[[#This Row],[Requested]]=Proc[[#This Row],[CurrentParent]]</f>
        <v>1</v>
      </c>
      <c r="K95" s="60" t="str">
        <f ca="1"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38" t="str">
        <f ca="1"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 ca="1">IF(Proc[[#This Row],[type]]="LFF (MDG-F)",MID(Proc[[#This Row],[Obj]],13,10),"")</f>
        <v/>
      </c>
      <c r="J96" s="60" t="b">
        <f ca="1">Proc[[#This Row],[Requested]]=Proc[[#This Row],[CurrentParent]]</f>
        <v>1</v>
      </c>
      <c r="K96" s="60" t="str">
        <f ca="1"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38" t="str">
        <f ca="1"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 ca="1">IF(Proc[[#This Row],[type]]="LFF (MDG-F)",MID(Proc[[#This Row],[Obj]],13,10),"")</f>
        <v/>
      </c>
      <c r="J97" s="60" t="b">
        <f ca="1">Proc[[#This Row],[Requested]]=Proc[[#This Row],[CurrentParent]]</f>
        <v>1</v>
      </c>
      <c r="K97" s="60" t="str">
        <f ca="1"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38" t="str">
        <f ca="1"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 ca="1">IF(Proc[[#This Row],[type]]="LFF (MDG-F)",MID(Proc[[#This Row],[Obj]],13,10),"")</f>
        <v/>
      </c>
      <c r="J98" s="60" t="b">
        <f ca="1">Proc[[#This Row],[Requested]]=Proc[[#This Row],[CurrentParent]]</f>
        <v>1</v>
      </c>
      <c r="K98" s="60" t="str">
        <f ca="1"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38" t="str">
        <f ca="1"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 ca="1">IF(Proc[[#This Row],[type]]="LFF (MDG-F)",MID(Proc[[#This Row],[Obj]],13,10),"")</f>
        <v/>
      </c>
      <c r="J99" s="60" t="b">
        <f ca="1">Proc[[#This Row],[Requested]]=Proc[[#This Row],[CurrentParent]]</f>
        <v>1</v>
      </c>
      <c r="K99" s="60" t="str">
        <f ca="1"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38" t="str">
        <f ca="1"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 ca="1">IF(Proc[[#This Row],[type]]="LFF (MDG-F)",MID(Proc[[#This Row],[Obj]],13,10),"")</f>
        <v/>
      </c>
      <c r="J100" s="60" t="b">
        <f ca="1">Proc[[#This Row],[Requested]]=Proc[[#This Row],[CurrentParent]]</f>
        <v>1</v>
      </c>
      <c r="K100" s="60" t="str">
        <f ca="1"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38" t="str">
        <f ca="1"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 ca="1">IF(Proc[[#This Row],[type]]="LFF (MDG-F)",MID(Proc[[#This Row],[Obj]],13,10),"")</f>
        <v/>
      </c>
      <c r="J101" s="60" t="b">
        <f ca="1">Proc[[#This Row],[Requested]]=Proc[[#This Row],[CurrentParent]]</f>
        <v>1</v>
      </c>
      <c r="K101" s="60" t="str">
        <f ca="1"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38" t="str">
        <f ca="1"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 ca="1">IF(Proc[[#This Row],[type]]="LFF (MDG-F)",MID(Proc[[#This Row],[Obj]],13,10),"")</f>
        <v/>
      </c>
      <c r="J102" s="60" t="b">
        <f ca="1">Proc[[#This Row],[Requested]]=Proc[[#This Row],[CurrentParent]]</f>
        <v>1</v>
      </c>
      <c r="K102" s="60" t="str">
        <f ca="1"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38" t="str">
        <f ca="1"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 ca="1">IF(Proc[[#This Row],[type]]="LFF (MDG-F)",MID(Proc[[#This Row],[Obj]],13,10),"")</f>
        <v/>
      </c>
      <c r="J103" s="60" t="b">
        <f ca="1">Proc[[#This Row],[Requested]]=Proc[[#This Row],[CurrentParent]]</f>
        <v>1</v>
      </c>
      <c r="K103" s="60" t="str">
        <f ca="1"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38" t="str">
        <f ca="1"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 ca="1">IF(Proc[[#This Row],[type]]="LFF (MDG-F)",MID(Proc[[#This Row],[Obj]],13,10),"")</f>
        <v/>
      </c>
      <c r="J104" s="60" t="b">
        <f ca="1">Proc[[#This Row],[Requested]]=Proc[[#This Row],[CurrentParent]]</f>
        <v>1</v>
      </c>
      <c r="K104" s="60" t="str">
        <f ca="1"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38" t="str">
        <f ca="1"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 ca="1">IF(Proc[[#This Row],[type]]="LFF (MDG-F)",MID(Proc[[#This Row],[Obj]],13,10),"")</f>
        <v/>
      </c>
      <c r="J105" s="60" t="b">
        <f ca="1">Proc[[#This Row],[Requested]]=Proc[[#This Row],[CurrentParent]]</f>
        <v>1</v>
      </c>
      <c r="K105" s="60" t="str">
        <f ca="1"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38" t="str">
        <f ca="1"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 ca="1">IF(Proc[[#This Row],[type]]="LFF (MDG-F)",MID(Proc[[#This Row],[Obj]],13,10),"")</f>
        <v/>
      </c>
      <c r="I106" s="62"/>
      <c r="J106" s="60" t="b">
        <f ca="1">Proc[[#This Row],[Requested]]=Proc[[#This Row],[CurrentParent]]</f>
        <v>1</v>
      </c>
      <c r="K106" s="60" t="str">
        <f ca="1"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38" t="str">
        <f ca="1"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 ca="1">IF(Proc[[#This Row],[type]]="LFF (MDG-F)",MID(Proc[[#This Row],[Obj]],13,10),"")</f>
        <v/>
      </c>
      <c r="J107" s="60" t="b">
        <f ca="1">Proc[[#This Row],[Requested]]=Proc[[#This Row],[CurrentParent]]</f>
        <v>1</v>
      </c>
      <c r="K107" s="60" t="str">
        <f ca="1"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38" t="str">
        <f ca="1"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 ca="1">IF(Proc[[#This Row],[type]]="LFF (MDG-F)",MID(Proc[[#This Row],[Obj]],13,10),"")</f>
        <v/>
      </c>
      <c r="I108" s="62"/>
      <c r="J108" s="60" t="b">
        <f ca="1">Proc[[#This Row],[Requested]]=Proc[[#This Row],[CurrentParent]]</f>
        <v>1</v>
      </c>
      <c r="K108" s="60" t="str">
        <f ca="1"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38" t="str">
        <f ca="1"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 ca="1">IF(Proc[[#This Row],[type]]="LFF (MDG-F)",MID(Proc[[#This Row],[Obj]],13,10),"")</f>
        <v/>
      </c>
      <c r="J109" s="60" t="b">
        <f ca="1">Proc[[#This Row],[Requested]]=Proc[[#This Row],[CurrentParent]]</f>
        <v>1</v>
      </c>
      <c r="K109" s="60" t="str">
        <f ca="1"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38" t="str">
        <f ca="1"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 ca="1">IF(Proc[[#This Row],[type]]="LFF (MDG-F)",MID(Proc[[#This Row],[Obj]],13,10),"")</f>
        <v/>
      </c>
      <c r="J110" s="60" t="b">
        <f ca="1">Proc[[#This Row],[Requested]]=Proc[[#This Row],[CurrentParent]]</f>
        <v>1</v>
      </c>
      <c r="K110" s="60" t="str">
        <f ca="1"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38" t="str">
        <f ca="1"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 ca="1">IF(Proc[[#This Row],[type]]="LFF (MDG-F)",MID(Proc[[#This Row],[Obj]],13,10),"")</f>
        <v/>
      </c>
      <c r="J111" s="60" t="b">
        <f ca="1">Proc[[#This Row],[Requested]]=Proc[[#This Row],[CurrentParent]]</f>
        <v>1</v>
      </c>
      <c r="K111" s="60" t="str">
        <f ca="1"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38" t="str">
        <f ca="1"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 ca="1">IF(Proc[[#This Row],[type]]="LFF (MDG-F)",MID(Proc[[#This Row],[Obj]],13,10),"")</f>
        <v/>
      </c>
      <c r="J112" s="60" t="b">
        <f ca="1">Proc[[#This Row],[Requested]]=Proc[[#This Row],[CurrentParent]]</f>
        <v>1</v>
      </c>
      <c r="K112" s="60" t="str">
        <f ca="1"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38" t="str">
        <f ca="1"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 ca="1">IF(Proc[[#This Row],[type]]="LFF (MDG-F)",MID(Proc[[#This Row],[Obj]],13,10),"")</f>
        <v/>
      </c>
      <c r="J113" s="60" t="b">
        <f ca="1">Proc[[#This Row],[Requested]]=Proc[[#This Row],[CurrentParent]]</f>
        <v>1</v>
      </c>
      <c r="K113" s="60" t="str">
        <f ca="1"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38" t="str">
        <f ca="1"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 ca="1">IF(Proc[[#This Row],[type]]="LFF (MDG-F)",MID(Proc[[#This Row],[Obj]],13,10),"")</f>
        <v/>
      </c>
      <c r="J114" s="60" t="b">
        <f ca="1">Proc[[#This Row],[Requested]]=Proc[[#This Row],[CurrentParent]]</f>
        <v>1</v>
      </c>
      <c r="K114" s="60" t="str">
        <f ca="1"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38" t="str">
        <f ca="1"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 ca="1">IF(Proc[[#This Row],[type]]="LFF (MDG-F)",MID(Proc[[#This Row],[Obj]],13,10),"")</f>
        <v/>
      </c>
      <c r="J115" s="60" t="b">
        <f ca="1">Proc[[#This Row],[Requested]]=Proc[[#This Row],[CurrentParent]]</f>
        <v>1</v>
      </c>
      <c r="K115" s="60" t="str">
        <f ca="1"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38" t="str">
        <f ca="1"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 ca="1">IF(Proc[[#This Row],[type]]="LFF (MDG-F)",MID(Proc[[#This Row],[Obj]],13,10),"")</f>
        <v/>
      </c>
      <c r="J116" s="60" t="b">
        <f ca="1">Proc[[#This Row],[Requested]]=Proc[[#This Row],[CurrentParent]]</f>
        <v>1</v>
      </c>
      <c r="K116" s="60" t="str">
        <f ca="1"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38" t="str">
        <f ca="1"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 ca="1">IF(Proc[[#This Row],[type]]="LFF (MDG-F)",MID(Proc[[#This Row],[Obj]],13,10),"")</f>
        <v/>
      </c>
      <c r="J117" s="60" t="b">
        <f ca="1">Proc[[#This Row],[Requested]]=Proc[[#This Row],[CurrentParent]]</f>
        <v>1</v>
      </c>
      <c r="K117" s="60" t="str">
        <f ca="1"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38" t="str">
        <f ca="1"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 ca="1">IF(Proc[[#This Row],[type]]="LFF (MDG-F)",MID(Proc[[#This Row],[Obj]],13,10),"")</f>
        <v/>
      </c>
      <c r="J118" s="60" t="b">
        <f ca="1">Proc[[#This Row],[Requested]]=Proc[[#This Row],[CurrentParent]]</f>
        <v>1</v>
      </c>
      <c r="K118" s="60" t="str">
        <f ca="1"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38" t="str">
        <f ca="1"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 ca="1">IF(Proc[[#This Row],[type]]="LFF (MDG-F)",MID(Proc[[#This Row],[Obj]],13,10),"")</f>
        <v/>
      </c>
      <c r="J119" s="60" t="b">
        <f ca="1">Proc[[#This Row],[Requested]]=Proc[[#This Row],[CurrentParent]]</f>
        <v>1</v>
      </c>
      <c r="K119" s="60" t="str">
        <f ca="1"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38" t="str">
        <f ca="1"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 ca="1">IF(Proc[[#This Row],[type]]="LFF (MDG-F)",MID(Proc[[#This Row],[Obj]],13,10),"")</f>
        <v/>
      </c>
      <c r="J120" s="60" t="b">
        <f ca="1">Proc[[#This Row],[Requested]]=Proc[[#This Row],[CurrentParent]]</f>
        <v>1</v>
      </c>
      <c r="K120" s="60" t="str">
        <f ca="1"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38" t="str">
        <f ca="1"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 ca="1">IF(Proc[[#This Row],[type]]="LFF (MDG-F)",MID(Proc[[#This Row],[Obj]],13,10),"")</f>
        <v/>
      </c>
      <c r="J121" s="60" t="b">
        <f ca="1">Proc[[#This Row],[Requested]]=Proc[[#This Row],[CurrentParent]]</f>
        <v>1</v>
      </c>
      <c r="K121" s="60" t="str">
        <f ca="1"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38" t="str">
        <f ca="1"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 ca="1">IF(Proc[[#This Row],[type]]="LFF (MDG-F)",MID(Proc[[#This Row],[Obj]],13,10),"")</f>
        <v/>
      </c>
      <c r="J122" s="60" t="b">
        <f ca="1">Proc[[#This Row],[Requested]]=Proc[[#This Row],[CurrentParent]]</f>
        <v>1</v>
      </c>
      <c r="K122" s="60" t="str">
        <f ca="1"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38" t="str">
        <f ca="1"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 ca="1">IF(Proc[[#This Row],[type]]="LFF (MDG-F)",MID(Proc[[#This Row],[Obj]],13,10),"")</f>
        <v/>
      </c>
      <c r="J123" s="60" t="b">
        <f ca="1">Proc[[#This Row],[Requested]]=Proc[[#This Row],[CurrentParent]]</f>
        <v>1</v>
      </c>
      <c r="K123" s="60" t="str">
        <f ca="1"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38" t="str">
        <f ca="1"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 ca="1">IF(Proc[[#This Row],[type]]="LFF (MDG-F)",MID(Proc[[#This Row],[Obj]],13,10),"")</f>
        <v/>
      </c>
      <c r="J124" s="60" t="b">
        <f ca="1">Proc[[#This Row],[Requested]]=Proc[[#This Row],[CurrentParent]]</f>
        <v>1</v>
      </c>
      <c r="K124" s="60" t="str">
        <f ca="1"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38" t="str">
        <f ca="1"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 ca="1">IF(Proc[[#This Row],[type]]="LFF (MDG-F)",MID(Proc[[#This Row],[Obj]],13,10),"")</f>
        <v/>
      </c>
      <c r="J125" s="60" t="b">
        <f ca="1">Proc[[#This Row],[Requested]]=Proc[[#This Row],[CurrentParent]]</f>
        <v>1</v>
      </c>
      <c r="K125" s="60" t="str">
        <f ca="1"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38" t="str">
        <f ca="1"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 ca="1">IF(Proc[[#This Row],[type]]="LFF (MDG-F)",MID(Proc[[#This Row],[Obj]],13,10),"")</f>
        <v/>
      </c>
      <c r="J126" s="60" t="b">
        <f ca="1">Proc[[#This Row],[Requested]]=Proc[[#This Row],[CurrentParent]]</f>
        <v>1</v>
      </c>
      <c r="K126" s="60" t="str">
        <f ca="1"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38" t="str">
        <f ca="1"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 ca="1">IF(Proc[[#This Row],[type]]="LFF (MDG-F)",MID(Proc[[#This Row],[Obj]],13,10),"")</f>
        <v/>
      </c>
      <c r="J127" s="60" t="b">
        <f ca="1">Proc[[#This Row],[Requested]]=Proc[[#This Row],[CurrentParent]]</f>
        <v>1</v>
      </c>
      <c r="K127" s="60" t="str">
        <f ca="1"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38" t="str">
        <f ca="1"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 ca="1">IF(Proc[[#This Row],[type]]="LFF (MDG-F)",MID(Proc[[#This Row],[Obj]],13,10),"")</f>
        <v/>
      </c>
      <c r="J128" s="60" t="b">
        <f ca="1">Proc[[#This Row],[Requested]]=Proc[[#This Row],[CurrentParent]]</f>
        <v>1</v>
      </c>
      <c r="K128" s="60" t="str">
        <f ca="1"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38" t="str">
        <f ca="1"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 ca="1">IF(Proc[[#This Row],[type]]="LFF (MDG-F)",MID(Proc[[#This Row],[Obj]],13,10),"")</f>
        <v>2053L44109</v>
      </c>
      <c r="J129" s="60" t="b">
        <f ca="1">Proc[[#This Row],[Requested]]=Proc[[#This Row],[CurrentParent]]</f>
        <v>1</v>
      </c>
      <c r="K129" s="60" t="str">
        <f ca="1"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38" t="str">
        <f ca="1"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 ca="1">IF(Proc[[#This Row],[type]]="LFF (MDG-F)",MID(Proc[[#This Row],[Obj]],13,10),"")</f>
        <v>CH01Z01000</v>
      </c>
      <c r="J130" s="60" t="b">
        <f ca="1">Proc[[#This Row],[Requested]]=Proc[[#This Row],[CurrentParent]]</f>
        <v>1</v>
      </c>
      <c r="K130" s="60" t="str">
        <f ca="1"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38" t="str">
        <f ca="1"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 ca="1">IF(Proc[[#This Row],[type]]="LFF (MDG-F)",MID(Proc[[#This Row],[Obj]],13,10),"")</f>
        <v>DE01Z01000</v>
      </c>
      <c r="J131" s="60" t="b">
        <f ca="1">Proc[[#This Row],[Requested]]=Proc[[#This Row],[CurrentParent]]</f>
        <v>1</v>
      </c>
      <c r="K131" s="60" t="str">
        <f ca="1"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38" t="str">
        <f ca="1"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 ca="1">IF(Proc[[#This Row],[type]]="LFF (MDG-F)",MID(Proc[[#This Row],[Obj]],13,10),"")</f>
        <v/>
      </c>
      <c r="J132" s="60" t="b">
        <f ca="1">Proc[[#This Row],[Requested]]=Proc[[#This Row],[CurrentParent]]</f>
        <v>1</v>
      </c>
      <c r="K132" s="60" t="str">
        <f ca="1"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38" t="str">
        <f ca="1"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 ca="1">IF(Proc[[#This Row],[type]]="LFF (MDG-F)",MID(Proc[[#This Row],[Obj]],13,10),"")</f>
        <v/>
      </c>
      <c r="J133" s="60" t="b">
        <f ca="1">Proc[[#This Row],[Requested]]=Proc[[#This Row],[CurrentParent]]</f>
        <v>1</v>
      </c>
      <c r="K133" s="60" t="str">
        <f ca="1"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38" t="str">
        <f ca="1"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 ca="1">IF(Proc[[#This Row],[type]]="LFF (MDG-F)",MID(Proc[[#This Row],[Obj]],13,10),"")</f>
        <v/>
      </c>
      <c r="J134" s="60" t="b">
        <f ca="1">Proc[[#This Row],[Requested]]=Proc[[#This Row],[CurrentParent]]</f>
        <v>1</v>
      </c>
      <c r="K134" s="60" t="str">
        <f ca="1"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38" t="str">
        <f ca="1"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 ca="1">IF(Proc[[#This Row],[type]]="LFF (MDG-F)",MID(Proc[[#This Row],[Obj]],13,10),"")</f>
        <v/>
      </c>
      <c r="J135" s="60" t="b">
        <f ca="1">Proc[[#This Row],[Requested]]=Proc[[#This Row],[CurrentParent]]</f>
        <v>1</v>
      </c>
      <c r="K135" s="60" t="str">
        <f ca="1"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38" t="str">
        <f ca="1"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 ca="1">IF(Proc[[#This Row],[type]]="LFF (MDG-F)",MID(Proc[[#This Row],[Obj]],13,10),"")</f>
        <v/>
      </c>
      <c r="J136" s="60" t="b">
        <f ca="1">Proc[[#This Row],[Requested]]=Proc[[#This Row],[CurrentParent]]</f>
        <v>1</v>
      </c>
      <c r="K136" s="60" t="str">
        <f ca="1"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38" t="str">
        <f ca="1"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 ca="1">IF(Proc[[#This Row],[type]]="LFF (MDG-F)",MID(Proc[[#This Row],[Obj]],13,10),"")</f>
        <v/>
      </c>
      <c r="J137" s="60" t="b">
        <f ca="1">Proc[[#This Row],[Requested]]=Proc[[#This Row],[CurrentParent]]</f>
        <v>1</v>
      </c>
      <c r="K137" s="60" t="str">
        <f ca="1"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38" t="str">
        <f ca="1"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 ca="1">IF(Proc[[#This Row],[type]]="LFF (MDG-F)",MID(Proc[[#This Row],[Obj]],13,10),"")</f>
        <v/>
      </c>
      <c r="J138" s="60" t="b">
        <f ca="1">Proc[[#This Row],[Requested]]=Proc[[#This Row],[CurrentParent]]</f>
        <v>1</v>
      </c>
      <c r="K138" s="60" t="str">
        <f ca="1"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38" t="str">
        <f ca="1"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 ca="1">IF(Proc[[#This Row],[type]]="LFF (MDG-F)",MID(Proc[[#This Row],[Obj]],13,10),"")</f>
        <v/>
      </c>
      <c r="J139" s="60" t="b">
        <f ca="1">Proc[[#This Row],[Requested]]=Proc[[#This Row],[CurrentParent]]</f>
        <v>1</v>
      </c>
      <c r="K139" s="60" t="str">
        <f ca="1"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38" t="str">
        <f ca="1"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 ca="1">IF(Proc[[#This Row],[type]]="LFF (MDG-F)",MID(Proc[[#This Row],[Obj]],13,10),"")</f>
        <v/>
      </c>
      <c r="J140" s="60" t="b">
        <f ca="1">Proc[[#This Row],[Requested]]=Proc[[#This Row],[CurrentParent]]</f>
        <v>1</v>
      </c>
      <c r="K140" s="60" t="str">
        <f ca="1"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38" t="str">
        <f ca="1"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 ca="1">IF(Proc[[#This Row],[type]]="LFF (MDG-F)",MID(Proc[[#This Row],[Obj]],13,10),"")</f>
        <v/>
      </c>
      <c r="J141" s="60" t="b">
        <f ca="1">Proc[[#This Row],[Requested]]=Proc[[#This Row],[CurrentParent]]</f>
        <v>1</v>
      </c>
      <c r="K141" s="60" t="str">
        <f ca="1"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38" t="str">
        <f ca="1"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 ca="1">IF(Proc[[#This Row],[type]]="LFF (MDG-F)",MID(Proc[[#This Row],[Obj]],13,10),"")</f>
        <v/>
      </c>
      <c r="J142" s="60" t="b">
        <f ca="1">Proc[[#This Row],[Requested]]=Proc[[#This Row],[CurrentParent]]</f>
        <v>1</v>
      </c>
      <c r="K142" s="60" t="str">
        <f ca="1"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38" t="str">
        <f ca="1"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 ca="1">IF(Proc[[#This Row],[type]]="LFF (MDG-F)",MID(Proc[[#This Row],[Obj]],13,10),"")</f>
        <v/>
      </c>
      <c r="J143" s="60" t="b">
        <f ca="1">Proc[[#This Row],[Requested]]=Proc[[#This Row],[CurrentParent]]</f>
        <v>1</v>
      </c>
      <c r="K143" s="60" t="str">
        <f ca="1"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38" t="str">
        <f ca="1"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 ca="1">IF(Proc[[#This Row],[type]]="LFF (MDG-F)",MID(Proc[[#This Row],[Obj]],13,10),"")</f>
        <v/>
      </c>
      <c r="J144" s="60" t="b">
        <f ca="1">Proc[[#This Row],[Requested]]=Proc[[#This Row],[CurrentParent]]</f>
        <v>1</v>
      </c>
      <c r="K144" s="60" t="str">
        <f ca="1"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38" t="str">
        <f ca="1"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 ca="1">IF(Proc[[#This Row],[type]]="LFF (MDG-F)",MID(Proc[[#This Row],[Obj]],13,10),"")</f>
        <v/>
      </c>
      <c r="J145" s="60" t="b">
        <f ca="1">Proc[[#This Row],[Requested]]=Proc[[#This Row],[CurrentParent]]</f>
        <v>1</v>
      </c>
      <c r="K145" s="60" t="str">
        <f ca="1"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38" t="str">
        <f ca="1"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 ca="1">IF(Proc[[#This Row],[type]]="LFF (MDG-F)",MID(Proc[[#This Row],[Obj]],13,10),"")</f>
        <v/>
      </c>
      <c r="J146" s="60" t="b">
        <f ca="1">Proc[[#This Row],[Requested]]=Proc[[#This Row],[CurrentParent]]</f>
        <v>1</v>
      </c>
      <c r="K146" s="60" t="str">
        <f ca="1"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38" t="str">
        <f ca="1"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 ca="1">IF(Proc[[#This Row],[type]]="LFF (MDG-F)",MID(Proc[[#This Row],[Obj]],13,10),"")</f>
        <v/>
      </c>
      <c r="J147" s="60" t="b">
        <f ca="1">Proc[[#This Row],[Requested]]=Proc[[#This Row],[CurrentParent]]</f>
        <v>1</v>
      </c>
      <c r="K147" s="60" t="str">
        <f ca="1"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38" t="str">
        <f ca="1"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 ca="1">IF(Proc[[#This Row],[type]]="LFF (MDG-F)",MID(Proc[[#This Row],[Obj]],13,10),"")</f>
        <v/>
      </c>
      <c r="J148" s="60" t="b">
        <f ca="1">Proc[[#This Row],[Requested]]=Proc[[#This Row],[CurrentParent]]</f>
        <v>1</v>
      </c>
      <c r="K148" s="60" t="str">
        <f ca="1"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38" t="str">
        <f ca="1"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 ca="1">IF(Proc[[#This Row],[type]]="LFF (MDG-F)",MID(Proc[[#This Row],[Obj]],13,10),"")</f>
        <v/>
      </c>
      <c r="J149" s="60" t="b">
        <f ca="1">Proc[[#This Row],[Requested]]=Proc[[#This Row],[CurrentParent]]</f>
        <v>1</v>
      </c>
      <c r="K149" s="60" t="str">
        <f ca="1"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38" t="str">
        <f ca="1"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 ca="1">IF(Proc[[#This Row],[type]]="LFF (MDG-F)",MID(Proc[[#This Row],[Obj]],13,10),"")</f>
        <v/>
      </c>
      <c r="J150" s="60" t="b">
        <f ca="1">Proc[[#This Row],[Requested]]=Proc[[#This Row],[CurrentParent]]</f>
        <v>1</v>
      </c>
      <c r="K150" s="60" t="str">
        <f ca="1"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38" t="str">
        <f ca="1"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 ca="1">IF(Proc[[#This Row],[type]]="LFF (MDG-F)",MID(Proc[[#This Row],[Obj]],13,10),"")</f>
        <v/>
      </c>
      <c r="J151" s="60" t="b">
        <f ca="1">Proc[[#This Row],[Requested]]=Proc[[#This Row],[CurrentParent]]</f>
        <v>1</v>
      </c>
      <c r="K151" s="60" t="str">
        <f ca="1"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38" t="str">
        <f ca="1"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 ca="1">IF(Proc[[#This Row],[type]]="LFF (MDG-F)",MID(Proc[[#This Row],[Obj]],13,10),"")</f>
        <v/>
      </c>
      <c r="J152" s="60" t="b">
        <f ca="1">Proc[[#This Row],[Requested]]=Proc[[#This Row],[CurrentParent]]</f>
        <v>1</v>
      </c>
      <c r="K152" s="60" t="str">
        <f ca="1"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38" t="str">
        <f ca="1"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 ca="1">IF(Proc[[#This Row],[type]]="LFF (MDG-F)",MID(Proc[[#This Row],[Obj]],13,10),"")</f>
        <v/>
      </c>
      <c r="J153" s="60" t="b">
        <f ca="1">Proc[[#This Row],[Requested]]=Proc[[#This Row],[CurrentParent]]</f>
        <v>1</v>
      </c>
      <c r="K153" s="60" t="str">
        <f ca="1"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38" t="str">
        <f ca="1"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 ca="1">IF(Proc[[#This Row],[type]]="LFF (MDG-F)",MID(Proc[[#This Row],[Obj]],13,10),"")</f>
        <v/>
      </c>
      <c r="J154" s="60" t="b">
        <f ca="1">Proc[[#This Row],[Requested]]=Proc[[#This Row],[CurrentParent]]</f>
        <v>1</v>
      </c>
      <c r="K154" s="60" t="str">
        <f ca="1"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38" t="str">
        <f ca="1"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 ca="1">IF(Proc[[#This Row],[type]]="LFF (MDG-F)",MID(Proc[[#This Row],[Obj]],13,10),"")</f>
        <v/>
      </c>
      <c r="J155" s="60" t="b">
        <f ca="1">Proc[[#This Row],[Requested]]=Proc[[#This Row],[CurrentParent]]</f>
        <v>1</v>
      </c>
      <c r="K155" s="60" t="str">
        <f ca="1"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38" t="str">
        <f ca="1"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 ca="1">IF(Proc[[#This Row],[type]]="LFF (MDG-F)",MID(Proc[[#This Row],[Obj]],13,10),"")</f>
        <v/>
      </c>
      <c r="J156" s="60" t="b">
        <f ca="1">Proc[[#This Row],[Requested]]=Proc[[#This Row],[CurrentParent]]</f>
        <v>1</v>
      </c>
      <c r="K156" s="60" t="str">
        <f ca="1"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38" t="str">
        <f ca="1"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 ca="1">IF(Proc[[#This Row],[type]]="LFF (MDG-F)",MID(Proc[[#This Row],[Obj]],13,10),"")</f>
        <v/>
      </c>
      <c r="I157" t="s">
        <v>1493</v>
      </c>
      <c r="J157" s="60" t="b">
        <f ca="1">Proc[[#This Row],[Requested]]=Proc[[#This Row],[CurrentParent]]</f>
        <v>1</v>
      </c>
      <c r="K157" s="60" t="str">
        <f ca="1"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38" t="str">
        <f ca="1"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 ca="1">IF(Proc[[#This Row],[type]]="LFF (MDG-F)",MID(Proc[[#This Row],[Obj]],13,10),"")</f>
        <v/>
      </c>
      <c r="I158" s="62" t="s">
        <v>1493</v>
      </c>
      <c r="J158" s="60" t="b">
        <f ca="1">Proc[[#This Row],[Requested]]=Proc[[#This Row],[CurrentParent]]</f>
        <v>1</v>
      </c>
      <c r="K158" s="60" t="str">
        <f ca="1"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38" t="str">
        <f ca="1"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 ca="1">IF(Proc[[#This Row],[type]]="LFF (MDG-F)",MID(Proc[[#This Row],[Obj]],13,10),"")</f>
        <v/>
      </c>
      <c r="I159" s="62" t="s">
        <v>1493</v>
      </c>
      <c r="J159" s="60" t="b">
        <f ca="1">Proc[[#This Row],[Requested]]=Proc[[#This Row],[CurrentParent]]</f>
        <v>1</v>
      </c>
      <c r="K159" s="60" t="str">
        <f ca="1"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38" t="str">
        <f ca="1"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 ca="1">IF(Proc[[#This Row],[type]]="LFF (MDG-F)",MID(Proc[[#This Row],[Obj]],13,10),"")</f>
        <v/>
      </c>
      <c r="I160" s="62" t="s">
        <v>1493</v>
      </c>
      <c r="J160" s="60" t="b">
        <f ca="1">Proc[[#This Row],[Requested]]=Proc[[#This Row],[CurrentParent]]</f>
        <v>1</v>
      </c>
      <c r="K160" s="60" t="str">
        <f ca="1"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38" t="str">
        <f ca="1"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 ca="1">IF(Proc[[#This Row],[type]]="LFF (MDG-F)",MID(Proc[[#This Row],[Obj]],13,10),"")</f>
        <v>DE10GIT05A</v>
      </c>
      <c r="J161" s="60" t="b">
        <f ca="1">Proc[[#This Row],[Requested]]=Proc[[#This Row],[CurrentParent]]</f>
        <v>1</v>
      </c>
      <c r="K161" s="60" t="str">
        <f ca="1"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38" t="str">
        <f ca="1"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 ca="1">IF(Proc[[#This Row],[type]]="LFF (MDG-F)",MID(Proc[[#This Row],[Obj]],13,10),"")</f>
        <v/>
      </c>
      <c r="I162" t="s">
        <v>1493</v>
      </c>
      <c r="J162" s="60" t="b">
        <f ca="1">Proc[[#This Row],[Requested]]=Proc[[#This Row],[CurrentParent]]</f>
        <v>1</v>
      </c>
      <c r="K162" s="60" t="str">
        <f ca="1"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38" t="str">
        <f ca="1"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 ca="1">IF(Proc[[#This Row],[type]]="LFF (MDG-F)",MID(Proc[[#This Row],[Obj]],13,10),"")</f>
        <v/>
      </c>
      <c r="I163" t="s">
        <v>1493</v>
      </c>
      <c r="J163" s="60" t="b">
        <f ca="1">Proc[[#This Row],[Requested]]=Proc[[#This Row],[CurrentParent]]</f>
        <v>1</v>
      </c>
      <c r="K163" s="60" t="str">
        <f ca="1"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38" t="str">
        <f ca="1"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 ca="1">IF(Proc[[#This Row],[type]]="LFF (MDG-F)",MID(Proc[[#This Row],[Obj]],13,10),"")</f>
        <v>DE10300076</v>
      </c>
      <c r="J164" s="60" t="b">
        <f ca="1">Proc[[#This Row],[Requested]]=Proc[[#This Row],[CurrentParent]]</f>
        <v>1</v>
      </c>
      <c r="K164" s="60" t="str">
        <f ca="1"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38" t="str">
        <f ca="1"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 ca="1">IF(Proc[[#This Row],[type]]="LFF (MDG-F)",MID(Proc[[#This Row],[Obj]],13,10),"")</f>
        <v>DE10200023</v>
      </c>
      <c r="J165" s="60" t="b">
        <f ca="1">Proc[[#This Row],[Requested]]=Proc[[#This Row],[CurrentParent]]</f>
        <v>1</v>
      </c>
      <c r="K165" s="60" t="str">
        <f ca="1"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38" t="str">
        <f ca="1"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 ca="1">IF(Proc[[#This Row],[type]]="LFF (MDG-F)",MID(Proc[[#This Row],[Obj]],13,10),"")</f>
        <v>DE10200050</v>
      </c>
      <c r="J166" s="60" t="b">
        <f ca="1">Proc[[#This Row],[Requested]]=Proc[[#This Row],[CurrentParent]]</f>
        <v>1</v>
      </c>
      <c r="K166" s="60" t="str">
        <f ca="1"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38" t="str">
        <f ca="1"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 ca="1">IF(Proc[[#This Row],[type]]="LFF (MDG-F)",MID(Proc[[#This Row],[Obj]],13,10),"")</f>
        <v/>
      </c>
      <c r="I167" t="s">
        <v>1493</v>
      </c>
      <c r="J167" s="60" t="b">
        <f ca="1">Proc[[#This Row],[Requested]]=Proc[[#This Row],[CurrentParent]]</f>
        <v>1</v>
      </c>
      <c r="K167" s="60" t="str">
        <f ca="1"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38" t="str">
        <f ca="1"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 ca="1">IF(Proc[[#This Row],[type]]="LFF (MDG-F)",MID(Proc[[#This Row],[Obj]],13,10),"")</f>
        <v/>
      </c>
      <c r="I168" t="s">
        <v>1493</v>
      </c>
      <c r="J168" s="60" t="b">
        <f ca="1">Proc[[#This Row],[Requested]]=Proc[[#This Row],[CurrentParent]]</f>
        <v>1</v>
      </c>
      <c r="K168" s="60" t="str">
        <f ca="1"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38" t="str">
        <f ca="1"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 ca="1">IF(Proc[[#This Row],[type]]="LFF (MDG-F)",MID(Proc[[#This Row],[Obj]],13,10),"")</f>
        <v/>
      </c>
      <c r="I169" t="s">
        <v>1493</v>
      </c>
      <c r="J169" s="60" t="b">
        <f ca="1">Proc[[#This Row],[Requested]]=Proc[[#This Row],[CurrentParent]]</f>
        <v>1</v>
      </c>
      <c r="K169" s="60" t="str">
        <f ca="1"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38" t="str">
        <f ca="1"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 ca="1">IF(Proc[[#This Row],[type]]="LFF (MDG-F)",MID(Proc[[#This Row],[Obj]],13,10),"")</f>
        <v/>
      </c>
      <c r="I170" t="s">
        <v>1493</v>
      </c>
      <c r="J170" s="60" t="b">
        <f ca="1">Proc[[#This Row],[Requested]]=Proc[[#This Row],[CurrentParent]]</f>
        <v>1</v>
      </c>
      <c r="K170" s="60" t="str">
        <f ca="1"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38" t="str">
        <f ca="1"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 ca="1">IF(Proc[[#This Row],[type]]="LFF (MDG-F)",MID(Proc[[#This Row],[Obj]],13,10),"")</f>
        <v/>
      </c>
      <c r="I171" t="s">
        <v>1493</v>
      </c>
      <c r="J171" s="60" t="b">
        <f ca="1">Proc[[#This Row],[Requested]]=Proc[[#This Row],[CurrentParent]]</f>
        <v>1</v>
      </c>
      <c r="K171" s="60" t="str">
        <f ca="1"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38" t="str">
        <f ca="1"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 ca="1">IF(Proc[[#This Row],[type]]="LFF (MDG-F)",MID(Proc[[#This Row],[Obj]],13,10),"")</f>
        <v/>
      </c>
      <c r="I172" t="s">
        <v>1493</v>
      </c>
      <c r="J172" s="60" t="b">
        <f ca="1">Proc[[#This Row],[Requested]]=Proc[[#This Row],[CurrentParent]]</f>
        <v>1</v>
      </c>
      <c r="K172" s="60" t="str">
        <f ca="1"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38" t="str">
        <f ca="1"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 ca="1">IF(Proc[[#This Row],[type]]="LFF (MDG-F)",MID(Proc[[#This Row],[Obj]],13,10),"")</f>
        <v/>
      </c>
      <c r="I173" t="s">
        <v>1493</v>
      </c>
      <c r="J173" s="60" t="b">
        <f ca="1">Proc[[#This Row],[Requested]]=Proc[[#This Row],[CurrentParent]]</f>
        <v>1</v>
      </c>
      <c r="K173" s="60" t="str">
        <f ca="1"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38" t="str">
        <f ca="1"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 ca="1">IF(Proc[[#This Row],[type]]="LFF (MDG-F)",MID(Proc[[#This Row],[Obj]],13,10),"")</f>
        <v/>
      </c>
      <c r="I174" t="s">
        <v>1493</v>
      </c>
      <c r="J174" s="60" t="b">
        <f ca="1">Proc[[#This Row],[Requested]]=Proc[[#This Row],[CurrentParent]]</f>
        <v>1</v>
      </c>
      <c r="K174" s="60" t="str">
        <f ca="1"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38" t="str">
        <f ca="1"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 ca="1">IF(Proc[[#This Row],[type]]="LFF (MDG-F)",MID(Proc[[#This Row],[Obj]],13,10),"")</f>
        <v/>
      </c>
      <c r="I175" t="s">
        <v>1493</v>
      </c>
      <c r="J175" s="60" t="b">
        <f ca="1">Proc[[#This Row],[Requested]]=Proc[[#This Row],[CurrentParent]]</f>
        <v>1</v>
      </c>
      <c r="K175" s="60" t="str">
        <f ca="1"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38" t="str">
        <f ca="1"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 ca="1">IF(Proc[[#This Row],[type]]="LFF (MDG-F)",MID(Proc[[#This Row],[Obj]],13,10),"")</f>
        <v/>
      </c>
      <c r="I176" t="s">
        <v>1493</v>
      </c>
      <c r="J176" s="60" t="b">
        <f ca="1">Proc[[#This Row],[Requested]]=Proc[[#This Row],[CurrentParent]]</f>
        <v>1</v>
      </c>
      <c r="K176" s="60" t="str">
        <f ca="1"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38" t="str">
        <f ca="1"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 ca="1">IF(Proc[[#This Row],[type]]="LFF (MDG-F)",MID(Proc[[#This Row],[Obj]],13,10),"")</f>
        <v/>
      </c>
      <c r="I177" t="s">
        <v>1493</v>
      </c>
      <c r="J177" s="60" t="b">
        <f ca="1">Proc[[#This Row],[Requested]]=Proc[[#This Row],[CurrentParent]]</f>
        <v>1</v>
      </c>
      <c r="K177" s="60" t="str">
        <f ca="1"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38" t="str">
        <f ca="1"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 ca="1">IF(Proc[[#This Row],[type]]="LFF (MDG-F)",MID(Proc[[#This Row],[Obj]],13,10),"")</f>
        <v/>
      </c>
      <c r="I178" t="s">
        <v>1493</v>
      </c>
      <c r="J178" s="60" t="b">
        <f ca="1">Proc[[#This Row],[Requested]]=Proc[[#This Row],[CurrentParent]]</f>
        <v>1</v>
      </c>
      <c r="K178" s="60" t="str">
        <f ca="1"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38" t="str">
        <f ca="1"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 ca="1">IF(Proc[[#This Row],[type]]="LFF (MDG-F)",MID(Proc[[#This Row],[Obj]],13,10),"")</f>
        <v/>
      </c>
      <c r="I179" t="s">
        <v>1493</v>
      </c>
      <c r="J179" s="60" t="b">
        <f ca="1">Proc[[#This Row],[Requested]]=Proc[[#This Row],[CurrentParent]]</f>
        <v>1</v>
      </c>
      <c r="K179" s="60" t="str">
        <f ca="1"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38" t="str">
        <f ca="1"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 ca="1">IF(Proc[[#This Row],[type]]="LFF (MDG-F)",MID(Proc[[#This Row],[Obj]],13,10),"")</f>
        <v/>
      </c>
      <c r="I180" t="s">
        <v>1493</v>
      </c>
      <c r="J180" s="60" t="b">
        <f ca="1">Proc[[#This Row],[Requested]]=Proc[[#This Row],[CurrentParent]]</f>
        <v>1</v>
      </c>
      <c r="K180" s="60" t="str">
        <f ca="1"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38" t="str">
        <f ca="1"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 ca="1">IF(Proc[[#This Row],[type]]="LFF (MDG-F)",MID(Proc[[#This Row],[Obj]],13,10),"")</f>
        <v/>
      </c>
      <c r="I181" t="s">
        <v>1493</v>
      </c>
      <c r="J181" s="60" t="b">
        <f ca="1">Proc[[#This Row],[Requested]]=Proc[[#This Row],[CurrentParent]]</f>
        <v>1</v>
      </c>
      <c r="K181" s="60" t="str">
        <f ca="1"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38" t="str">
        <f ca="1"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 ca="1">IF(Proc[[#This Row],[type]]="LFF (MDG-F)",MID(Proc[[#This Row],[Obj]],13,10),"")</f>
        <v/>
      </c>
      <c r="I182" t="s">
        <v>1493</v>
      </c>
      <c r="J182" s="60" t="b">
        <f ca="1">Proc[[#This Row],[Requested]]=Proc[[#This Row],[CurrentParent]]</f>
        <v>1</v>
      </c>
      <c r="K182" s="60" t="str">
        <f ca="1"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38" t="str">
        <f ca="1"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 ca="1">IF(Proc[[#This Row],[type]]="LFF (MDG-F)",MID(Proc[[#This Row],[Obj]],13,10),"")</f>
        <v/>
      </c>
      <c r="I183" t="s">
        <v>1493</v>
      </c>
      <c r="J183" s="60" t="b">
        <f ca="1">Proc[[#This Row],[Requested]]=Proc[[#This Row],[CurrentParent]]</f>
        <v>1</v>
      </c>
      <c r="K183" s="60" t="str">
        <f ca="1"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38" t="str">
        <f ca="1"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 ca="1">IF(Proc[[#This Row],[type]]="LFF (MDG-F)",MID(Proc[[#This Row],[Obj]],13,10),"")</f>
        <v/>
      </c>
      <c r="I184" t="s">
        <v>1493</v>
      </c>
      <c r="J184" s="60" t="b">
        <f ca="1">Proc[[#This Row],[Requested]]=Proc[[#This Row],[CurrentParent]]</f>
        <v>1</v>
      </c>
      <c r="K184" s="60" t="str">
        <f ca="1"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38" t="str">
        <f ca="1"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 ca="1">IF(Proc[[#This Row],[type]]="LFF (MDG-F)",MID(Proc[[#This Row],[Obj]],13,10),"")</f>
        <v/>
      </c>
      <c r="I185" t="s">
        <v>1493</v>
      </c>
      <c r="J185" s="60" t="b">
        <f ca="1">Proc[[#This Row],[Requested]]=Proc[[#This Row],[CurrentParent]]</f>
        <v>1</v>
      </c>
      <c r="K185" s="60" t="str">
        <f ca="1"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38" t="str">
        <f ca="1"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 ca="1">IF(Proc[[#This Row],[type]]="LFF (MDG-F)",MID(Proc[[#This Row],[Obj]],13,10),"")</f>
        <v/>
      </c>
      <c r="I186" t="s">
        <v>1493</v>
      </c>
      <c r="J186" s="60" t="b">
        <f ca="1">Proc[[#This Row],[Requested]]=Proc[[#This Row],[CurrentParent]]</f>
        <v>1</v>
      </c>
      <c r="K186" s="60" t="str">
        <f ca="1"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38" t="str">
        <f ca="1"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 ca="1">IF(Proc[[#This Row],[type]]="LFF (MDG-F)",MID(Proc[[#This Row],[Obj]],13,10),"")</f>
        <v/>
      </c>
      <c r="I187" t="s">
        <v>1493</v>
      </c>
      <c r="J187" s="60" t="b">
        <f ca="1">Proc[[#This Row],[Requested]]=Proc[[#This Row],[CurrentParent]]</f>
        <v>1</v>
      </c>
      <c r="K187" s="60" t="str">
        <f ca="1"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38" t="str">
        <f ca="1"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 ca="1">IF(Proc[[#This Row],[type]]="LFF (MDG-F)",MID(Proc[[#This Row],[Obj]],13,10),"")</f>
        <v/>
      </c>
      <c r="I188" t="s">
        <v>1493</v>
      </c>
      <c r="J188" s="60" t="b">
        <f ca="1">Proc[[#This Row],[Requested]]=Proc[[#This Row],[CurrentParent]]</f>
        <v>1</v>
      </c>
      <c r="K188" s="60" t="str">
        <f ca="1"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38" t="str">
        <f ca="1"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 ca="1">IF(Proc[[#This Row],[type]]="LFF (MDG-F)",MID(Proc[[#This Row],[Obj]],13,10),"")</f>
        <v/>
      </c>
      <c r="I189" t="s">
        <v>1493</v>
      </c>
      <c r="J189" s="60" t="b">
        <f ca="1">Proc[[#This Row],[Requested]]=Proc[[#This Row],[CurrentParent]]</f>
        <v>1</v>
      </c>
      <c r="K189" s="60" t="str">
        <f ca="1"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38" t="str">
        <f ca="1"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 ca="1">IF(Proc[[#This Row],[type]]="LFF (MDG-F)",MID(Proc[[#This Row],[Obj]],13,10),"")</f>
        <v/>
      </c>
      <c r="J190" s="60" t="b">
        <f ca="1">Proc[[#This Row],[Requested]]=Proc[[#This Row],[CurrentParent]]</f>
        <v>1</v>
      </c>
      <c r="K190" s="60" t="str">
        <f ca="1"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38" t="str">
        <f ca="1"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 ca="1">IF(Proc[[#This Row],[type]]="LFF (MDG-F)",MID(Proc[[#This Row],[Obj]],13,10),"")</f>
        <v>DE10604910</v>
      </c>
      <c r="J191" s="60" t="b">
        <f ca="1">Proc[[#This Row],[Requested]]=Proc[[#This Row],[CurrentParent]]</f>
        <v>1</v>
      </c>
      <c r="K191" s="60" t="str">
        <f ca="1"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38" t="str">
        <f ca="1"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 ca="1">IF(Proc[[#This Row],[type]]="LFF (MDG-F)",MID(Proc[[#This Row],[Obj]],13,10),"")</f>
        <v>DE10200058</v>
      </c>
      <c r="J192" s="60" t="b">
        <f ca="1">Proc[[#This Row],[Requested]]=Proc[[#This Row],[CurrentParent]]</f>
        <v>1</v>
      </c>
      <c r="K192" s="60" t="str">
        <f ca="1"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38" t="str">
        <f ca="1"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 ca="1">IF(Proc[[#This Row],[type]]="LFF (MDG-F)",MID(Proc[[#This Row],[Obj]],13,10),"")</f>
        <v>DE10200059</v>
      </c>
      <c r="J193" s="60" t="b">
        <f ca="1">Proc[[#This Row],[Requested]]=Proc[[#This Row],[CurrentParent]]</f>
        <v>1</v>
      </c>
      <c r="K193" s="60" t="str">
        <f ca="1"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38" t="str">
        <f ca="1"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 ca="1">IF(Proc[[#This Row],[type]]="LFF (MDG-F)",MID(Proc[[#This Row],[Obj]],13,10),"")</f>
        <v>DE10200060</v>
      </c>
      <c r="J194" s="60" t="b">
        <f ca="1">Proc[[#This Row],[Requested]]=Proc[[#This Row],[CurrentParent]]</f>
        <v>1</v>
      </c>
      <c r="K194" s="60" t="str">
        <f ca="1"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38" t="str">
        <f ca="1"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 ca="1">IF(Proc[[#This Row],[type]]="LFF (MDG-F)",MID(Proc[[#This Row],[Obj]],13,10),"")</f>
        <v>DE10200061</v>
      </c>
      <c r="J195" s="60" t="b">
        <f ca="1">Proc[[#This Row],[Requested]]=Proc[[#This Row],[CurrentParent]]</f>
        <v>1</v>
      </c>
      <c r="K195" s="60" t="str">
        <f ca="1"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38" t="str">
        <f ca="1"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 ca="1">IF(Proc[[#This Row],[type]]="LFF (MDG-F)",MID(Proc[[#This Row],[Obj]],13,10),"")</f>
        <v>DE10200062</v>
      </c>
      <c r="J196" s="60" t="b">
        <f ca="1">Proc[[#This Row],[Requested]]=Proc[[#This Row],[CurrentParent]]</f>
        <v>1</v>
      </c>
      <c r="K196" s="60" t="str">
        <f ca="1"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38" t="str">
        <f ca="1"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 ca="1">IF(Proc[[#This Row],[type]]="LFF (MDG-F)",MID(Proc[[#This Row],[Obj]],13,10),"")</f>
        <v/>
      </c>
      <c r="J197" s="60" t="b">
        <f ca="1">Proc[[#This Row],[Requested]]=Proc[[#This Row],[CurrentParent]]</f>
        <v>1</v>
      </c>
      <c r="K197" s="60" t="str">
        <f ca="1"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38" t="str">
        <f ca="1"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 ca="1">IF(Proc[[#This Row],[type]]="LFF (MDG-F)",MID(Proc[[#This Row],[Obj]],13,10),"")</f>
        <v/>
      </c>
      <c r="J198" s="60" t="b">
        <f ca="1">Proc[[#This Row],[Requested]]=Proc[[#This Row],[CurrentParent]]</f>
        <v>1</v>
      </c>
      <c r="K198" s="60" t="str">
        <f ca="1"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38" t="str">
        <f ca="1"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 ca="1">IF(Proc[[#This Row],[type]]="LFF (MDG-F)",MID(Proc[[#This Row],[Obj]],13,10),"")</f>
        <v/>
      </c>
      <c r="J199" s="60" t="b">
        <f ca="1">Proc[[#This Row],[Requested]]=Proc[[#This Row],[CurrentParent]]</f>
        <v>1</v>
      </c>
      <c r="K199" s="60" t="str">
        <f ca="1"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38" t="str">
        <f ca="1"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 ca="1">IF(Proc[[#This Row],[type]]="LFF (MDG-F)",MID(Proc[[#This Row],[Obj]],13,10),"")</f>
        <v/>
      </c>
      <c r="J200" s="60" t="b">
        <f ca="1">Proc[[#This Row],[Requested]]=Proc[[#This Row],[CurrentParent]]</f>
        <v>1</v>
      </c>
      <c r="K200" s="60" t="str">
        <f ca="1"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38" t="str">
        <f ca="1"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 ca="1">IF(Proc[[#This Row],[type]]="LFF (MDG-F)",MID(Proc[[#This Row],[Obj]],13,10),"")</f>
        <v/>
      </c>
      <c r="I201" t="s">
        <v>1639</v>
      </c>
      <c r="J201" s="60" t="b">
        <f ca="1">Proc[[#This Row],[Requested]]=Proc[[#This Row],[CurrentParent]]</f>
        <v>1</v>
      </c>
      <c r="K201" s="60" t="str">
        <f ca="1"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38" t="str">
        <f ca="1"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 ca="1">IF(Proc[[#This Row],[type]]="LFF (MDG-F)",MID(Proc[[#This Row],[Obj]],13,10),"")</f>
        <v>TW91C02001</v>
      </c>
      <c r="I202" t="s">
        <v>1640</v>
      </c>
      <c r="J202" s="60" t="b">
        <f ca="1">Proc[[#This Row],[Requested]]=Proc[[#This Row],[CurrentParent]]</f>
        <v>1</v>
      </c>
      <c r="K202" s="60" t="str">
        <f ca="1"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38" t="str">
        <f ca="1"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 ca="1">IF(Proc[[#This Row],[type]]="LFF (MDG-F)",MID(Proc[[#This Row],[Obj]],13,10),"")</f>
        <v>NG50C1CSLS</v>
      </c>
      <c r="J203" s="60" t="b">
        <f ca="1">Proc[[#This Row],[Requested]]=Proc[[#This Row],[CurrentParent]]</f>
        <v>1</v>
      </c>
      <c r="K203" s="60" t="str">
        <f ca="1"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38" t="str">
        <f ca="1"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 ca="1">IF(Proc[[#This Row],[type]]="LFF (MDG-F)",MID(Proc[[#This Row],[Obj]],13,10),"")</f>
        <v/>
      </c>
      <c r="J204" s="60" t="b">
        <f ca="1">Proc[[#This Row],[Requested]]=Proc[[#This Row],[CurrentParent]]</f>
        <v>1</v>
      </c>
      <c r="K204" s="60" t="str">
        <f ca="1"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38" t="str">
        <f ca="1"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 ca="1">IF(Proc[[#This Row],[type]]="LFF (MDG-F)",MID(Proc[[#This Row],[Obj]],13,10),"")</f>
        <v/>
      </c>
      <c r="J205" s="60" t="b">
        <f ca="1">Proc[[#This Row],[Requested]]=Proc[[#This Row],[CurrentParent]]</f>
        <v>1</v>
      </c>
      <c r="K205" s="60" t="str">
        <f ca="1"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38" t="str">
        <f ca="1"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 ca="1">IF(Proc[[#This Row],[type]]="LFF (MDG-F)",MID(Proc[[#This Row],[Obj]],13,10),"")</f>
        <v/>
      </c>
      <c r="I206" s="62" t="s">
        <v>1493</v>
      </c>
      <c r="J206" s="60" t="b">
        <f ca="1">Proc[[#This Row],[Requested]]=Proc[[#This Row],[CurrentParent]]</f>
        <v>1</v>
      </c>
      <c r="K206" s="60" t="str">
        <f ca="1"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38" t="str">
        <f ca="1"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 ca="1">IF(Proc[[#This Row],[type]]="LFF (MDG-F)",MID(Proc[[#This Row],[Obj]],13,10),"")</f>
        <v/>
      </c>
      <c r="I207" s="62" t="s">
        <v>1493</v>
      </c>
      <c r="J207" s="60" t="b">
        <f ca="1">Proc[[#This Row],[Requested]]=Proc[[#This Row],[CurrentParent]]</f>
        <v>1</v>
      </c>
      <c r="K207" s="60" t="str">
        <f ca="1"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38" t="str">
        <f ca="1"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 ca="1">IF(Proc[[#This Row],[type]]="LFF (MDG-F)",MID(Proc[[#This Row],[Obj]],13,10),"")</f>
        <v>DE20533101</v>
      </c>
      <c r="I208" s="62" t="s">
        <v>1640</v>
      </c>
      <c r="J208" s="60" t="b">
        <f ca="1">Proc[[#This Row],[Requested]]=Proc[[#This Row],[CurrentParent]]</f>
        <v>1</v>
      </c>
      <c r="K208" s="60" t="str">
        <f ca="1"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38" t="str">
        <f ca="1"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 ca="1">IF(Proc[[#This Row],[type]]="LFF (MDG-F)",MID(Proc[[#This Row],[Obj]],13,10),"")</f>
        <v>DE20533102</v>
      </c>
      <c r="I209" s="62" t="s">
        <v>1640</v>
      </c>
      <c r="J209" s="60" t="b">
        <f ca="1">Proc[[#This Row],[Requested]]=Proc[[#This Row],[CurrentParent]]</f>
        <v>1</v>
      </c>
      <c r="K209" s="60" t="str">
        <f ca="1"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38" t="str">
        <f ca="1"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 ca="1">IF(Proc[[#This Row],[type]]="LFF (MDG-F)",MID(Proc[[#This Row],[Obj]],13,10),"")</f>
        <v>DE20533103</v>
      </c>
      <c r="I210" s="62" t="s">
        <v>1640</v>
      </c>
      <c r="J210" s="60" t="b">
        <f ca="1">Proc[[#This Row],[Requested]]=Proc[[#This Row],[CurrentParent]]</f>
        <v>1</v>
      </c>
      <c r="K210" s="60" t="str">
        <f ca="1"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38" t="str">
        <f ca="1"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 ca="1">IF(Proc[[#This Row],[type]]="LFF (MDG-F)",MID(Proc[[#This Row],[Obj]],13,10),"")</f>
        <v>DE20533104</v>
      </c>
      <c r="I211" s="62" t="s">
        <v>1640</v>
      </c>
      <c r="J211" s="60" t="b">
        <f ca="1">Proc[[#This Row],[Requested]]=Proc[[#This Row],[CurrentParent]]</f>
        <v>1</v>
      </c>
      <c r="K211" s="60" t="str">
        <f ca="1"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38" t="str">
        <f ca="1"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 ca="1">IF(Proc[[#This Row],[type]]="LFF (MDG-F)",MID(Proc[[#This Row],[Obj]],13,10),"")</f>
        <v>DE20533105</v>
      </c>
      <c r="I212" s="62" t="s">
        <v>1640</v>
      </c>
      <c r="J212" s="60" t="b">
        <f ca="1">Proc[[#This Row],[Requested]]=Proc[[#This Row],[CurrentParent]]</f>
        <v>1</v>
      </c>
      <c r="K212" s="60" t="str">
        <f ca="1"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38" t="str">
        <f ca="1"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 ca="1">IF(Proc[[#This Row],[type]]="LFF (MDG-F)",MID(Proc[[#This Row],[Obj]],13,10),"")</f>
        <v>DE20533106</v>
      </c>
      <c r="I213" s="62" t="s">
        <v>1640</v>
      </c>
      <c r="J213" s="60" t="b">
        <f ca="1">Proc[[#This Row],[Requested]]=Proc[[#This Row],[CurrentParent]]</f>
        <v>1</v>
      </c>
      <c r="K213" s="60" t="str">
        <f ca="1"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38" t="str">
        <f ca="1"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 ca="1">IF(Proc[[#This Row],[type]]="LFF (MDG-F)",MID(Proc[[#This Row],[Obj]],13,10),"")</f>
        <v>DE20533107</v>
      </c>
      <c r="I214" s="62" t="s">
        <v>446</v>
      </c>
      <c r="J214" s="60" t="b">
        <f ca="1">Proc[[#This Row],[Requested]]=Proc[[#This Row],[CurrentParent]]</f>
        <v>1</v>
      </c>
      <c r="K214" s="60" t="str">
        <f ca="1"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 ca="1">VLOOKUP(Proc[[#This Row],[Obj]],#REF!,2,0)</f>
        <v>#REF!</v>
      </c>
    </row>
    <row r="215" spans="1:19" hidden="1">
      <c r="A215" s="62" t="s">
        <v>1547</v>
      </c>
      <c r="B215" s="138" t="str">
        <f ca="1"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 ca="1">IF(Proc[[#This Row],[type]]="LFF (MDG-F)",MID(Proc[[#This Row],[Obj]],13,10),"")</f>
        <v>DE20533108</v>
      </c>
      <c r="I215" s="62" t="s">
        <v>1640</v>
      </c>
      <c r="J215" s="60" t="b">
        <f ca="1">Proc[[#This Row],[Requested]]=Proc[[#This Row],[CurrentParent]]</f>
        <v>1</v>
      </c>
      <c r="K215" s="60" t="str">
        <f ca="1"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38" t="str">
        <f ca="1"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 ca="1">IF(Proc[[#This Row],[type]]="LFF (MDG-F)",MID(Proc[[#This Row],[Obj]],13,10),"")</f>
        <v>DE20533109</v>
      </c>
      <c r="I216" s="62" t="s">
        <v>446</v>
      </c>
      <c r="J216" s="60" t="b">
        <f ca="1">Proc[[#This Row],[Requested]]=Proc[[#This Row],[CurrentParent]]</f>
        <v>1</v>
      </c>
      <c r="K216" s="60" t="str">
        <f ca="1"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 ca="1">VLOOKUP(Proc[[#This Row],[Obj]],#REF!,2,0)</f>
        <v>#REF!</v>
      </c>
    </row>
    <row r="217" spans="1:19" hidden="1">
      <c r="A217" s="62" t="s">
        <v>1547</v>
      </c>
      <c r="B217" s="138" t="str">
        <f ca="1"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 ca="1">IF(Proc[[#This Row],[type]]="LFF (MDG-F)",MID(Proc[[#This Row],[Obj]],13,10),"")</f>
        <v>DE20533110</v>
      </c>
      <c r="I217" s="62" t="s">
        <v>1640</v>
      </c>
      <c r="J217" s="60" t="b">
        <f ca="1">Proc[[#This Row],[Requested]]=Proc[[#This Row],[CurrentParent]]</f>
        <v>1</v>
      </c>
      <c r="K217" s="60" t="str">
        <f ca="1"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38" t="str">
        <f ca="1"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 ca="1">IF(Proc[[#This Row],[type]]="LFF (MDG-F)",MID(Proc[[#This Row],[Obj]],13,10),"")</f>
        <v>DE20533111</v>
      </c>
      <c r="I218" s="62" t="s">
        <v>1640</v>
      </c>
      <c r="J218" s="60" t="b">
        <f ca="1">Proc[[#This Row],[Requested]]=Proc[[#This Row],[CurrentParent]]</f>
        <v>1</v>
      </c>
      <c r="K218" s="60" t="str">
        <f ca="1"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38" t="str">
        <f ca="1"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 ca="1">IF(Proc[[#This Row],[type]]="LFF (MDG-F)",MID(Proc[[#This Row],[Obj]],13,10),"")</f>
        <v>DE20533112</v>
      </c>
      <c r="I219" s="62" t="s">
        <v>1640</v>
      </c>
      <c r="J219" s="60" t="b">
        <f ca="1">Proc[[#This Row],[Requested]]=Proc[[#This Row],[CurrentParent]]</f>
        <v>1</v>
      </c>
      <c r="K219" s="60" t="str">
        <f ca="1"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38" t="str">
        <f ca="1"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 ca="1">IF(Proc[[#This Row],[type]]="LFF (MDG-F)",MID(Proc[[#This Row],[Obj]],13,10),"")</f>
        <v>DE20533113</v>
      </c>
      <c r="I220" s="62" t="s">
        <v>446</v>
      </c>
      <c r="J220" s="60" t="b">
        <f ca="1">Proc[[#This Row],[Requested]]=Proc[[#This Row],[CurrentParent]]</f>
        <v>1</v>
      </c>
      <c r="K220" s="60" t="str">
        <f ca="1"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 ca="1">VLOOKUP(Proc[[#This Row],[Obj]],#REF!,2,0)</f>
        <v>#REF!</v>
      </c>
    </row>
    <row r="221" spans="1:19" hidden="1">
      <c r="A221" s="62" t="s">
        <v>1547</v>
      </c>
      <c r="B221" s="138" t="str">
        <f ca="1"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 ca="1">IF(Proc[[#This Row],[type]]="LFF (MDG-F)",MID(Proc[[#This Row],[Obj]],13,10),"")</f>
        <v>DE20533198</v>
      </c>
      <c r="I221" s="62" t="s">
        <v>1640</v>
      </c>
      <c r="J221" s="60" t="b">
        <f ca="1">Proc[[#This Row],[Requested]]=Proc[[#This Row],[CurrentParent]]</f>
        <v>1</v>
      </c>
      <c r="K221" s="60" t="str">
        <f ca="1"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38" t="str">
        <f ca="1"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 ca="1">IF(Proc[[#This Row],[type]]="LFF (MDG-F)",MID(Proc[[#This Row],[Obj]],13,10),"")</f>
        <v>DE10533101</v>
      </c>
      <c r="I222" s="62" t="s">
        <v>1640</v>
      </c>
      <c r="J222" s="60" t="b">
        <f ca="1">Proc[[#This Row],[Requested]]=Proc[[#This Row],[CurrentParent]]</f>
        <v>1</v>
      </c>
      <c r="K222" s="60" t="str">
        <f ca="1"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38" t="str">
        <f ca="1"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 ca="1">IF(Proc[[#This Row],[type]]="LFF (MDG-F)",MID(Proc[[#This Row],[Obj]],13,10),"")</f>
        <v>DE10533102</v>
      </c>
      <c r="I223" s="62" t="s">
        <v>1640</v>
      </c>
      <c r="J223" s="60" t="b">
        <f ca="1">Proc[[#This Row],[Requested]]=Proc[[#This Row],[CurrentParent]]</f>
        <v>1</v>
      </c>
      <c r="K223" s="60" t="str">
        <f ca="1"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38" t="str">
        <f ca="1"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 ca="1">IF(Proc[[#This Row],[type]]="LFF (MDG-F)",MID(Proc[[#This Row],[Obj]],13,10),"")</f>
        <v>DE10533103</v>
      </c>
      <c r="I224" s="62" t="s">
        <v>1640</v>
      </c>
      <c r="J224" s="60" t="b">
        <f ca="1">Proc[[#This Row],[Requested]]=Proc[[#This Row],[CurrentParent]]</f>
        <v>1</v>
      </c>
      <c r="K224" s="60" t="str">
        <f ca="1"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38" t="str">
        <f ca="1"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 ca="1">IF(Proc[[#This Row],[type]]="LFF (MDG-F)",MID(Proc[[#This Row],[Obj]],13,10),"")</f>
        <v>DE10533104</v>
      </c>
      <c r="I225" s="62" t="s">
        <v>1640</v>
      </c>
      <c r="J225" s="60" t="b">
        <f ca="1">Proc[[#This Row],[Requested]]=Proc[[#This Row],[CurrentParent]]</f>
        <v>1</v>
      </c>
      <c r="K225" s="60" t="str">
        <f ca="1"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38" t="str">
        <f ca="1"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 ca="1">IF(Proc[[#This Row],[type]]="LFF (MDG-F)",MID(Proc[[#This Row],[Obj]],13,10),"")</f>
        <v>DE10533105</v>
      </c>
      <c r="I226" s="62" t="s">
        <v>1640</v>
      </c>
      <c r="J226" s="60" t="b">
        <f ca="1">Proc[[#This Row],[Requested]]=Proc[[#This Row],[CurrentParent]]</f>
        <v>1</v>
      </c>
      <c r="K226" s="60" t="str">
        <f ca="1"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38" t="str">
        <f ca="1"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 ca="1">IF(Proc[[#This Row],[type]]="LFF (MDG-F)",MID(Proc[[#This Row],[Obj]],13,10),"")</f>
        <v>DE10533106</v>
      </c>
      <c r="I227" s="62" t="s">
        <v>1640</v>
      </c>
      <c r="J227" s="60" t="b">
        <f ca="1">Proc[[#This Row],[Requested]]=Proc[[#This Row],[CurrentParent]]</f>
        <v>1</v>
      </c>
      <c r="K227" s="60" t="str">
        <f ca="1"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38" t="str">
        <f ca="1"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 ca="1">IF(Proc[[#This Row],[type]]="LFF (MDG-F)",MID(Proc[[#This Row],[Obj]],13,10),"")</f>
        <v>DE10533107</v>
      </c>
      <c r="I228" s="62" t="s">
        <v>446</v>
      </c>
      <c r="J228" s="60" t="b">
        <f ca="1">Proc[[#This Row],[Requested]]=Proc[[#This Row],[CurrentParent]]</f>
        <v>1</v>
      </c>
      <c r="K228" s="60" t="str">
        <f ca="1"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 ca="1">VLOOKUP(Proc[[#This Row],[Obj]],#REF!,2,0)</f>
        <v>#REF!</v>
      </c>
    </row>
    <row r="229" spans="1:19" hidden="1">
      <c r="A229" s="62" t="s">
        <v>1547</v>
      </c>
      <c r="B229" s="138" t="str">
        <f ca="1"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 ca="1">IF(Proc[[#This Row],[type]]="LFF (MDG-F)",MID(Proc[[#This Row],[Obj]],13,10),"")</f>
        <v>DE10533108</v>
      </c>
      <c r="I229" s="62" t="s">
        <v>1640</v>
      </c>
      <c r="J229" s="60" t="b">
        <f ca="1">Proc[[#This Row],[Requested]]=Proc[[#This Row],[CurrentParent]]</f>
        <v>1</v>
      </c>
      <c r="K229" s="60" t="str">
        <f ca="1"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38" t="str">
        <f ca="1"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 ca="1">IF(Proc[[#This Row],[type]]="LFF (MDG-F)",MID(Proc[[#This Row],[Obj]],13,10),"")</f>
        <v>DE10533109</v>
      </c>
      <c r="I230" s="62" t="s">
        <v>446</v>
      </c>
      <c r="J230" s="60" t="b">
        <f ca="1">Proc[[#This Row],[Requested]]=Proc[[#This Row],[CurrentParent]]</f>
        <v>1</v>
      </c>
      <c r="K230" s="60" t="str">
        <f ca="1"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 ca="1">VLOOKUP(Proc[[#This Row],[Obj]],#REF!,2,0)</f>
        <v>#REF!</v>
      </c>
    </row>
    <row r="231" spans="1:19" hidden="1">
      <c r="A231" s="62" t="s">
        <v>1547</v>
      </c>
      <c r="B231" s="138" t="str">
        <f ca="1"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 ca="1">IF(Proc[[#This Row],[type]]="LFF (MDG-F)",MID(Proc[[#This Row],[Obj]],13,10),"")</f>
        <v>DE10533110</v>
      </c>
      <c r="I231" s="62" t="s">
        <v>1640</v>
      </c>
      <c r="J231" s="60" t="b">
        <f ca="1">Proc[[#This Row],[Requested]]=Proc[[#This Row],[CurrentParent]]</f>
        <v>1</v>
      </c>
      <c r="K231" s="60" t="str">
        <f ca="1"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38" t="str">
        <f ca="1"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 ca="1">IF(Proc[[#This Row],[type]]="LFF (MDG-F)",MID(Proc[[#This Row],[Obj]],13,10),"")</f>
        <v>DE10533111</v>
      </c>
      <c r="I232" s="62" t="s">
        <v>1640</v>
      </c>
      <c r="J232" s="60" t="b">
        <f ca="1">Proc[[#This Row],[Requested]]=Proc[[#This Row],[CurrentParent]]</f>
        <v>1</v>
      </c>
      <c r="K232" s="60" t="str">
        <f ca="1"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38" t="str">
        <f ca="1"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 ca="1">IF(Proc[[#This Row],[type]]="LFF (MDG-F)",MID(Proc[[#This Row],[Obj]],13,10),"")</f>
        <v>DE10533112</v>
      </c>
      <c r="I233" s="62" t="s">
        <v>1640</v>
      </c>
      <c r="J233" s="60" t="b">
        <f ca="1">Proc[[#This Row],[Requested]]=Proc[[#This Row],[CurrentParent]]</f>
        <v>1</v>
      </c>
      <c r="K233" s="60" t="str">
        <f ca="1"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38" t="str">
        <f ca="1"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 ca="1">IF(Proc[[#This Row],[type]]="LFF (MDG-F)",MID(Proc[[#This Row],[Obj]],13,10),"")</f>
        <v>DE10533113</v>
      </c>
      <c r="I234" s="62" t="s">
        <v>446</v>
      </c>
      <c r="J234" s="60" t="b">
        <f ca="1">Proc[[#This Row],[Requested]]=Proc[[#This Row],[CurrentParent]]</f>
        <v>1</v>
      </c>
      <c r="K234" s="60" t="str">
        <f ca="1"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 ca="1">VLOOKUP(Proc[[#This Row],[Obj]],#REF!,2,0)</f>
        <v>#REF!</v>
      </c>
    </row>
    <row r="235" spans="1:19" hidden="1">
      <c r="A235" t="s">
        <v>1558</v>
      </c>
      <c r="B235" s="138" t="str">
        <f ca="1"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 ca="1">IF(Proc[[#This Row],[type]]="LFF (MDG-F)",MID(Proc[[#This Row],[Obj]],13,10),"")</f>
        <v/>
      </c>
      <c r="I235" s="62" t="s">
        <v>1639</v>
      </c>
      <c r="J235" s="60" t="b">
        <f ca="1">Proc[[#This Row],[Requested]]=Proc[[#This Row],[CurrentParent]]</f>
        <v>1</v>
      </c>
      <c r="K235" s="60" t="str">
        <f ca="1"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38" t="str">
        <f ca="1"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 ca="1">IF(Proc[[#This Row],[type]]="LFF (MDG-F)",MID(Proc[[#This Row],[Obj]],13,10),"")</f>
        <v/>
      </c>
      <c r="I236" s="62" t="s">
        <v>1639</v>
      </c>
      <c r="J236" s="60" t="b">
        <f ca="1">Proc[[#This Row],[Requested]]=Proc[[#This Row],[CurrentParent]]</f>
        <v>1</v>
      </c>
      <c r="K236" s="60" t="str">
        <f ca="1"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38" t="str">
        <f ca="1"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 ca="1">IF(Proc[[#This Row],[type]]="LFF (MDG-F)",MID(Proc[[#This Row],[Obj]],13,10),"")</f>
        <v/>
      </c>
      <c r="I237" s="62" t="s">
        <v>1639</v>
      </c>
      <c r="J237" s="60" t="b">
        <f ca="1">Proc[[#This Row],[Requested]]=Proc[[#This Row],[CurrentParent]]</f>
        <v>1</v>
      </c>
      <c r="K237" s="60" t="str">
        <f ca="1"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38" t="str">
        <f ca="1"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 ca="1">IF(Proc[[#This Row],[type]]="LFF (MDG-F)",MID(Proc[[#This Row],[Obj]],13,10),"")</f>
        <v/>
      </c>
      <c r="I238" s="62" t="s">
        <v>1639</v>
      </c>
      <c r="J238" s="60" t="b">
        <f ca="1">Proc[[#This Row],[Requested]]=Proc[[#This Row],[CurrentParent]]</f>
        <v>1</v>
      </c>
      <c r="K238" s="60" t="str">
        <f ca="1"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38" t="str">
        <f ca="1"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 ca="1">IF(Proc[[#This Row],[type]]="LFF (MDG-F)",MID(Proc[[#This Row],[Obj]],13,10),"")</f>
        <v/>
      </c>
      <c r="I239" t="s">
        <v>1638</v>
      </c>
      <c r="J239" s="60" t="b">
        <f ca="1">Proc[[#This Row],[Requested]]=Proc[[#This Row],[CurrentParent]]</f>
        <v>1</v>
      </c>
      <c r="K239" s="60" t="str">
        <f ca="1"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38" t="str">
        <f ca="1"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 ca="1">IF(Proc[[#This Row],[type]]="LFF (MDG-F)",MID(Proc[[#This Row],[Obj]],13,10),"")</f>
        <v/>
      </c>
      <c r="I240" s="62" t="s">
        <v>1638</v>
      </c>
      <c r="J240" s="60" t="b">
        <f ca="1">Proc[[#This Row],[Requested]]=Proc[[#This Row],[CurrentParent]]</f>
        <v>1</v>
      </c>
      <c r="K240" s="60" t="str">
        <f ca="1"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38" t="str">
        <f ca="1"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 ca="1">IF(Proc[[#This Row],[type]]="LFF (MDG-F)",MID(Proc[[#This Row],[Obj]],13,10),"")</f>
        <v/>
      </c>
      <c r="I241" s="62" t="s">
        <v>1638</v>
      </c>
      <c r="J241" s="60" t="b">
        <f ca="1">Proc[[#This Row],[Requested]]=Proc[[#This Row],[CurrentParent]]</f>
        <v>1</v>
      </c>
      <c r="K241" s="60" t="str">
        <f ca="1"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38" t="str">
        <f ca="1"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 ca="1">IF(Proc[[#This Row],[type]]="LFF (MDG-F)",MID(Proc[[#This Row],[Obj]],13,10),"")</f>
        <v/>
      </c>
      <c r="I242" s="62" t="s">
        <v>1638</v>
      </c>
      <c r="J242" s="60" t="b">
        <f ca="1">Proc[[#This Row],[Requested]]=Proc[[#This Row],[CurrentParent]]</f>
        <v>1</v>
      </c>
      <c r="K242" s="60" t="str">
        <f ca="1"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38" t="str">
        <f ca="1"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 ca="1">IF(Proc[[#This Row],[type]]="LFF (MDG-F)",MID(Proc[[#This Row],[Obj]],13,10),"")</f>
        <v/>
      </c>
      <c r="I243" s="62" t="s">
        <v>1639</v>
      </c>
      <c r="J243" s="60" t="b">
        <f ca="1">Proc[[#This Row],[Requested]]=Proc[[#This Row],[CurrentParent]]</f>
        <v>1</v>
      </c>
      <c r="K243" s="60" t="str">
        <f ca="1"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38" t="str">
        <f ca="1"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 ca="1">IF(Proc[[#This Row],[type]]="LFF (MDG-F)",MID(Proc[[#This Row],[Obj]],13,10),"")</f>
        <v>TW03TNKA06</v>
      </c>
      <c r="I244" t="s">
        <v>1637</v>
      </c>
      <c r="J244" s="60" t="b">
        <f ca="1">Proc[[#This Row],[Requested]]=Proc[[#This Row],[CurrentParent]]</f>
        <v>1</v>
      </c>
      <c r="K244" s="60" t="str">
        <f ca="1"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38" t="str">
        <f ca="1"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 ca="1">IF(Proc[[#This Row],[type]]="LFF (MDG-F)",MID(Proc[[#This Row],[Obj]],13,10),"")</f>
        <v/>
      </c>
      <c r="J245" s="60" t="b">
        <f ca="1">Proc[[#This Row],[Requested]]=Proc[[#This Row],[CurrentParent]]</f>
        <v>1</v>
      </c>
      <c r="K245" s="60" t="str">
        <f ca="1"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38" t="str">
        <f ca="1"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 ca="1">IF(Proc[[#This Row],[type]]="LFF (MDG-F)",MID(Proc[[#This Row],[Obj]],13,10),"")</f>
        <v/>
      </c>
      <c r="J246" s="60" t="b">
        <f ca="1">Proc[[#This Row],[Requested]]=Proc[[#This Row],[CurrentParent]]</f>
        <v>1</v>
      </c>
      <c r="K246" s="60" t="str">
        <f ca="1"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38" t="str">
        <f ca="1"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 ca="1">IF(Proc[[#This Row],[type]]="LFF (MDG-F)",MID(Proc[[#This Row],[Obj]],13,10),"")</f>
        <v/>
      </c>
      <c r="J247" s="60" t="b">
        <f ca="1">Proc[[#This Row],[Requested]]=Proc[[#This Row],[CurrentParent]]</f>
        <v>1</v>
      </c>
      <c r="K247" s="60" t="str">
        <f ca="1"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38" t="str">
        <f ca="1"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 ca="1">IF(Proc[[#This Row],[type]]="LFF (MDG-F)",MID(Proc[[#This Row],[Obj]],13,10),"")</f>
        <v/>
      </c>
      <c r="J248" s="60" t="b">
        <f ca="1">Proc[[#This Row],[Requested]]=Proc[[#This Row],[CurrentParent]]</f>
        <v>1</v>
      </c>
      <c r="K248" s="60" t="str">
        <f ca="1"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38" t="str">
        <f ca="1"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 ca="1">IF(Proc[[#This Row],[type]]="LFF (MDG-F)",MID(Proc[[#This Row],[Obj]],13,10),"")</f>
        <v>GB10C00701</v>
      </c>
      <c r="I249" t="s">
        <v>1637</v>
      </c>
      <c r="J249" s="60" t="b">
        <f ca="1">Proc[[#This Row],[Requested]]=Proc[[#This Row],[CurrentParent]]</f>
        <v>1</v>
      </c>
      <c r="K249" s="60" t="str">
        <f ca="1"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38" t="str">
        <f ca="1"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 ca="1">IF(Proc[[#This Row],[type]]="LFF (MDG-F)",MID(Proc[[#This Row],[Obj]],13,10),"")</f>
        <v/>
      </c>
      <c r="J250" s="60" t="b">
        <f ca="1">Proc[[#This Row],[Requested]]=Proc[[#This Row],[CurrentParent]]</f>
        <v>1</v>
      </c>
      <c r="K250" s="60" t="str">
        <f ca="1"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38" t="str">
        <f ca="1"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 ca="1">IF(Proc[[#This Row],[type]]="LFF (MDG-F)",MID(Proc[[#This Row],[Obj]],13,10),"")</f>
        <v/>
      </c>
      <c r="J251" s="60" t="b">
        <f ca="1">Proc[[#This Row],[Requested]]=Proc[[#This Row],[CurrentParent]]</f>
        <v>1</v>
      </c>
      <c r="K251" s="60" t="str">
        <f ca="1"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38" t="str">
        <f ca="1"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 ca="1">IF(Proc[[#This Row],[type]]="LFF (MDG-F)",MID(Proc[[#This Row],[Obj]],13,10),"")</f>
        <v/>
      </c>
      <c r="J252" s="60" t="b">
        <f ca="1">Proc[[#This Row],[Requested]]=Proc[[#This Row],[CurrentParent]]</f>
        <v>1</v>
      </c>
      <c r="K252" s="60" t="str">
        <f ca="1"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38" t="str">
        <f ca="1"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 ca="1">IF(Proc[[#This Row],[type]]="LFF (MDG-F)",MID(Proc[[#This Row],[Obj]],13,10),"")</f>
        <v/>
      </c>
      <c r="J253" s="60" t="b">
        <f ca="1">Proc[[#This Row],[Requested]]=Proc[[#This Row],[CurrentParent]]</f>
        <v>1</v>
      </c>
      <c r="K253" s="60" t="str">
        <f ca="1"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38" t="str">
        <f ca="1"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 ca="1">IF(Proc[[#This Row],[type]]="LFF (MDG-F)",MID(Proc[[#This Row],[Obj]],13,10),"")</f>
        <v/>
      </c>
      <c r="J254" s="60" t="b">
        <f ca="1">Proc[[#This Row],[Requested]]=Proc[[#This Row],[CurrentParent]]</f>
        <v>1</v>
      </c>
      <c r="K254" s="60" t="str">
        <f ca="1"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38" t="str">
        <f ca="1"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 ca="1">IF(Proc[[#This Row],[type]]="LFF (MDG-F)",MID(Proc[[#This Row],[Obj]],13,10),"")</f>
        <v/>
      </c>
      <c r="J255" s="60" t="b">
        <f ca="1">Proc[[#This Row],[Requested]]=Proc[[#This Row],[CurrentParent]]</f>
        <v>1</v>
      </c>
      <c r="K255" s="60" t="str">
        <f ca="1"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38" t="str">
        <f ca="1"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 ca="1">IF(Proc[[#This Row],[type]]="LFF (MDG-F)",MID(Proc[[#This Row],[Obj]],13,10),"")</f>
        <v>2102TCBZ30</v>
      </c>
      <c r="J256" s="60" t="b">
        <f ca="1">Proc[[#This Row],[Requested]]=Proc[[#This Row],[CurrentParent]]</f>
        <v>1</v>
      </c>
      <c r="K256" s="60" t="str">
        <f ca="1"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38" t="str">
        <f ca="1"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 ca="1">IF(Proc[[#This Row],[type]]="LFF (MDG-F)",MID(Proc[[#This Row],[Obj]],13,10),"")</f>
        <v/>
      </c>
      <c r="J257" s="60" t="b">
        <f ca="1">Proc[[#This Row],[Requested]]=Proc[[#This Row],[CurrentParent]]</f>
        <v>1</v>
      </c>
      <c r="K257" s="60" t="str">
        <f ca="1"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38" t="str">
        <f ca="1"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 ca="1">IF(Proc[[#This Row],[type]]="LFF (MDG-F)",MID(Proc[[#This Row],[Obj]],13,10),"")</f>
        <v/>
      </c>
      <c r="J258" s="60" t="b">
        <f ca="1">Proc[[#This Row],[Requested]]=Proc[[#This Row],[CurrentParent]]</f>
        <v>1</v>
      </c>
      <c r="K258" s="60" t="str">
        <f ca="1"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38" t="str">
        <f ca="1"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 ca="1">IF(Proc[[#This Row],[type]]="LFF (MDG-F)",MID(Proc[[#This Row],[Obj]],13,10),"")</f>
        <v/>
      </c>
      <c r="J259" s="60" t="b">
        <f ca="1">Proc[[#This Row],[Requested]]=Proc[[#This Row],[CurrentParent]]</f>
        <v>1</v>
      </c>
      <c r="K259" s="60" t="str">
        <f ca="1"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38" t="str">
        <f ca="1"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 ca="1">IF(Proc[[#This Row],[type]]="LFF (MDG-F)",MID(Proc[[#This Row],[Obj]],13,10),"")</f>
        <v/>
      </c>
      <c r="J260" s="60" t="b">
        <f ca="1">Proc[[#This Row],[Requested]]=Proc[[#This Row],[CurrentParent]]</f>
        <v>1</v>
      </c>
      <c r="K260" s="60" t="str">
        <f ca="1"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38" t="str">
        <f ca="1"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 ca="1">IF(Proc[[#This Row],[type]]="LFF (MDG-F)",MID(Proc[[#This Row],[Obj]],13,10),"")</f>
        <v/>
      </c>
      <c r="J261" s="60" t="b">
        <f ca="1">Proc[[#This Row],[Requested]]=Proc[[#This Row],[CurrentParent]]</f>
        <v>1</v>
      </c>
      <c r="K261" s="60" t="str">
        <f ca="1"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38" t="str">
        <f ca="1"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 ca="1">IF(Proc[[#This Row],[type]]="LFF (MDG-F)",MID(Proc[[#This Row],[Obj]],13,10),"")</f>
        <v/>
      </c>
      <c r="J262" s="60" t="b">
        <f ca="1">Proc[[#This Row],[Requested]]=Proc[[#This Row],[CurrentParent]]</f>
        <v>1</v>
      </c>
      <c r="K262" s="60" t="str">
        <f ca="1"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38" t="str">
        <f ca="1"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 ca="1">IF(Proc[[#This Row],[type]]="LFF (MDG-F)",MID(Proc[[#This Row],[Obj]],13,10),"")</f>
        <v>DE10558300</v>
      </c>
      <c r="I263" t="s">
        <v>1637</v>
      </c>
      <c r="J263" s="60" t="b">
        <f ca="1">Proc[[#This Row],[Requested]]=Proc[[#This Row],[CurrentParent]]</f>
        <v>1</v>
      </c>
      <c r="K263" s="60" t="str">
        <f ca="1"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38" t="str">
        <f ca="1"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 ca="1">IF(Proc[[#This Row],[type]]="LFF (MDG-F)",MID(Proc[[#This Row],[Obj]],13,10),"")</f>
        <v>DE10622200</v>
      </c>
      <c r="I264" t="s">
        <v>1637</v>
      </c>
      <c r="J264" s="60" t="b">
        <f ca="1">Proc[[#This Row],[Requested]]=Proc[[#This Row],[CurrentParent]]</f>
        <v>1</v>
      </c>
      <c r="K264" s="60" t="str">
        <f ca="1"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38" t="str">
        <f ca="1"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 ca="1">IF(Proc[[#This Row],[type]]="LFF (MDG-F)",MID(Proc[[#This Row],[Obj]],13,10),"")</f>
        <v>DE10623000</v>
      </c>
      <c r="I265" t="s">
        <v>1637</v>
      </c>
      <c r="J265" s="60" t="b">
        <f ca="1">Proc[[#This Row],[Requested]]=Proc[[#This Row],[CurrentParent]]</f>
        <v>1</v>
      </c>
      <c r="K265" s="60" t="str">
        <f ca="1"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38" t="str">
        <f ca="1"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 ca="1">IF(Proc[[#This Row],[type]]="LFF (MDG-F)",MID(Proc[[#This Row],[Obj]],13,10),"")</f>
        <v/>
      </c>
      <c r="J266" s="60" t="b">
        <f ca="1">Proc[[#This Row],[Requested]]=Proc[[#This Row],[CurrentParent]]</f>
        <v>1</v>
      </c>
      <c r="K266" s="60" t="str">
        <f ca="1"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38" t="str">
        <f ca="1"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 ca="1">IF(Proc[[#This Row],[type]]="LFF (MDG-F)",MID(Proc[[#This Row],[Obj]],13,10),"")</f>
        <v/>
      </c>
      <c r="J267" s="60" t="b">
        <f ca="1">Proc[[#This Row],[Requested]]=Proc[[#This Row],[CurrentParent]]</f>
        <v>1</v>
      </c>
      <c r="K267" s="60" t="str">
        <f ca="1"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38" t="str">
        <f ca="1"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 ca="1">IF(Proc[[#This Row],[type]]="LFF (MDG-F)",MID(Proc[[#This Row],[Obj]],13,10),"")</f>
        <v/>
      </c>
      <c r="J268" s="60" t="b">
        <f ca="1">Proc[[#This Row],[Requested]]=Proc[[#This Row],[CurrentParent]]</f>
        <v>1</v>
      </c>
      <c r="K268" s="60" t="str">
        <f ca="1"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38" t="str">
        <f ca="1"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 ca="1">IF(Proc[[#This Row],[type]]="LFF (MDG-F)",MID(Proc[[#This Row],[Obj]],13,10),"")</f>
        <v/>
      </c>
      <c r="J269" s="60" t="b">
        <f ca="1">Proc[[#This Row],[Requested]]=Proc[[#This Row],[CurrentParent]]</f>
        <v>1</v>
      </c>
      <c r="K269" s="60" t="str">
        <f ca="1"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38" t="str">
        <f ca="1"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 ca="1">IF(Proc[[#This Row],[type]]="LFF (MDG-F)",MID(Proc[[#This Row],[Obj]],13,10),"")</f>
        <v/>
      </c>
      <c r="J270" s="60" t="b">
        <f ca="1">Proc[[#This Row],[Requested]]=Proc[[#This Row],[CurrentParent]]</f>
        <v>1</v>
      </c>
      <c r="K270" s="60" t="str">
        <f ca="1"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38" t="str">
        <f ca="1"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 ca="1">IF(Proc[[#This Row],[type]]="LFF (MDG-F)",MID(Proc[[#This Row],[Obj]],13,10),"")</f>
        <v/>
      </c>
      <c r="J271" s="60" t="b">
        <f ca="1">Proc[[#This Row],[Requested]]=Proc[[#This Row],[CurrentParent]]</f>
        <v>1</v>
      </c>
      <c r="K271" s="60" t="str">
        <f ca="1"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38" t="str">
        <f ca="1"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 ca="1">IF(Proc[[#This Row],[type]]="LFF (MDG-F)",MID(Proc[[#This Row],[Obj]],13,10),"")</f>
        <v/>
      </c>
      <c r="J272" s="60" t="b">
        <f ca="1">Proc[[#This Row],[Requested]]=Proc[[#This Row],[CurrentParent]]</f>
        <v>1</v>
      </c>
      <c r="K272" s="60" t="str">
        <f ca="1"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38" t="str">
        <f ca="1"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 ca="1">IF(Proc[[#This Row],[type]]="LFF (MDG-F)",MID(Proc[[#This Row],[Obj]],13,10),"")</f>
        <v/>
      </c>
      <c r="J273" s="60" t="b">
        <f ca="1">Proc[[#This Row],[Requested]]=Proc[[#This Row],[CurrentParent]]</f>
        <v>1</v>
      </c>
      <c r="K273" s="60" t="str">
        <f ca="1"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38" t="str">
        <f ca="1"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 ca="1">IF(Proc[[#This Row],[type]]="LFF (MDG-F)",MID(Proc[[#This Row],[Obj]],13,10),"")</f>
        <v/>
      </c>
      <c r="J274" s="60" t="b">
        <f ca="1">Proc[[#This Row],[Requested]]=Proc[[#This Row],[CurrentParent]]</f>
        <v>1</v>
      </c>
      <c r="K274" s="60" t="str">
        <f ca="1"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38" t="str">
        <f ca="1"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 ca="1">IF(Proc[[#This Row],[type]]="LFF (MDG-F)",MID(Proc[[#This Row],[Obj]],13,10),"")</f>
        <v/>
      </c>
      <c r="J275" s="60" t="b">
        <f ca="1">Proc[[#This Row],[Requested]]=Proc[[#This Row],[CurrentParent]]</f>
        <v>1</v>
      </c>
      <c r="K275" s="60" t="str">
        <f ca="1"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38" t="str">
        <f ca="1"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 ca="1">IF(Proc[[#This Row],[type]]="LFF (MDG-F)",MID(Proc[[#This Row],[Obj]],13,10),"")</f>
        <v/>
      </c>
      <c r="J276" s="60" t="b">
        <f ca="1">Proc[[#This Row],[Requested]]=Proc[[#This Row],[CurrentParent]]</f>
        <v>1</v>
      </c>
      <c r="K276" s="60" t="str">
        <f ca="1"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38" t="str">
        <f ca="1"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 ca="1">IF(Proc[[#This Row],[type]]="LFF (MDG-F)",MID(Proc[[#This Row],[Obj]],13,10),"")</f>
        <v/>
      </c>
      <c r="J277" s="60" t="b">
        <f ca="1">Proc[[#This Row],[Requested]]=Proc[[#This Row],[CurrentParent]]</f>
        <v>1</v>
      </c>
      <c r="K277" s="60" t="str">
        <f ca="1"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38" t="str">
        <f ca="1"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 ca="1">IF(Proc[[#This Row],[type]]="LFF (MDG-F)",MID(Proc[[#This Row],[Obj]],13,10),"")</f>
        <v/>
      </c>
      <c r="J278" s="60" t="b">
        <f ca="1">Proc[[#This Row],[Requested]]=Proc[[#This Row],[CurrentParent]]</f>
        <v>1</v>
      </c>
      <c r="K278" s="60" t="str">
        <f ca="1"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38" t="str">
        <f ca="1"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 ca="1">IF(Proc[[#This Row],[type]]="LFF (MDG-F)",MID(Proc[[#This Row],[Obj]],13,10),"")</f>
        <v/>
      </c>
      <c r="J279" s="60" t="b">
        <f ca="1">Proc[[#This Row],[Requested]]=Proc[[#This Row],[CurrentParent]]</f>
        <v>1</v>
      </c>
      <c r="K279" s="60" t="str">
        <f ca="1"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38" t="str">
        <f ca="1"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 ca="1">IF(Proc[[#This Row],[type]]="LFF (MDG-F)",MID(Proc[[#This Row],[Obj]],13,10),"")</f>
        <v/>
      </c>
      <c r="J280" s="60" t="b">
        <f ca="1">Proc[[#This Row],[Requested]]=Proc[[#This Row],[CurrentParent]]</f>
        <v>1</v>
      </c>
      <c r="K280" s="60" t="str">
        <f ca="1"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38" t="str">
        <f ca="1"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 ca="1">IF(Proc[[#This Row],[type]]="LFF (MDG-F)",MID(Proc[[#This Row],[Obj]],13,10),"")</f>
        <v/>
      </c>
      <c r="J281" s="60" t="b">
        <f ca="1">Proc[[#This Row],[Requested]]=Proc[[#This Row],[CurrentParent]]</f>
        <v>1</v>
      </c>
      <c r="K281" s="60" t="str">
        <f ca="1"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38" t="str">
        <f ca="1"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 ca="1">IF(Proc[[#This Row],[type]]="LFF (MDG-F)",MID(Proc[[#This Row],[Obj]],13,10),"")</f>
        <v/>
      </c>
      <c r="J282" s="60" t="b">
        <f ca="1">Proc[[#This Row],[Requested]]=Proc[[#This Row],[CurrentParent]]</f>
        <v>1</v>
      </c>
      <c r="K282" s="60" t="str">
        <f ca="1"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38" t="str">
        <f ca="1"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 ca="1">IF(Proc[[#This Row],[type]]="LFF (MDG-F)",MID(Proc[[#This Row],[Obj]],13,10),"")</f>
        <v/>
      </c>
      <c r="J283" s="60" t="b">
        <f ca="1">Proc[[#This Row],[Requested]]=Proc[[#This Row],[CurrentParent]]</f>
        <v>1</v>
      </c>
      <c r="K283" s="60" t="str">
        <f ca="1"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38" t="str">
        <f ca="1"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 ca="1">IF(Proc[[#This Row],[type]]="LFF (MDG-F)",MID(Proc[[#This Row],[Obj]],13,10),"")</f>
        <v>EG50C01152</v>
      </c>
      <c r="I284" t="s">
        <v>822</v>
      </c>
      <c r="J284" s="60" t="b">
        <f ca="1">Proc[[#This Row],[Requested]]=Proc[[#This Row],[CurrentParent]]</f>
        <v>1</v>
      </c>
      <c r="K284" s="60" t="str">
        <f ca="1"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 ca="1">VLOOKUP(Proc[[#This Row],[Obj]],#REF!,2,0)</f>
        <v>#REF!</v>
      </c>
    </row>
    <row r="285" spans="1:19" hidden="1">
      <c r="A285" s="62" t="s">
        <v>1614</v>
      </c>
      <c r="B285" s="138" t="str">
        <f ca="1"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 ca="1">IF(Proc[[#This Row],[type]]="LFF (MDG-F)",MID(Proc[[#This Row],[Obj]],13,10),"")</f>
        <v/>
      </c>
      <c r="J285" s="60" t="b">
        <f ca="1">Proc[[#This Row],[Requested]]=Proc[[#This Row],[CurrentParent]]</f>
        <v>1</v>
      </c>
      <c r="K285" s="60" t="str">
        <f ca="1"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38" t="str">
        <f ca="1"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 ca="1">IF(Proc[[#This Row],[type]]="LFF (MDG-F)",MID(Proc[[#This Row],[Obj]],13,10),"")</f>
        <v/>
      </c>
      <c r="J286" s="60" t="b">
        <f ca="1">Proc[[#This Row],[Requested]]=Proc[[#This Row],[CurrentParent]]</f>
        <v>1</v>
      </c>
      <c r="K286" s="60" t="str">
        <f ca="1"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38" t="str">
        <f ca="1"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 ca="1">IF(Proc[[#This Row],[type]]="LFF (MDG-F)",MID(Proc[[#This Row],[Obj]],13,10),"")</f>
        <v/>
      </c>
      <c r="I287" t="s">
        <v>1637</v>
      </c>
      <c r="J287" s="60" t="b">
        <f ca="1">Proc[[#This Row],[Requested]]=Proc[[#This Row],[CurrentParent]]</f>
        <v>1</v>
      </c>
      <c r="K287" s="60" t="str">
        <f ca="1"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38" t="str">
        <f ca="1"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 ca="1">IF(Proc[[#This Row],[type]]="LFF (MDG-F)",MID(Proc[[#This Row],[Obj]],13,10),"")</f>
        <v/>
      </c>
      <c r="I288" s="62" t="s">
        <v>1637</v>
      </c>
      <c r="J288" s="60" t="b">
        <f ca="1">Proc[[#This Row],[Requested]]=Proc[[#This Row],[CurrentParent]]</f>
        <v>1</v>
      </c>
      <c r="K288" s="60" t="str">
        <f ca="1"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38" t="str">
        <f ca="1"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 ca="1">IF(Proc[[#This Row],[type]]="LFF (MDG-F)",MID(Proc[[#This Row],[Obj]],13,10),"")</f>
        <v/>
      </c>
      <c r="I289" s="62" t="s">
        <v>1637</v>
      </c>
      <c r="J289" s="60" t="b">
        <f ca="1">Proc[[#This Row],[Requested]]=Proc[[#This Row],[CurrentParent]]</f>
        <v>1</v>
      </c>
      <c r="K289" s="60" t="str">
        <f ca="1"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38" t="str">
        <f ca="1"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 ca="1">IF(Proc[[#This Row],[type]]="LFF (MDG-F)",MID(Proc[[#This Row],[Obj]],13,10),"")</f>
        <v/>
      </c>
      <c r="I290" s="62" t="s">
        <v>1637</v>
      </c>
      <c r="J290" s="60" t="b">
        <f ca="1">Proc[[#This Row],[Requested]]=Proc[[#This Row],[CurrentParent]]</f>
        <v>1</v>
      </c>
      <c r="K290" s="60" t="str">
        <f ca="1"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38" t="str">
        <f ca="1"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 ca="1">IF(Proc[[#This Row],[type]]="LFF (MDG-F)",MID(Proc[[#This Row],[Obj]],13,10),"")</f>
        <v/>
      </c>
      <c r="I291" s="62" t="s">
        <v>1637</v>
      </c>
      <c r="J291" s="60" t="b">
        <f ca="1">Proc[[#This Row],[Requested]]=Proc[[#This Row],[CurrentParent]]</f>
        <v>1</v>
      </c>
      <c r="K291" s="60" t="str">
        <f ca="1"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38" t="str">
        <f ca="1"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 ca="1">IF(Proc[[#This Row],[type]]="LFF (MDG-F)",MID(Proc[[#This Row],[Obj]],13,10),"")</f>
        <v/>
      </c>
      <c r="I292" s="62" t="s">
        <v>1637</v>
      </c>
      <c r="J292" s="60" t="b">
        <f ca="1">Proc[[#This Row],[Requested]]=Proc[[#This Row],[CurrentParent]]</f>
        <v>1</v>
      </c>
      <c r="K292" s="60" t="str">
        <f ca="1"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38" t="str">
        <f ca="1"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 ca="1">IF(Proc[[#This Row],[type]]="LFF (MDG-F)",MID(Proc[[#This Row],[Obj]],13,10),"")</f>
        <v/>
      </c>
      <c r="I293" s="62" t="s">
        <v>1637</v>
      </c>
      <c r="J293" s="60" t="b">
        <f ca="1">Proc[[#This Row],[Requested]]=Proc[[#This Row],[CurrentParent]]</f>
        <v>1</v>
      </c>
      <c r="K293" s="60" t="str">
        <f ca="1"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38" t="str">
        <f ca="1"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 ca="1">IF(Proc[[#This Row],[type]]="LFF (MDG-F)",MID(Proc[[#This Row],[Obj]],13,10),"")</f>
        <v/>
      </c>
      <c r="I294" s="62" t="s">
        <v>1637</v>
      </c>
      <c r="J294" s="60" t="b">
        <f ca="1">Proc[[#This Row],[Requested]]=Proc[[#This Row],[CurrentParent]]</f>
        <v>1</v>
      </c>
      <c r="K294" s="60" t="str">
        <f ca="1"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38" t="str">
        <f ca="1"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 ca="1">IF(Proc[[#This Row],[type]]="LFF (MDG-F)",MID(Proc[[#This Row],[Obj]],13,10),"")</f>
        <v/>
      </c>
      <c r="I295" s="62" t="s">
        <v>1637</v>
      </c>
      <c r="J295" s="60" t="b">
        <f ca="1">Proc[[#This Row],[Requested]]=Proc[[#This Row],[CurrentParent]]</f>
        <v>1</v>
      </c>
      <c r="K295" s="60" t="str">
        <f ca="1"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38" t="str">
        <f ca="1"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 ca="1">IF(Proc[[#This Row],[type]]="LFF (MDG-F)",MID(Proc[[#This Row],[Obj]],13,10),"")</f>
        <v>KR07DB3307</v>
      </c>
      <c r="I296" s="62" t="s">
        <v>1637</v>
      </c>
      <c r="J296" s="60" t="b">
        <f ca="1">Proc[[#This Row],[Requested]]=Proc[[#This Row],[CurrentParent]]</f>
        <v>1</v>
      </c>
      <c r="K296" s="60" t="str">
        <f ca="1"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162</v>
      </c>
      <c r="R296" s="64" t="s">
        <v>1076</v>
      </c>
      <c r="S296" s="60"/>
    </row>
    <row r="297" spans="1:19" hidden="1">
      <c r="A297" s="62" t="s">
        <v>1627</v>
      </c>
      <c r="B297" s="138" t="str">
        <f ca="1"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 ca="1">IF(Proc[[#This Row],[type]]="LFF (MDG-F)",MID(Proc[[#This Row],[Obj]],13,10),"")</f>
        <v>KR07DB3305</v>
      </c>
      <c r="I297" s="62" t="s">
        <v>1637</v>
      </c>
      <c r="J297" s="60" t="b">
        <f ca="1">Proc[[#This Row],[Requested]]=Proc[[#This Row],[CurrentParent]]</f>
        <v>1</v>
      </c>
      <c r="K297" s="60" t="str">
        <f ca="1"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162</v>
      </c>
      <c r="R297" s="64" t="s">
        <v>1076</v>
      </c>
      <c r="S297" s="60"/>
    </row>
    <row r="298" spans="1:19" hidden="1">
      <c r="A298" s="62" t="s">
        <v>1627</v>
      </c>
      <c r="B298" s="138" t="str">
        <f ca="1"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 ca="1">IF(Proc[[#This Row],[type]]="LFF (MDG-F)",MID(Proc[[#This Row],[Obj]],13,10),"")</f>
        <v>US10DB3015</v>
      </c>
      <c r="I298" s="62" t="s">
        <v>1637</v>
      </c>
      <c r="J298" s="60" t="b">
        <f ca="1">Proc[[#This Row],[Requested]]=Proc[[#This Row],[CurrentParent]]</f>
        <v>1</v>
      </c>
      <c r="K298" s="60" t="str">
        <f ca="1"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162</v>
      </c>
      <c r="R298" s="64" t="s">
        <v>1076</v>
      </c>
      <c r="S298" s="60"/>
    </row>
    <row r="299" spans="1:19" hidden="1">
      <c r="A299" s="62" t="s">
        <v>1627</v>
      </c>
      <c r="B299" s="138" t="str">
        <f ca="1"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 ca="1">IF(Proc[[#This Row],[type]]="LFF (MDG-F)",MID(Proc[[#This Row],[Obj]],13,10),"")</f>
        <v>US10DB3018</v>
      </c>
      <c r="I299" s="62" t="s">
        <v>1637</v>
      </c>
      <c r="J299" s="60" t="b">
        <f ca="1">Proc[[#This Row],[Requested]]=Proc[[#This Row],[CurrentParent]]</f>
        <v>1</v>
      </c>
      <c r="K299" s="60" t="str">
        <f ca="1"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162</v>
      </c>
      <c r="R299" s="64" t="s">
        <v>1076</v>
      </c>
      <c r="S299" s="60"/>
    </row>
    <row r="300" spans="1:19" hidden="1">
      <c r="A300" s="62" t="s">
        <v>1627</v>
      </c>
      <c r="B300" s="138" t="str">
        <f ca="1"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 ca="1">IF(Proc[[#This Row],[type]]="LFF (MDG-F)",MID(Proc[[#This Row],[Obj]],13,10),"")</f>
        <v>US10DB3019</v>
      </c>
      <c r="I300" s="62" t="s">
        <v>1637</v>
      </c>
      <c r="J300" s="60" t="b">
        <f ca="1">Proc[[#This Row],[Requested]]=Proc[[#This Row],[CurrentParent]]</f>
        <v>1</v>
      </c>
      <c r="K300" s="60" t="str">
        <f ca="1"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162</v>
      </c>
      <c r="R300" s="64" t="s">
        <v>1076</v>
      </c>
      <c r="S300" s="60"/>
    </row>
    <row r="301" spans="1:19" hidden="1">
      <c r="A301" s="62" t="s">
        <v>1627</v>
      </c>
      <c r="B301" s="138" t="str">
        <f ca="1"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 ca="1">IF(Proc[[#This Row],[type]]="LFF (MDG-F)",MID(Proc[[#This Row],[Obj]],13,10),"")</f>
        <v>US10DB3010</v>
      </c>
      <c r="I301" s="62" t="s">
        <v>1637</v>
      </c>
      <c r="J301" s="60" t="b">
        <f ca="1">Proc[[#This Row],[Requested]]=Proc[[#This Row],[CurrentParent]]</f>
        <v>1</v>
      </c>
      <c r="K301" s="60" t="str">
        <f ca="1"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162</v>
      </c>
      <c r="R301" s="64" t="s">
        <v>1076</v>
      </c>
      <c r="S301" s="60"/>
    </row>
    <row r="302" spans="1:19" hidden="1">
      <c r="A302" s="62" t="s">
        <v>1627</v>
      </c>
      <c r="B302" s="138" t="str">
        <f ca="1"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 ca="1">IF(Proc[[#This Row],[type]]="LFF (MDG-F)",MID(Proc[[#This Row],[Obj]],13,10),"")</f>
        <v>KR16DB3301</v>
      </c>
      <c r="I302" s="62" t="s">
        <v>1637</v>
      </c>
      <c r="J302" s="60" t="b">
        <f ca="1">Proc[[#This Row],[Requested]]=Proc[[#This Row],[CurrentParent]]</f>
        <v>1</v>
      </c>
      <c r="K302" s="60" t="str">
        <f ca="1"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162</v>
      </c>
      <c r="R302" s="64" t="s">
        <v>1076</v>
      </c>
      <c r="S302" s="60"/>
    </row>
    <row r="303" spans="1:19" hidden="1">
      <c r="A303" s="62" t="s">
        <v>1627</v>
      </c>
      <c r="B303" s="138" t="str">
        <f ca="1"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 ca="1">IF(Proc[[#This Row],[type]]="LFF (MDG-F)",MID(Proc[[#This Row],[Obj]],13,10),"")</f>
        <v>KR15DB3300</v>
      </c>
      <c r="I303" s="62" t="s">
        <v>1637</v>
      </c>
      <c r="J303" s="60" t="b">
        <f ca="1">Proc[[#This Row],[Requested]]=Proc[[#This Row],[CurrentParent]]</f>
        <v>1</v>
      </c>
      <c r="K303" s="60" t="str">
        <f ca="1"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162</v>
      </c>
      <c r="R303" s="64" t="s">
        <v>1076</v>
      </c>
      <c r="S303" s="60"/>
    </row>
    <row r="304" spans="1:19" hidden="1">
      <c r="A304" s="62" t="s">
        <v>1627</v>
      </c>
      <c r="B304" s="138" t="str">
        <f ca="1"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 ca="1">IF(Proc[[#This Row],[type]]="LFF (MDG-F)",MID(Proc[[#This Row],[Obj]],13,10),"")</f>
        <v>KR15DB3302</v>
      </c>
      <c r="I304" s="62" t="s">
        <v>1637</v>
      </c>
      <c r="J304" s="60" t="b">
        <f ca="1">Proc[[#This Row],[Requested]]=Proc[[#This Row],[CurrentParent]]</f>
        <v>1</v>
      </c>
      <c r="K304" s="60" t="str">
        <f ca="1"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162</v>
      </c>
      <c r="R304" s="64" t="s">
        <v>1076</v>
      </c>
      <c r="S304" s="60"/>
    </row>
    <row r="305" spans="1:19" hidden="1">
      <c r="A305" s="62" t="s">
        <v>1627</v>
      </c>
      <c r="B305" s="138" t="str">
        <f ca="1"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 ca="1">IF(Proc[[#This Row],[type]]="LFF (MDG-F)",MID(Proc[[#This Row],[Obj]],13,10),"")</f>
        <v>KR15DB3307</v>
      </c>
      <c r="I305" s="62" t="s">
        <v>1637</v>
      </c>
      <c r="J305" s="60" t="b">
        <f ca="1">Proc[[#This Row],[Requested]]=Proc[[#This Row],[CurrentParent]]</f>
        <v>1</v>
      </c>
      <c r="K305" s="60" t="str">
        <f ca="1"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162</v>
      </c>
      <c r="R305" s="64" t="s">
        <v>1076</v>
      </c>
      <c r="S305" s="60"/>
    </row>
    <row r="306" spans="1:19" hidden="1">
      <c r="A306" s="62" t="s">
        <v>1627</v>
      </c>
      <c r="B306" s="138" t="str">
        <f ca="1"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 ca="1">IF(Proc[[#This Row],[type]]="LFF (MDG-F)",MID(Proc[[#This Row],[Obj]],13,10),"")</f>
        <v>TW10DB3302</v>
      </c>
      <c r="I306" s="62" t="s">
        <v>1637</v>
      </c>
      <c r="J306" s="60" t="b">
        <f ca="1">Proc[[#This Row],[Requested]]=Proc[[#This Row],[CurrentParent]]</f>
        <v>1</v>
      </c>
      <c r="K306" s="60" t="str">
        <f ca="1"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162</v>
      </c>
      <c r="R306" s="64" t="s">
        <v>1076</v>
      </c>
      <c r="S306" s="60"/>
    </row>
    <row r="307" spans="1:19" hidden="1">
      <c r="A307" t="s">
        <v>1641</v>
      </c>
      <c r="B307" s="138" t="str">
        <f ca="1"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 ca="1">IF(Proc[[#This Row],[type]]="LFF (MDG-F)",MID(Proc[[#This Row],[Obj]],13,10),"")</f>
        <v/>
      </c>
      <c r="J307" s="60" t="b">
        <f ca="1">Proc[[#This Row],[Requested]]=Proc[[#This Row],[CurrentParent]]</f>
        <v>1</v>
      </c>
      <c r="K307" s="60" t="str">
        <f ca="1"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38" t="str">
        <f ca="1"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 ca="1">IF(Proc[[#This Row],[type]]="LFF (MDG-F)",MID(Proc[[#This Row],[Obj]],13,10),"")</f>
        <v/>
      </c>
      <c r="J308" s="60" t="b">
        <f ca="1">Proc[[#This Row],[Requested]]=Proc[[#This Row],[CurrentParent]]</f>
        <v>1</v>
      </c>
      <c r="K308" s="60" t="str">
        <f ca="1"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38" t="str">
        <f ca="1"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 ca="1">IF(Proc[[#This Row],[type]]="LFF (MDG-F)",MID(Proc[[#This Row],[Obj]],13,10),"")</f>
        <v/>
      </c>
      <c r="J309" s="60" t="b">
        <f ca="1">Proc[[#This Row],[Requested]]=Proc[[#This Row],[CurrentParent]]</f>
        <v>1</v>
      </c>
      <c r="K309" s="60" t="str">
        <f ca="1"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38" t="str">
        <f ca="1"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 ca="1">IF(Proc[[#This Row],[type]]="LFF (MDG-F)",MID(Proc[[#This Row],[Obj]],13,10),"")</f>
        <v/>
      </c>
      <c r="J310" s="60" t="b">
        <f ca="1">Proc[[#This Row],[Requested]]=Proc[[#This Row],[CurrentParent]]</f>
        <v>1</v>
      </c>
      <c r="K310" s="60" t="str">
        <f ca="1"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38" t="str">
        <f ca="1"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 ca="1">IF(Proc[[#This Row],[type]]="LFF (MDG-F)",MID(Proc[[#This Row],[Obj]],13,10),"")</f>
        <v/>
      </c>
      <c r="J311" s="60" t="b">
        <f ca="1">Proc[[#This Row],[Requested]]=Proc[[#This Row],[CurrentParent]]</f>
        <v>1</v>
      </c>
      <c r="K311" s="60" t="str">
        <f ca="1"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38" t="str">
        <f ca="1"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 ca="1">IF(Proc[[#This Row],[type]]="LFF (MDG-F)",MID(Proc[[#This Row],[Obj]],13,10),"")</f>
        <v/>
      </c>
      <c r="J312" s="60" t="b">
        <f ca="1">Proc[[#This Row],[Requested]]=Proc[[#This Row],[CurrentParent]]</f>
        <v>1</v>
      </c>
      <c r="K312" s="60" t="str">
        <f ca="1"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38" t="str">
        <f ca="1"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 ca="1">IF(Proc[[#This Row],[type]]="LFF (MDG-F)",MID(Proc[[#This Row],[Obj]],13,10),"")</f>
        <v/>
      </c>
      <c r="J313" s="60" t="b">
        <f ca="1">Proc[[#This Row],[Requested]]=Proc[[#This Row],[CurrentParent]]</f>
        <v>1</v>
      </c>
      <c r="K313" s="60" t="str">
        <f ca="1"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38" t="str">
        <f ca="1"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 ca="1">IF(Proc[[#This Row],[type]]="LFF (MDG-F)",MID(Proc[[#This Row],[Obj]],13,10),"")</f>
        <v/>
      </c>
      <c r="J314" s="60" t="b">
        <f ca="1">Proc[[#This Row],[Requested]]=Proc[[#This Row],[CurrentParent]]</f>
        <v>1</v>
      </c>
      <c r="K314" s="60" t="str">
        <f ca="1"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38" t="str">
        <f ca="1"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 ca="1">IF(Proc[[#This Row],[type]]="LFF (MDG-F)",MID(Proc[[#This Row],[Obj]],13,10),"")</f>
        <v>DE50TODA13</v>
      </c>
      <c r="J315" s="60" t="b">
        <f ca="1">Proc[[#This Row],[Requested]]=Proc[[#This Row],[CurrentParent]]</f>
        <v>1</v>
      </c>
      <c r="K315" s="60" t="str">
        <f ca="1"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158</v>
      </c>
      <c r="R315" s="64" t="s">
        <v>1666</v>
      </c>
      <c r="S315" s="60"/>
    </row>
    <row r="316" spans="1:19" hidden="1">
      <c r="A316" t="s">
        <v>1657</v>
      </c>
      <c r="B316" s="138" t="str">
        <f ca="1"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 ca="1">IF(Proc[[#This Row],[type]]="LFF (MDG-F)",MID(Proc[[#This Row],[Obj]],13,10),"")</f>
        <v/>
      </c>
      <c r="J316" s="60" t="b">
        <f ca="1">Proc[[#This Row],[Requested]]=Proc[[#This Row],[CurrentParent]]</f>
        <v>1</v>
      </c>
      <c r="K316" s="60" t="str">
        <f ca="1"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38" t="str">
        <f ca="1"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 ca="1">IF(Proc[[#This Row],[type]]="LFF (MDG-F)",MID(Proc[[#This Row],[Obj]],13,10),"")</f>
        <v/>
      </c>
      <c r="J317" s="60" t="b">
        <f ca="1">Proc[[#This Row],[Requested]]=Proc[[#This Row],[CurrentParent]]</f>
        <v>1</v>
      </c>
      <c r="K317" s="60" t="str">
        <f ca="1"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38" t="str">
        <f ca="1"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 ca="1">IF(Proc[[#This Row],[type]]="LFF (MDG-F)",MID(Proc[[#This Row],[Obj]],13,10),"")</f>
        <v/>
      </c>
      <c r="J318" s="60" t="b">
        <f ca="1">Proc[[#This Row],[Requested]]=Proc[[#This Row],[CurrentParent]]</f>
        <v>1</v>
      </c>
      <c r="K318" s="60" t="str">
        <f ca="1"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38" t="str">
        <f ca="1"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 ca="1">IF(Proc[[#This Row],[type]]="LFF (MDG-F)",MID(Proc[[#This Row],[Obj]],13,10),"")</f>
        <v/>
      </c>
      <c r="J319" s="60" t="b">
        <f ca="1">Proc[[#This Row],[Requested]]=Proc[[#This Row],[CurrentParent]]</f>
        <v>1</v>
      </c>
      <c r="K319" s="60" t="str">
        <f ca="1"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38" t="str">
        <f ca="1"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 ca="1">IF(Proc[[#This Row],[type]]="LFF (MDG-F)",MID(Proc[[#This Row],[Obj]],13,10),"")</f>
        <v/>
      </c>
      <c r="J320" s="60" t="b">
        <f ca="1">Proc[[#This Row],[Requested]]=Proc[[#This Row],[CurrentParent]]</f>
        <v>1</v>
      </c>
      <c r="K320" s="60" t="str">
        <f ca="1"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38" t="str">
        <f ca="1"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 ca="1">IF(Proc[[#This Row],[type]]="LFF (MDG-F)",MID(Proc[[#This Row],[Obj]],13,10),"")</f>
        <v/>
      </c>
      <c r="J321" s="60" t="b">
        <f ca="1">Proc[[#This Row],[Requested]]=Proc[[#This Row],[CurrentParent]]</f>
        <v>1</v>
      </c>
      <c r="K321" s="60" t="str">
        <f ca="1"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38" t="str">
        <f ca="1"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 ca="1">IF(Proc[[#This Row],[type]]="LFF (MDG-F)",MID(Proc[[#This Row],[Obj]],13,10),"")</f>
        <v/>
      </c>
      <c r="J322" s="60" t="b">
        <f ca="1">Proc[[#This Row],[Requested]]=Proc[[#This Row],[CurrentParent]]</f>
        <v>1</v>
      </c>
      <c r="K322" s="60" t="str">
        <f ca="1"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38" t="str">
        <f ca="1"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 ca="1">IF(Proc[[#This Row],[type]]="LFF (MDG-F)",MID(Proc[[#This Row],[Obj]],13,10),"")</f>
        <v/>
      </c>
      <c r="J323" s="60" t="b">
        <f ca="1">Proc[[#This Row],[Requested]]=Proc[[#This Row],[CurrentParent]]</f>
        <v>1</v>
      </c>
      <c r="K323" s="60" t="str">
        <f ca="1"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38" t="str">
        <f ca="1"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 ca="1">IF(Proc[[#This Row],[type]]="LFF (MDG-F)",MID(Proc[[#This Row],[Obj]],13,10),"")</f>
        <v/>
      </c>
      <c r="J324" s="60" t="b">
        <f ca="1">Proc[[#This Row],[Requested]]=Proc[[#This Row],[CurrentParent]]</f>
        <v>1</v>
      </c>
      <c r="K324" s="60" t="str">
        <f ca="1"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38" t="str">
        <f ca="1"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 ca="1">IF(Proc[[#This Row],[type]]="LFF (MDG-F)",MID(Proc[[#This Row],[Obj]],13,10),"")</f>
        <v/>
      </c>
      <c r="J325" s="60" t="b">
        <f ca="1">Proc[[#This Row],[Requested]]=Proc[[#This Row],[CurrentParent]]</f>
        <v>1</v>
      </c>
      <c r="K325" s="60" t="str">
        <f ca="1"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38" t="str">
        <f ca="1"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 ca="1">IF(Proc[[#This Row],[type]]="LFF (MDG-F)",MID(Proc[[#This Row],[Obj]],13,10),"")</f>
        <v/>
      </c>
      <c r="J326" s="60" t="b">
        <f ca="1">Proc[[#This Row],[Requested]]=Proc[[#This Row],[CurrentParent]]</f>
        <v>1</v>
      </c>
      <c r="K326" s="60" t="str">
        <f ca="1"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38" t="str">
        <f ca="1"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 ca="1">IF(Proc[[#This Row],[type]]="LFF (MDG-F)",MID(Proc[[#This Row],[Obj]],13,10),"")</f>
        <v/>
      </c>
      <c r="J327" s="60" t="b">
        <f ca="1">Proc[[#This Row],[Requested]]=Proc[[#This Row],[CurrentParent]]</f>
        <v>1</v>
      </c>
      <c r="K327" s="60" t="str">
        <f ca="1"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38" t="str">
        <f ca="1"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 ca="1">IF(Proc[[#This Row],[type]]="LFF (MDG-F)",MID(Proc[[#This Row],[Obj]],13,10),"")</f>
        <v/>
      </c>
      <c r="J328" s="60" t="b">
        <f ca="1">Proc[[#This Row],[Requested]]=Proc[[#This Row],[CurrentParent]]</f>
        <v>1</v>
      </c>
      <c r="K328" s="60" t="str">
        <f ca="1"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38" t="str">
        <f ca="1"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 ca="1">IF(Proc[[#This Row],[type]]="LFF (MDG-F)",MID(Proc[[#This Row],[Obj]],13,10),"")</f>
        <v/>
      </c>
      <c r="J329" s="60" t="b">
        <f ca="1">Proc[[#This Row],[Requested]]=Proc[[#This Row],[CurrentParent]]</f>
        <v>1</v>
      </c>
      <c r="K329" s="60" t="str">
        <f ca="1"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38" t="str">
        <f ca="1"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 ca="1">IF(Proc[[#This Row],[type]]="LFF (MDG-F)",MID(Proc[[#This Row],[Obj]],13,10),"")</f>
        <v/>
      </c>
      <c r="J330" s="60" t="b">
        <f ca="1">Proc[[#This Row],[Requested]]=Proc[[#This Row],[CurrentParent]]</f>
        <v>1</v>
      </c>
      <c r="K330" s="60" t="str">
        <f ca="1"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38" t="str">
        <f ca="1"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 ca="1">IF(Proc[[#This Row],[type]]="LFF (MDG-F)",MID(Proc[[#This Row],[Obj]],13,10),"")</f>
        <v/>
      </c>
      <c r="J331" s="60" t="b">
        <f ca="1">Proc[[#This Row],[Requested]]=Proc[[#This Row],[CurrentParent]]</f>
        <v>1</v>
      </c>
      <c r="K331" s="60" t="str">
        <f ca="1"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38" t="str">
        <f ca="1"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 ca="1">IF(Proc[[#This Row],[type]]="LFF (MDG-F)",MID(Proc[[#This Row],[Obj]],13,10),"")</f>
        <v/>
      </c>
      <c r="J332" s="60" t="b">
        <f ca="1">Proc[[#This Row],[Requested]]=Proc[[#This Row],[CurrentParent]]</f>
        <v>1</v>
      </c>
      <c r="K332" s="60" t="str">
        <f ca="1"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38" t="str">
        <f ca="1"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 ca="1">IF(Proc[[#This Row],[type]]="LFF (MDG-F)",MID(Proc[[#This Row],[Obj]],13,10),"")</f>
        <v/>
      </c>
      <c r="J333" s="60" t="b">
        <f ca="1">Proc[[#This Row],[Requested]]=Proc[[#This Row],[CurrentParent]]</f>
        <v>1</v>
      </c>
      <c r="K333" s="60" t="str">
        <f ca="1"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38" t="str">
        <f ca="1"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 ca="1">IF(Proc[[#This Row],[type]]="LFF (MDG-F)",MID(Proc[[#This Row],[Obj]],13,10),"")</f>
        <v/>
      </c>
      <c r="J334" s="60" t="b">
        <f ca="1">Proc[[#This Row],[Requested]]=Proc[[#This Row],[CurrentParent]]</f>
        <v>1</v>
      </c>
      <c r="K334" s="60" t="str">
        <f ca="1"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38" t="str">
        <f ca="1"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 ca="1">IF(Proc[[#This Row],[type]]="LFF (MDG-F)",MID(Proc[[#This Row],[Obj]],13,10),"")</f>
        <v/>
      </c>
      <c r="J335" s="60" t="b">
        <f ca="1">Proc[[#This Row],[Requested]]=Proc[[#This Row],[CurrentParent]]</f>
        <v>1</v>
      </c>
      <c r="K335" s="60" t="str">
        <f ca="1"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38" t="str">
        <f ca="1"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 ca="1">IF(Proc[[#This Row],[type]]="LFF (MDG-F)",MID(Proc[[#This Row],[Obj]],13,10),"")</f>
        <v/>
      </c>
      <c r="J336" s="60" t="b">
        <f ca="1">Proc[[#This Row],[Requested]]=Proc[[#This Row],[CurrentParent]]</f>
        <v>1</v>
      </c>
      <c r="K336" s="60" t="str">
        <f ca="1"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38" t="str">
        <f ca="1"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 ca="1">IF(Proc[[#This Row],[type]]="LFF (MDG-F)",MID(Proc[[#This Row],[Obj]],13,10),"")</f>
        <v/>
      </c>
      <c r="J337" s="60" t="b">
        <f ca="1">Proc[[#This Row],[Requested]]=Proc[[#This Row],[CurrentParent]]</f>
        <v>1</v>
      </c>
      <c r="K337" s="60" t="str">
        <f ca="1"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38" t="str">
        <f ca="1"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 ca="1">IF(Proc[[#This Row],[type]]="LFF (MDG-F)",MID(Proc[[#This Row],[Obj]],13,10),"")</f>
        <v/>
      </c>
      <c r="J338" s="60" t="b">
        <f ca="1">Proc[[#This Row],[Requested]]=Proc[[#This Row],[CurrentParent]]</f>
        <v>1</v>
      </c>
      <c r="K338" s="60" t="str">
        <f ca="1"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38" t="str">
        <f ca="1"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 ca="1">IF(Proc[[#This Row],[type]]="LFF (MDG-F)",MID(Proc[[#This Row],[Obj]],13,10),"")</f>
        <v/>
      </c>
      <c r="J339" s="60" t="b">
        <f ca="1">Proc[[#This Row],[Requested]]=Proc[[#This Row],[CurrentParent]]</f>
        <v>1</v>
      </c>
      <c r="K339" s="60" t="str">
        <f ca="1"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38" t="str">
        <f ca="1"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 ca="1">IF(Proc[[#This Row],[type]]="LFF (MDG-F)",MID(Proc[[#This Row],[Obj]],13,10),"")</f>
        <v/>
      </c>
      <c r="J340" s="60" t="b">
        <f ca="1">Proc[[#This Row],[Requested]]=Proc[[#This Row],[CurrentParent]]</f>
        <v>1</v>
      </c>
      <c r="K340" s="60" t="str">
        <f ca="1"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38" t="str">
        <f ca="1"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 ca="1">IF(Proc[[#This Row],[type]]="LFF (MDG-F)",MID(Proc[[#This Row],[Obj]],13,10),"")</f>
        <v/>
      </c>
      <c r="J341" s="60" t="b">
        <f ca="1">Proc[[#This Row],[Requested]]=Proc[[#This Row],[CurrentParent]]</f>
        <v>1</v>
      </c>
      <c r="K341" s="60" t="str">
        <f ca="1"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38" t="str">
        <f ca="1"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 ca="1">IF(Proc[[#This Row],[type]]="LFF (MDG-F)",MID(Proc[[#This Row],[Obj]],13,10),"")</f>
        <v/>
      </c>
      <c r="J342" s="60" t="b">
        <f ca="1">Proc[[#This Row],[Requested]]=Proc[[#This Row],[CurrentParent]]</f>
        <v>1</v>
      </c>
      <c r="K342" s="60" t="str">
        <f ca="1"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38" t="str">
        <f ca="1"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 ca="1">IF(Proc[[#This Row],[type]]="LFF (MDG-F)",MID(Proc[[#This Row],[Obj]],13,10),"")</f>
        <v/>
      </c>
      <c r="J343" s="60" t="b">
        <f ca="1">Proc[[#This Row],[Requested]]=Proc[[#This Row],[CurrentParent]]</f>
        <v>1</v>
      </c>
      <c r="K343" s="60" t="str">
        <f ca="1"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38" t="str">
        <f ca="1"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 ca="1">IF(Proc[[#This Row],[type]]="LFF (MDG-F)",MID(Proc[[#This Row],[Obj]],13,10),"")</f>
        <v/>
      </c>
      <c r="J344" s="60" t="b">
        <f ca="1">Proc[[#This Row],[Requested]]=Proc[[#This Row],[CurrentParent]]</f>
        <v>1</v>
      </c>
      <c r="K344" s="60" t="str">
        <f ca="1"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38" t="str">
        <f ca="1"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 ca="1">IF(Proc[[#This Row],[type]]="LFF (MDG-F)",MID(Proc[[#This Row],[Obj]],13,10),"")</f>
        <v/>
      </c>
      <c r="J345" s="60" t="b">
        <f ca="1">Proc[[#This Row],[Requested]]=Proc[[#This Row],[CurrentParent]]</f>
        <v>1</v>
      </c>
      <c r="K345" s="60" t="str">
        <f ca="1"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38" t="str">
        <f ca="1"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 ca="1">IF(Proc[[#This Row],[type]]="LFF (MDG-F)",MID(Proc[[#This Row],[Obj]],13,10),"")</f>
        <v/>
      </c>
      <c r="J346" s="60" t="b">
        <f ca="1">Proc[[#This Row],[Requested]]=Proc[[#This Row],[CurrentParent]]</f>
        <v>1</v>
      </c>
      <c r="K346" s="60" t="str">
        <f ca="1"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38" t="str">
        <f ca="1"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 ca="1">IF(Proc[[#This Row],[type]]="LFF (MDG-F)",MID(Proc[[#This Row],[Obj]],13,10),"")</f>
        <v>DE10523702</v>
      </c>
      <c r="J347" s="60" t="b">
        <f ca="1">Proc[[#This Row],[Requested]]=Proc[[#This Row],[CurrentParent]]</f>
        <v>1</v>
      </c>
      <c r="K347" s="60" t="str">
        <f ca="1"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38" t="str">
        <f ca="1"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 ca="1">IF(Proc[[#This Row],[type]]="LFF (MDG-F)",MID(Proc[[#This Row],[Obj]],13,10),"")</f>
        <v>DE10575000</v>
      </c>
      <c r="J348" s="60" t="b">
        <f ca="1">Proc[[#This Row],[Requested]]=Proc[[#This Row],[CurrentParent]]</f>
        <v>1</v>
      </c>
      <c r="K348" s="60" t="str">
        <f ca="1"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38" t="str">
        <f ca="1"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 ca="1">IF(Proc[[#This Row],[type]]="LFF (MDG-F)",MID(Proc[[#This Row],[Obj]],13,10),"")</f>
        <v>DE10575700</v>
      </c>
      <c r="J349" s="60" t="b">
        <f ca="1">Proc[[#This Row],[Requested]]=Proc[[#This Row],[CurrentParent]]</f>
        <v>1</v>
      </c>
      <c r="K349" s="60" t="str">
        <f ca="1"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38" t="str">
        <f ca="1"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 ca="1">IF(Proc[[#This Row],[type]]="LFF (MDG-F)",MID(Proc[[#This Row],[Obj]],13,10),"")</f>
        <v>DE10577000</v>
      </c>
      <c r="J350" s="60" t="b">
        <f ca="1">Proc[[#This Row],[Requested]]=Proc[[#This Row],[CurrentParent]]</f>
        <v>1</v>
      </c>
      <c r="K350" s="60" t="str">
        <f ca="1"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38" t="str">
        <f ca="1"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 ca="1">IF(Proc[[#This Row],[type]]="LFF (MDG-F)",MID(Proc[[#This Row],[Obj]],13,10),"")</f>
        <v>DE10671000</v>
      </c>
      <c r="J351" s="60" t="b">
        <f ca="1">Proc[[#This Row],[Requested]]=Proc[[#This Row],[CurrentParent]]</f>
        <v>1</v>
      </c>
      <c r="K351" s="60" t="str">
        <f ca="1"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38" t="str">
        <f ca="1"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 ca="1">IF(Proc[[#This Row],[type]]="LFF (MDG-F)",MID(Proc[[#This Row],[Obj]],13,10),"")</f>
        <v>DE10575119</v>
      </c>
      <c r="J352" s="60" t="b">
        <f ca="1">Proc[[#This Row],[Requested]]=Proc[[#This Row],[CurrentParent]]</f>
        <v>1</v>
      </c>
      <c r="K352" s="60" t="str">
        <f ca="1"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38" t="str">
        <f ca="1"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 ca="1">IF(Proc[[#This Row],[type]]="LFF (MDG-F)",MID(Proc[[#This Row],[Obj]],13,10),"")</f>
        <v>DE10575310</v>
      </c>
      <c r="J353" s="60" t="b">
        <f ca="1">Proc[[#This Row],[Requested]]=Proc[[#This Row],[CurrentParent]]</f>
        <v>1</v>
      </c>
      <c r="K353" s="60" t="str">
        <f ca="1"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38" t="str">
        <f ca="1"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 ca="1">IF(Proc[[#This Row],[type]]="LFF (MDG-F)",MID(Proc[[#This Row],[Obj]],13,10),"")</f>
        <v>DE10675100</v>
      </c>
      <c r="J354" s="60" t="b">
        <f ca="1">Proc[[#This Row],[Requested]]=Proc[[#This Row],[CurrentParent]]</f>
        <v>1</v>
      </c>
      <c r="K354" s="60" t="str">
        <f ca="1"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38" t="str">
        <f ca="1"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 ca="1">IF(Proc[[#This Row],[type]]="LFF (MDG-F)",MID(Proc[[#This Row],[Obj]],13,10),"")</f>
        <v>DE10598500</v>
      </c>
      <c r="J355" s="60" t="b">
        <f ca="1">Proc[[#This Row],[Requested]]=Proc[[#This Row],[CurrentParent]]</f>
        <v>1</v>
      </c>
      <c r="K355" s="60" t="str">
        <f ca="1"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38" t="str">
        <f ca="1"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 ca="1">IF(Proc[[#This Row],[type]]="LFF (MDG-F)",MID(Proc[[#This Row],[Obj]],13,10),"")</f>
        <v>DE10598600</v>
      </c>
      <c r="J356" s="60" t="b">
        <f ca="1">Proc[[#This Row],[Requested]]=Proc[[#This Row],[CurrentParent]]</f>
        <v>1</v>
      </c>
      <c r="K356" s="60" t="str">
        <f ca="1"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38" t="str">
        <f ca="1"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 ca="1">IF(Proc[[#This Row],[type]]="LFF (MDG-F)",MID(Proc[[#This Row],[Obj]],13,10),"")</f>
        <v>DE10698500</v>
      </c>
      <c r="J357" s="60" t="b">
        <f ca="1">Proc[[#This Row],[Requested]]=Proc[[#This Row],[CurrentParent]]</f>
        <v>1</v>
      </c>
      <c r="K357" s="60" t="str">
        <f ca="1"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 ca="1">VLOOKUP(Proc[[#This Row],[Obj]],#REF!,2,0)</f>
        <v>#REF!</v>
      </c>
    </row>
    <row r="358" spans="1:19" hidden="1">
      <c r="A358" s="62" t="s">
        <v>1707</v>
      </c>
      <c r="B358" s="138" t="str">
        <f ca="1"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 ca="1">IF(Proc[[#This Row],[type]]="LFF (MDG-F)",MID(Proc[[#This Row],[Obj]],13,10),"")</f>
        <v>DE10575300</v>
      </c>
      <c r="J358" s="60" t="b">
        <f ca="1">Proc[[#This Row],[Requested]]=Proc[[#This Row],[CurrentParent]]</f>
        <v>1</v>
      </c>
      <c r="K358" s="60" t="str">
        <f ca="1"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38" t="str">
        <f ca="1"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 ca="1">IF(Proc[[#This Row],[type]]="LFF (MDG-F)",MID(Proc[[#This Row],[Obj]],13,10),"")</f>
        <v>DE10672000</v>
      </c>
      <c r="J359" s="60" t="b">
        <f ca="1">Proc[[#This Row],[Requested]]=Proc[[#This Row],[CurrentParent]]</f>
        <v>1</v>
      </c>
      <c r="K359" s="60" t="str">
        <f ca="1"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38" t="str">
        <f ca="1"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 ca="1">IF(Proc[[#This Row],[type]]="LFF (MDG-F)",MID(Proc[[#This Row],[Obj]],13,10),"")</f>
        <v/>
      </c>
      <c r="J360" s="60" t="b">
        <f ca="1">Proc[[#This Row],[Requested]]=Proc[[#This Row],[CurrentParent]]</f>
        <v>1</v>
      </c>
      <c r="K360" s="60" t="str">
        <f ca="1"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38" t="str">
        <f ca="1"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 ca="1">IF(Proc[[#This Row],[type]]="LFF (MDG-F)",MID(Proc[[#This Row],[Obj]],13,10),"")</f>
        <v/>
      </c>
      <c r="J361" s="60" t="b">
        <f ca="1">Proc[[#This Row],[Requested]]=Proc[[#This Row],[CurrentParent]]</f>
        <v>1</v>
      </c>
      <c r="K361" s="60" t="str">
        <f ca="1"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38" t="str">
        <f ca="1"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 ca="1">IF(Proc[[#This Row],[type]]="LFF (MDG-F)",MID(Proc[[#This Row],[Obj]],13,10),"")</f>
        <v/>
      </c>
      <c r="J362" s="60" t="b">
        <f ca="1">Proc[[#This Row],[Requested]]=Proc[[#This Row],[CurrentParent]]</f>
        <v>1</v>
      </c>
      <c r="K362" s="60" t="str">
        <f ca="1"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38" t="str">
        <f ca="1"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 ca="1">IF(Proc[[#This Row],[type]]="LFF (MDG-F)",MID(Proc[[#This Row],[Obj]],13,10),"")</f>
        <v/>
      </c>
      <c r="J363" s="60" t="b">
        <f ca="1">Proc[[#This Row],[Requested]]=Proc[[#This Row],[CurrentParent]]</f>
        <v>1</v>
      </c>
      <c r="K363" s="60" t="str">
        <f ca="1"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38" t="str">
        <f ca="1"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 ca="1">IF(Proc[[#This Row],[type]]="LFF (MDG-F)",MID(Proc[[#This Row],[Obj]],13,10),"")</f>
        <v>DE20675100</v>
      </c>
      <c r="J364" s="60" t="b">
        <f ca="1">Proc[[#This Row],[Requested]]=Proc[[#This Row],[CurrentParent]]</f>
        <v>1</v>
      </c>
      <c r="K364" s="60" t="str">
        <f ca="1"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38" t="str">
        <f ca="1"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 ca="1">IF(Proc[[#This Row],[type]]="LFF (MDG-F)",MID(Proc[[#This Row],[Obj]],13,10),"")</f>
        <v>CH50L98016</v>
      </c>
      <c r="J365" s="60" t="b">
        <f ca="1">Proc[[#This Row],[Requested]]=Proc[[#This Row],[CurrentParent]]</f>
        <v>1</v>
      </c>
      <c r="K365" s="60" t="str">
        <f ca="1"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38" t="str">
        <f ca="1"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 ca="1">IF(Proc[[#This Row],[type]]="LFF (MDG-F)",MID(Proc[[#This Row],[Obj]],13,10),"")</f>
        <v/>
      </c>
      <c r="J366" s="60" t="b">
        <f ca="1">Proc[[#This Row],[Requested]]=Proc[[#This Row],[CurrentParent]]</f>
        <v>1</v>
      </c>
      <c r="K366" s="60" t="str">
        <f ca="1"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38" t="str">
        <f ca="1"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 ca="1">IF(Proc[[#This Row],[type]]="LFF (MDG-F)",MID(Proc[[#This Row],[Obj]],13,10),"")</f>
        <v>DE10515400</v>
      </c>
      <c r="J367" s="60" t="b">
        <f ca="1">Proc[[#This Row],[Requested]]=Proc[[#This Row],[CurrentParent]]</f>
        <v>1</v>
      </c>
      <c r="K367" s="60" t="str">
        <f ca="1"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38" t="str">
        <f ca="1"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 ca="1">IF(Proc[[#This Row],[type]]="LFF (MDG-F)",MID(Proc[[#This Row],[Obj]],13,10),"")</f>
        <v>DE10533731</v>
      </c>
      <c r="J368" s="60" t="b">
        <f ca="1">Proc[[#This Row],[Requested]]=Proc[[#This Row],[CurrentParent]]</f>
        <v>1</v>
      </c>
      <c r="K368" s="60" t="str">
        <f ca="1"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38" t="str">
        <f ca="1"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 ca="1">IF(Proc[[#This Row],[type]]="LFF (MDG-F)",MID(Proc[[#This Row],[Obj]],13,10),"")</f>
        <v>DE10533730</v>
      </c>
      <c r="J369" s="60" t="b">
        <f ca="1">Proc[[#This Row],[Requested]]=Proc[[#This Row],[CurrentParent]]</f>
        <v>1</v>
      </c>
      <c r="K369" s="60" t="str">
        <f ca="1"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38" t="str">
        <f ca="1"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 ca="1">IF(Proc[[#This Row],[type]]="LFF (MDG-F)",MID(Proc[[#This Row],[Obj]],13,10),"")</f>
        <v/>
      </c>
      <c r="J370" s="60" t="b">
        <f ca="1">Proc[[#This Row],[Requested]]=Proc[[#This Row],[CurrentParent]]</f>
        <v>1</v>
      </c>
      <c r="K370" s="60" t="str">
        <f ca="1"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38" t="str">
        <f ca="1"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 ca="1">IF(Proc[[#This Row],[type]]="LFF (MDG-F)",MID(Proc[[#This Row],[Obj]],13,10),"")</f>
        <v/>
      </c>
      <c r="J371" s="60" t="b">
        <f ca="1">Proc[[#This Row],[Requested]]=Proc[[#This Row],[CurrentParent]]</f>
        <v>1</v>
      </c>
      <c r="K371" s="60" t="str">
        <f ca="1"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38" t="str">
        <f ca="1"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 ca="1">IF(Proc[[#This Row],[type]]="LFF (MDG-F)",MID(Proc[[#This Row],[Obj]],13,10),"")</f>
        <v/>
      </c>
      <c r="J372" s="60" t="b">
        <f ca="1">Proc[[#This Row],[Requested]]=Proc[[#This Row],[CurrentParent]]</f>
        <v>1</v>
      </c>
      <c r="K372" s="60" t="str">
        <f ca="1"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38" t="str">
        <f ca="1"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 ca="1">IF(Proc[[#This Row],[type]]="LFF (MDG-F)",MID(Proc[[#This Row],[Obj]],13,10),"")</f>
        <v/>
      </c>
      <c r="J373" s="60" t="b">
        <f ca="1">Proc[[#This Row],[Requested]]=Proc[[#This Row],[CurrentParent]]</f>
        <v>1</v>
      </c>
      <c r="K373" s="60" t="str">
        <f ca="1"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38" t="str">
        <f ca="1"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 ca="1">IF(Proc[[#This Row],[type]]="LFF (MDG-F)",MID(Proc[[#This Row],[Obj]],13,10),"")</f>
        <v/>
      </c>
      <c r="J374" s="60" t="b">
        <f ca="1">Proc[[#This Row],[Requested]]=Proc[[#This Row],[CurrentParent]]</f>
        <v>1</v>
      </c>
      <c r="K374" s="60" t="str">
        <f ca="1"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38" t="str">
        <f ca="1"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 ca="1">IF(Proc[[#This Row],[type]]="LFF (MDG-F)",MID(Proc[[#This Row],[Obj]],13,10),"")</f>
        <v/>
      </c>
      <c r="J375" s="60" t="b">
        <f ca="1">Proc[[#This Row],[Requested]]=Proc[[#This Row],[CurrentParent]]</f>
        <v>1</v>
      </c>
      <c r="K375" s="60" t="str">
        <f ca="1"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38" t="str">
        <f ca="1"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 ca="1">IF(Proc[[#This Row],[type]]="LFF (MDG-F)",MID(Proc[[#This Row],[Obj]],13,10),"")</f>
        <v/>
      </c>
      <c r="J376" s="60" t="b">
        <f ca="1">Proc[[#This Row],[Requested]]=Proc[[#This Row],[CurrentParent]]</f>
        <v>1</v>
      </c>
      <c r="K376" s="60" t="str">
        <f ca="1"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38" t="str">
        <f ca="1"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 ca="1">IF(Proc[[#This Row],[type]]="LFF (MDG-F)",MID(Proc[[#This Row],[Obj]],13,10),"")</f>
        <v>2029GIT00M</v>
      </c>
      <c r="J377" s="60" t="b">
        <f ca="1">Proc[[#This Row],[Requested]]=Proc[[#This Row],[CurrentParent]]</f>
        <v>1</v>
      </c>
      <c r="K377" s="60" t="str">
        <f ca="1"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38" t="str">
        <f ca="1"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 ca="1">IF(Proc[[#This Row],[type]]="LFF (MDG-F)",MID(Proc[[#This Row],[Obj]],13,10),"")</f>
        <v/>
      </c>
      <c r="J378" s="60" t="b">
        <f ca="1">Proc[[#This Row],[Requested]]=Proc[[#This Row],[CurrentParent]]</f>
        <v>1</v>
      </c>
      <c r="K378" s="60" t="str">
        <f ca="1"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38" t="str">
        <f ca="1"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 ca="1">IF(Proc[[#This Row],[type]]="LFF (MDG-F)",MID(Proc[[#This Row],[Obj]],13,10),"")</f>
        <v/>
      </c>
      <c r="J379" s="60" t="b">
        <f ca="1">Proc[[#This Row],[Requested]]=Proc[[#This Row],[CurrentParent]]</f>
        <v>1</v>
      </c>
      <c r="K379" s="60" t="str">
        <f ca="1"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38" t="str">
        <f ca="1"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 ca="1">IF(Proc[[#This Row],[type]]="LFF (MDG-F)",MID(Proc[[#This Row],[Obj]],13,10),"")</f>
        <v/>
      </c>
      <c r="J380" s="60" t="b">
        <f ca="1">Proc[[#This Row],[Requested]]=Proc[[#This Row],[CurrentParent]]</f>
        <v>1</v>
      </c>
      <c r="K380" s="60" t="str">
        <f ca="1"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38" t="str">
        <f ca="1"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 ca="1">IF(Proc[[#This Row],[type]]="LFF (MDG-F)",MID(Proc[[#This Row],[Obj]],13,10),"")</f>
        <v/>
      </c>
      <c r="J381" s="60" t="b">
        <f ca="1">Proc[[#This Row],[Requested]]=Proc[[#This Row],[CurrentParent]]</f>
        <v>1</v>
      </c>
      <c r="K381" s="60" t="str">
        <f ca="1"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38" t="str">
        <f ca="1"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 ca="1">IF(Proc[[#This Row],[type]]="LFF (MDG-F)",MID(Proc[[#This Row],[Obj]],13,10),"")</f>
        <v>2123GIT094</v>
      </c>
      <c r="J382" s="60" t="b">
        <f ca="1">Proc[[#This Row],[Requested]]=Proc[[#This Row],[CurrentParent]]</f>
        <v>1</v>
      </c>
      <c r="K382" s="60" t="str">
        <f ca="1"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38" t="str">
        <f ca="1"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 ca="1">IF(Proc[[#This Row],[type]]="LFF (MDG-F)",MID(Proc[[#This Row],[Obj]],13,10),"")</f>
        <v>DE10GT8764</v>
      </c>
      <c r="I383" t="s">
        <v>822</v>
      </c>
      <c r="J383" s="60" t="b">
        <f ca="1">Proc[[#This Row],[Requested]]=Proc[[#This Row],[CurrentParent]]</f>
        <v>1</v>
      </c>
      <c r="K383" s="60" t="str">
        <f ca="1"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 ca="1">VLOOKUP(Proc[[#This Row],[Obj]],#REF!,2,0)</f>
        <v>#REF!</v>
      </c>
    </row>
    <row r="384" spans="1:19" hidden="1">
      <c r="A384" s="62" t="s">
        <v>1746</v>
      </c>
      <c r="B384" s="138" t="str">
        <f ca="1"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 ca="1">IF(Proc[[#This Row],[type]]="LFF (MDG-F)",MID(Proc[[#This Row],[Obj]],13,10),"")</f>
        <v/>
      </c>
      <c r="J384" s="60" t="b">
        <f ca="1">Proc[[#This Row],[Requested]]=Proc[[#This Row],[CurrentParent]]</f>
        <v>1</v>
      </c>
      <c r="K384" s="60" t="str">
        <f ca="1"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38" t="str">
        <f ca="1"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 ca="1">IF(Proc[[#This Row],[type]]="LFF (MDG-F)",MID(Proc[[#This Row],[Obj]],13,10),"")</f>
        <v/>
      </c>
      <c r="J385" s="60" t="b">
        <f ca="1">Proc[[#This Row],[Requested]]=Proc[[#This Row],[CurrentParent]]</f>
        <v>1</v>
      </c>
      <c r="K385" s="60" t="str">
        <f ca="1"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38" t="str">
        <f ca="1"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 ca="1">IF(Proc[[#This Row],[type]]="LFF (MDG-F)",MID(Proc[[#This Row],[Obj]],13,10),"")</f>
        <v/>
      </c>
      <c r="J386" s="60" t="b">
        <f ca="1">Proc[[#This Row],[Requested]]=Proc[[#This Row],[CurrentParent]]</f>
        <v>1</v>
      </c>
      <c r="K386" s="60" t="str">
        <f ca="1"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38" t="str">
        <f ca="1"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 ca="1">IF(Proc[[#This Row],[type]]="LFF (MDG-F)",MID(Proc[[#This Row],[Obj]],13,10),"")</f>
        <v/>
      </c>
      <c r="J387" s="60" t="b">
        <f ca="1">Proc[[#This Row],[Requested]]=Proc[[#This Row],[CurrentParent]]</f>
        <v>1</v>
      </c>
      <c r="K387" s="60" t="str">
        <f ca="1"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38" t="str">
        <f ca="1"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 ca="1">IF(Proc[[#This Row],[type]]="LFF (MDG-F)",MID(Proc[[#This Row],[Obj]],13,10),"")</f>
        <v>DE20538290</v>
      </c>
      <c r="I388" t="s">
        <v>446</v>
      </c>
      <c r="J388" s="60" t="b">
        <f ca="1">Proc[[#This Row],[Requested]]=Proc[[#This Row],[CurrentParent]]</f>
        <v>1</v>
      </c>
      <c r="K388" s="60" t="str">
        <f ca="1"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155</v>
      </c>
      <c r="R388" s="67" t="s">
        <v>549</v>
      </c>
      <c r="S388" s="94" t="e">
        <f ca="1">VLOOKUP(Proc[[#This Row],[Obj]],#REF!,2,0)</f>
        <v>#REF!</v>
      </c>
    </row>
    <row r="389" spans="1:19" hidden="1">
      <c r="A389" s="62" t="s">
        <v>1743</v>
      </c>
      <c r="B389" s="138" t="str">
        <f ca="1"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 ca="1">IF(Proc[[#This Row],[type]]="LFF (MDG-F)",MID(Proc[[#This Row],[Obj]],13,10),"")</f>
        <v>DE10598000</v>
      </c>
      <c r="J389" s="60" t="b">
        <f ca="1">Proc[[#This Row],[Requested]]=Proc[[#This Row],[CurrentParent]]</f>
        <v>1</v>
      </c>
      <c r="K389" s="60" t="str">
        <f ca="1"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155</v>
      </c>
      <c r="R389" s="67" t="s">
        <v>549</v>
      </c>
      <c r="S389" s="60"/>
    </row>
    <row r="390" spans="1:19" hidden="1">
      <c r="A390" s="62" t="s">
        <v>1743</v>
      </c>
      <c r="B390" s="138" t="str">
        <f ca="1"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 ca="1">IF(Proc[[#This Row],[type]]="LFF (MDG-F)",MID(Proc[[#This Row],[Obj]],13,10),"")</f>
        <v>DE10598100</v>
      </c>
      <c r="J390" s="60" t="b">
        <f ca="1">Proc[[#This Row],[Requested]]=Proc[[#This Row],[CurrentParent]]</f>
        <v>1</v>
      </c>
      <c r="K390" s="60" t="str">
        <f ca="1"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155</v>
      </c>
      <c r="R390" s="67" t="s">
        <v>549</v>
      </c>
      <c r="S390" s="60"/>
    </row>
    <row r="391" spans="1:19" hidden="1">
      <c r="A391" s="62" t="s">
        <v>1743</v>
      </c>
      <c r="B391" s="138" t="str">
        <f ca="1"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 ca="1">IF(Proc[[#This Row],[type]]="LFF (MDG-F)",MID(Proc[[#This Row],[Obj]],13,10),"")</f>
        <v>DE10598200</v>
      </c>
      <c r="J391" s="60" t="b">
        <f ca="1">Proc[[#This Row],[Requested]]=Proc[[#This Row],[CurrentParent]]</f>
        <v>1</v>
      </c>
      <c r="K391" s="60" t="str">
        <f ca="1"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155</v>
      </c>
      <c r="R391" s="67" t="s">
        <v>549</v>
      </c>
      <c r="S391" s="60"/>
    </row>
    <row r="392" spans="1:19" hidden="1">
      <c r="A392" s="62" t="s">
        <v>1743</v>
      </c>
      <c r="B392" s="138" t="str">
        <f ca="1"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 ca="1">IF(Proc[[#This Row],[type]]="LFF (MDG-F)",MID(Proc[[#This Row],[Obj]],13,10),"")</f>
        <v>DE10598300</v>
      </c>
      <c r="J392" s="60" t="b">
        <f ca="1">Proc[[#This Row],[Requested]]=Proc[[#This Row],[CurrentParent]]</f>
        <v>1</v>
      </c>
      <c r="K392" s="60" t="str">
        <f ca="1"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155</v>
      </c>
      <c r="R392" s="67" t="s">
        <v>549</v>
      </c>
      <c r="S392" s="60"/>
    </row>
    <row r="393" spans="1:19" hidden="1">
      <c r="A393" s="62" t="s">
        <v>1743</v>
      </c>
      <c r="B393" s="138" t="str">
        <f ca="1"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 ca="1">IF(Proc[[#This Row],[type]]="LFF (MDG-F)",MID(Proc[[#This Row],[Obj]],13,10),"")</f>
        <v>DE10598400</v>
      </c>
      <c r="J393" s="60" t="b">
        <f ca="1">Proc[[#This Row],[Requested]]=Proc[[#This Row],[CurrentParent]]</f>
        <v>1</v>
      </c>
      <c r="K393" s="60" t="str">
        <f ca="1"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155</v>
      </c>
      <c r="R393" s="67" t="s">
        <v>549</v>
      </c>
      <c r="S393" s="60"/>
    </row>
    <row r="394" spans="1:19" hidden="1">
      <c r="A394" s="62" t="s">
        <v>1743</v>
      </c>
      <c r="B394" s="138" t="str">
        <f ca="1"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 ca="1">IF(Proc[[#This Row],[type]]="LFF (MDG-F)",MID(Proc[[#This Row],[Obj]],13,10),"")</f>
        <v>DE10598700</v>
      </c>
      <c r="J394" s="60" t="b">
        <f ca="1">Proc[[#This Row],[Requested]]=Proc[[#This Row],[CurrentParent]]</f>
        <v>1</v>
      </c>
      <c r="K394" s="60" t="str">
        <f ca="1"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155</v>
      </c>
      <c r="R394" s="67" t="s">
        <v>549</v>
      </c>
      <c r="S394" s="60"/>
    </row>
    <row r="395" spans="1:19" hidden="1">
      <c r="A395" s="62" t="s">
        <v>1743</v>
      </c>
      <c r="B395" s="138" t="str">
        <f ca="1"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 ca="1">IF(Proc[[#This Row],[type]]="LFF (MDG-F)",MID(Proc[[#This Row],[Obj]],13,10),"")</f>
        <v>DE20538280</v>
      </c>
      <c r="J395" s="60" t="b">
        <f ca="1">Proc[[#This Row],[Requested]]=Proc[[#This Row],[CurrentParent]]</f>
        <v>1</v>
      </c>
      <c r="K395" s="60" t="str">
        <f ca="1"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155</v>
      </c>
      <c r="R395" s="67" t="s">
        <v>549</v>
      </c>
      <c r="S395" s="60"/>
    </row>
    <row r="396" spans="1:19" hidden="1">
      <c r="A396" s="62" t="s">
        <v>1743</v>
      </c>
      <c r="B396" s="138" t="str">
        <f ca="1"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 ca="1">IF(Proc[[#This Row],[type]]="LFF (MDG-F)",MID(Proc[[#This Row],[Obj]],13,10),"")</f>
        <v>DE20568200</v>
      </c>
      <c r="J396" s="60" t="b">
        <f ca="1">Proc[[#This Row],[Requested]]=Proc[[#This Row],[CurrentParent]]</f>
        <v>1</v>
      </c>
      <c r="K396" s="60" t="str">
        <f ca="1"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155</v>
      </c>
      <c r="R396" s="67" t="s">
        <v>549</v>
      </c>
      <c r="S396" s="60"/>
    </row>
    <row r="397" spans="1:19" hidden="1">
      <c r="A397" s="62" t="s">
        <v>1743</v>
      </c>
      <c r="B397" s="138" t="str">
        <f ca="1"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 ca="1">IF(Proc[[#This Row],[type]]="LFF (MDG-F)",MID(Proc[[#This Row],[Obj]],13,10),"")</f>
        <v>DE20529600</v>
      </c>
      <c r="J397" s="60" t="b">
        <f ca="1">Proc[[#This Row],[Requested]]=Proc[[#This Row],[CurrentParent]]</f>
        <v>1</v>
      </c>
      <c r="K397" s="60" t="str">
        <f ca="1"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155</v>
      </c>
      <c r="R397" s="67" t="s">
        <v>549</v>
      </c>
      <c r="S397" s="60"/>
    </row>
    <row r="398" spans="1:19" hidden="1">
      <c r="A398" s="62" t="s">
        <v>1743</v>
      </c>
      <c r="B398" s="138" t="str">
        <f ca="1"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 ca="1">IF(Proc[[#This Row],[type]]="LFF (MDG-F)",MID(Proc[[#This Row],[Obj]],13,10),"")</f>
        <v>DE20847200</v>
      </c>
      <c r="J398" s="60" t="b">
        <f ca="1">Proc[[#This Row],[Requested]]=Proc[[#This Row],[CurrentParent]]</f>
        <v>1</v>
      </c>
      <c r="K398" s="60" t="str">
        <f ca="1"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155</v>
      </c>
      <c r="R398" s="67" t="s">
        <v>549</v>
      </c>
      <c r="S398" s="60"/>
    </row>
    <row r="399" spans="1:19" hidden="1">
      <c r="A399" s="62" t="s">
        <v>1743</v>
      </c>
      <c r="B399" s="138" t="str">
        <f ca="1"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 ca="1">IF(Proc[[#This Row],[type]]="LFF (MDG-F)",MID(Proc[[#This Row],[Obj]],13,10),"")</f>
        <v>DE20538257</v>
      </c>
      <c r="J399" s="60" t="b">
        <f ca="1">Proc[[#This Row],[Requested]]=Proc[[#This Row],[CurrentParent]]</f>
        <v>1</v>
      </c>
      <c r="K399" s="60" t="str">
        <f ca="1"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155</v>
      </c>
      <c r="R399" s="67" t="s">
        <v>549</v>
      </c>
      <c r="S399" s="94" t="e">
        <f ca="1">VLOOKUP(Proc[[#This Row],[Obj]],#REF!,2,0)</f>
        <v>#REF!</v>
      </c>
    </row>
    <row r="400" spans="1:19" hidden="1">
      <c r="A400" s="62" t="s">
        <v>1743</v>
      </c>
      <c r="B400" s="138" t="str">
        <f ca="1"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 ca="1">IF(Proc[[#This Row],[type]]="LFF (MDG-F)",MID(Proc[[#This Row],[Obj]],13,10),"")</f>
        <v>DE10538257</v>
      </c>
      <c r="J400" s="60" t="b">
        <f ca="1">Proc[[#This Row],[Requested]]=Proc[[#This Row],[CurrentParent]]</f>
        <v>1</v>
      </c>
      <c r="K400" s="60" t="str">
        <f ca="1"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155</v>
      </c>
      <c r="R400" s="67" t="s">
        <v>549</v>
      </c>
      <c r="S400" s="60"/>
    </row>
    <row r="401" spans="1:19" hidden="1">
      <c r="A401" s="62" t="s">
        <v>1743</v>
      </c>
      <c r="B401" s="138" t="str">
        <f ca="1"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 ca="1">IF(Proc[[#This Row],[type]]="LFF (MDG-F)",MID(Proc[[#This Row],[Obj]],13,10),"")</f>
        <v>DE20538295</v>
      </c>
      <c r="J401" s="60" t="b">
        <f ca="1">Proc[[#This Row],[Requested]]=Proc[[#This Row],[CurrentParent]]</f>
        <v>1</v>
      </c>
      <c r="K401" s="60" t="str">
        <f ca="1"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155</v>
      </c>
      <c r="R401" s="67" t="s">
        <v>549</v>
      </c>
      <c r="S401" s="60"/>
    </row>
    <row r="402" spans="1:19" hidden="1">
      <c r="A402" s="62" t="s">
        <v>1743</v>
      </c>
      <c r="B402" s="138" t="str">
        <f ca="1"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 ca="1">IF(Proc[[#This Row],[type]]="LFF (MDG-F)",MID(Proc[[#This Row],[Obj]],13,10),"")</f>
        <v>DE10538295</v>
      </c>
      <c r="J402" s="60" t="b">
        <f ca="1">Proc[[#This Row],[Requested]]=Proc[[#This Row],[CurrentParent]]</f>
        <v>1</v>
      </c>
      <c r="K402" s="60" t="str">
        <f ca="1"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155</v>
      </c>
      <c r="R402" s="67" t="s">
        <v>549</v>
      </c>
      <c r="S402" s="60"/>
    </row>
    <row r="403" spans="1:19" hidden="1">
      <c r="A403" s="62" t="s">
        <v>1743</v>
      </c>
      <c r="B403" s="138" t="str">
        <f ca="1"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 ca="1">IF(Proc[[#This Row],[type]]="LFF (MDG-F)",MID(Proc[[#This Row],[Obj]],13,10),"")</f>
        <v>DE20538456</v>
      </c>
      <c r="J403" s="60" t="b">
        <f ca="1">Proc[[#This Row],[Requested]]=Proc[[#This Row],[CurrentParent]]</f>
        <v>1</v>
      </c>
      <c r="K403" s="60" t="str">
        <f ca="1"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155</v>
      </c>
      <c r="R403" s="67" t="s">
        <v>549</v>
      </c>
      <c r="S403" s="60"/>
    </row>
    <row r="404" spans="1:19" hidden="1">
      <c r="A404" s="62" t="s">
        <v>1743</v>
      </c>
      <c r="B404" s="138" t="str">
        <f ca="1"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 ca="1">IF(Proc[[#This Row],[type]]="LFF (MDG-F)",MID(Proc[[#This Row],[Obj]],13,10),"")</f>
        <v>DE10538456</v>
      </c>
      <c r="J404" s="60" t="b">
        <f ca="1">Proc[[#This Row],[Requested]]=Proc[[#This Row],[CurrentParent]]</f>
        <v>1</v>
      </c>
      <c r="K404" s="60" t="str">
        <f ca="1"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155</v>
      </c>
      <c r="R404" s="67" t="s">
        <v>549</v>
      </c>
      <c r="S404" s="60"/>
    </row>
    <row r="405" spans="1:19" hidden="1">
      <c r="A405" s="62" t="s">
        <v>1743</v>
      </c>
      <c r="B405" s="138" t="str">
        <f ca="1"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 ca="1">IF(Proc[[#This Row],[type]]="LFF (MDG-F)",MID(Proc[[#This Row],[Obj]],13,10),"")</f>
        <v>DE10623200</v>
      </c>
      <c r="J405" s="60" t="b">
        <f ca="1">Proc[[#This Row],[Requested]]=Proc[[#This Row],[CurrentParent]]</f>
        <v>1</v>
      </c>
      <c r="K405" s="60" t="str">
        <f ca="1"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155</v>
      </c>
      <c r="R405" s="67" t="s">
        <v>549</v>
      </c>
      <c r="S405" s="94" t="e">
        <f ca="1">VLOOKUP(Proc[[#This Row],[Obj]],#REF!,2,0)</f>
        <v>#REF!</v>
      </c>
    </row>
    <row r="406" spans="1:19" hidden="1">
      <c r="A406" s="62" t="s">
        <v>1743</v>
      </c>
      <c r="B406" s="138" t="str">
        <f ca="1"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 ca="1">IF(Proc[[#This Row],[type]]="LFF (MDG-F)",MID(Proc[[#This Row],[Obj]],13,10),"")</f>
        <v>DE10523100</v>
      </c>
      <c r="J406" s="60" t="b">
        <f ca="1">Proc[[#This Row],[Requested]]=Proc[[#This Row],[CurrentParent]]</f>
        <v>1</v>
      </c>
      <c r="K406" s="60" t="str">
        <f ca="1"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155</v>
      </c>
      <c r="R406" s="67" t="s">
        <v>549</v>
      </c>
      <c r="S406" s="60"/>
    </row>
    <row r="407" spans="1:19" hidden="1">
      <c r="A407" s="62" t="s">
        <v>1743</v>
      </c>
      <c r="B407" s="138" t="str">
        <f ca="1"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 ca="1">IF(Proc[[#This Row],[type]]="LFF (MDG-F)",MID(Proc[[#This Row],[Obj]],13,10),"")</f>
        <v>DE20538554</v>
      </c>
      <c r="J407" s="60" t="b">
        <f ca="1">Proc[[#This Row],[Requested]]=Proc[[#This Row],[CurrentParent]]</f>
        <v>1</v>
      </c>
      <c r="K407" s="60" t="str">
        <f ca="1"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155</v>
      </c>
      <c r="R407" s="67" t="s">
        <v>549</v>
      </c>
      <c r="S407" s="60"/>
    </row>
    <row r="408" spans="1:19" hidden="1">
      <c r="A408" s="62" t="s">
        <v>1743</v>
      </c>
      <c r="B408" s="138" t="str">
        <f ca="1"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 ca="1">IF(Proc[[#This Row],[type]]="LFF (MDG-F)",MID(Proc[[#This Row],[Obj]],13,10),"")</f>
        <v>DE10538554</v>
      </c>
      <c r="J408" s="60" t="b">
        <f ca="1">Proc[[#This Row],[Requested]]=Proc[[#This Row],[CurrentParent]]</f>
        <v>1</v>
      </c>
      <c r="K408" s="60" t="str">
        <f ca="1"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155</v>
      </c>
      <c r="R408" s="67" t="s">
        <v>549</v>
      </c>
      <c r="S408" s="60"/>
    </row>
    <row r="409" spans="1:19" hidden="1">
      <c r="A409" s="62" t="s">
        <v>1743</v>
      </c>
      <c r="B409" s="138" t="str">
        <f ca="1"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 ca="1">IF(Proc[[#This Row],[type]]="LFF (MDG-F)",MID(Proc[[#This Row],[Obj]],13,10),"")</f>
        <v>DE10840200</v>
      </c>
      <c r="J409" s="60" t="b">
        <f ca="1">Proc[[#This Row],[Requested]]=Proc[[#This Row],[CurrentParent]]</f>
        <v>1</v>
      </c>
      <c r="K409" s="60" t="str">
        <f ca="1"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155</v>
      </c>
      <c r="R409" s="67" t="s">
        <v>549</v>
      </c>
      <c r="S409" s="60"/>
    </row>
    <row r="410" spans="1:19" hidden="1">
      <c r="A410" s="62" t="s">
        <v>1743</v>
      </c>
      <c r="B410" s="138" t="str">
        <f ca="1"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 ca="1">IF(Proc[[#This Row],[type]]="LFF (MDG-F)",MID(Proc[[#This Row],[Obj]],13,10),"")</f>
        <v>DE10537810</v>
      </c>
      <c r="J410" s="60" t="b">
        <f ca="1">Proc[[#This Row],[Requested]]=Proc[[#This Row],[CurrentParent]]</f>
        <v>1</v>
      </c>
      <c r="K410" s="60" t="str">
        <f ca="1"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155</v>
      </c>
      <c r="R410" s="67" t="s">
        <v>549</v>
      </c>
      <c r="S410" s="60"/>
    </row>
    <row r="411" spans="1:19" hidden="1">
      <c r="A411" s="62" t="s">
        <v>1743</v>
      </c>
      <c r="B411" s="138" t="str">
        <f ca="1"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 ca="1">IF(Proc[[#This Row],[type]]="LFF (MDG-F)",MID(Proc[[#This Row],[Obj]],13,10),"")</f>
        <v>DE20538242</v>
      </c>
      <c r="J411" s="60" t="b">
        <f ca="1">Proc[[#This Row],[Requested]]=Proc[[#This Row],[CurrentParent]]</f>
        <v>1</v>
      </c>
      <c r="K411" s="60" t="str">
        <f ca="1"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155</v>
      </c>
      <c r="R411" s="67" t="s">
        <v>549</v>
      </c>
      <c r="S411" s="60"/>
    </row>
    <row r="412" spans="1:19" hidden="1">
      <c r="A412" s="62" t="s">
        <v>1743</v>
      </c>
      <c r="B412" s="138" t="str">
        <f ca="1"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 ca="1">IF(Proc[[#This Row],[type]]="LFF (MDG-F)",MID(Proc[[#This Row],[Obj]],13,10),"")</f>
        <v>DE10538242</v>
      </c>
      <c r="J412" s="60" t="b">
        <f ca="1">Proc[[#This Row],[Requested]]=Proc[[#This Row],[CurrentParent]]</f>
        <v>1</v>
      </c>
      <c r="K412" s="60" t="str">
        <f ca="1"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155</v>
      </c>
      <c r="R412" s="67" t="s">
        <v>549</v>
      </c>
      <c r="S412" s="60"/>
    </row>
    <row r="413" spans="1:19" hidden="1">
      <c r="A413" s="62" t="s">
        <v>1743</v>
      </c>
      <c r="B413" s="138" t="str">
        <f ca="1"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 ca="1">IF(Proc[[#This Row],[type]]="LFF (MDG-F)",MID(Proc[[#This Row],[Obj]],13,10),"")</f>
        <v>DE20568016</v>
      </c>
      <c r="J413" s="60" t="b">
        <f ca="1">Proc[[#This Row],[Requested]]=Proc[[#This Row],[CurrentParent]]</f>
        <v>1</v>
      </c>
      <c r="K413" s="60" t="str">
        <f ca="1"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155</v>
      </c>
      <c r="R413" s="67" t="s">
        <v>549</v>
      </c>
      <c r="S413" s="94" t="e">
        <f ca="1">VLOOKUP(Proc[[#This Row],[Obj]],#REF!,2,0)</f>
        <v>#REF!</v>
      </c>
    </row>
    <row r="414" spans="1:19" hidden="1">
      <c r="A414" s="62" t="s">
        <v>1743</v>
      </c>
      <c r="B414" s="138" t="str">
        <f ca="1"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 ca="1">IF(Proc[[#This Row],[type]]="LFF (MDG-F)",MID(Proc[[#This Row],[Obj]],13,10),"")</f>
        <v>DE10568016</v>
      </c>
      <c r="J414" s="60" t="b">
        <f ca="1">Proc[[#This Row],[Requested]]=Proc[[#This Row],[CurrentParent]]</f>
        <v>1</v>
      </c>
      <c r="K414" s="60" t="str">
        <f ca="1"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155</v>
      </c>
      <c r="R414" s="67" t="s">
        <v>549</v>
      </c>
      <c r="S414" s="94" t="e">
        <f ca="1">VLOOKUP(Proc[[#This Row],[Obj]],#REF!,2,0)</f>
        <v>#REF!</v>
      </c>
    </row>
    <row r="415" spans="1:19" hidden="1">
      <c r="A415" s="62" t="s">
        <v>1743</v>
      </c>
      <c r="B415" s="138" t="str">
        <f ca="1"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 ca="1">IF(Proc[[#This Row],[type]]="LFF (MDG-F)",MID(Proc[[#This Row],[Obj]],13,10),"")</f>
        <v>DE20538431</v>
      </c>
      <c r="J415" s="60" t="b">
        <f ca="1">Proc[[#This Row],[Requested]]=Proc[[#This Row],[CurrentParent]]</f>
        <v>1</v>
      </c>
      <c r="K415" s="60" t="str">
        <f ca="1"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155</v>
      </c>
      <c r="R415" s="67" t="s">
        <v>549</v>
      </c>
      <c r="S415" s="60"/>
    </row>
    <row r="416" spans="1:19" hidden="1">
      <c r="A416" s="62" t="s">
        <v>1743</v>
      </c>
      <c r="B416" s="138" t="str">
        <f ca="1"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 ca="1">IF(Proc[[#This Row],[type]]="LFF (MDG-F)",MID(Proc[[#This Row],[Obj]],13,10),"")</f>
        <v>DE20567105</v>
      </c>
      <c r="J416" s="60" t="b">
        <f ca="1">Proc[[#This Row],[Requested]]=Proc[[#This Row],[CurrentParent]]</f>
        <v>1</v>
      </c>
      <c r="K416" s="60" t="str">
        <f ca="1"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155</v>
      </c>
      <c r="R416" s="67" t="s">
        <v>549</v>
      </c>
      <c r="S416" s="60"/>
    </row>
    <row r="417" spans="1:19" hidden="1">
      <c r="A417" s="62" t="s">
        <v>1743</v>
      </c>
      <c r="B417" s="138" t="str">
        <f ca="1"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 ca="1">IF(Proc[[#This Row],[type]]="LFF (MDG-F)",MID(Proc[[#This Row],[Obj]],13,10),"")</f>
        <v>DE10538431</v>
      </c>
      <c r="J417" s="60" t="b">
        <f ca="1">Proc[[#This Row],[Requested]]=Proc[[#This Row],[CurrentParent]]</f>
        <v>1</v>
      </c>
      <c r="K417" s="60" t="str">
        <f ca="1"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155</v>
      </c>
      <c r="R417" s="67" t="s">
        <v>549</v>
      </c>
      <c r="S417" s="60"/>
    </row>
    <row r="418" spans="1:19" hidden="1">
      <c r="A418" s="62" t="s">
        <v>1743</v>
      </c>
      <c r="B418" s="138" t="str">
        <f ca="1"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 ca="1">IF(Proc[[#This Row],[type]]="LFF (MDG-F)",MID(Proc[[#This Row],[Obj]],13,10),"")</f>
        <v>DE10567105</v>
      </c>
      <c r="J418" s="60" t="b">
        <f ca="1">Proc[[#This Row],[Requested]]=Proc[[#This Row],[CurrentParent]]</f>
        <v>1</v>
      </c>
      <c r="K418" s="60" t="str">
        <f ca="1"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155</v>
      </c>
      <c r="R418" s="67" t="s">
        <v>549</v>
      </c>
      <c r="S418" s="60"/>
    </row>
    <row r="419" spans="1:19" hidden="1">
      <c r="A419" s="62" t="s">
        <v>1743</v>
      </c>
      <c r="B419" s="138" t="str">
        <f ca="1"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 ca="1">IF(Proc[[#This Row],[type]]="LFF (MDG-F)",MID(Proc[[#This Row],[Obj]],13,10),"")</f>
        <v>DE10566400</v>
      </c>
      <c r="J419" s="60" t="b">
        <f ca="1">Proc[[#This Row],[Requested]]=Proc[[#This Row],[CurrentParent]]</f>
        <v>1</v>
      </c>
      <c r="K419" s="60" t="str">
        <f ca="1"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155</v>
      </c>
      <c r="R419" s="67" t="s">
        <v>549</v>
      </c>
      <c r="S419" s="60"/>
    </row>
    <row r="420" spans="1:19" hidden="1">
      <c r="A420" s="62" t="s">
        <v>1743</v>
      </c>
      <c r="B420" s="138" t="str">
        <f ca="1"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 ca="1">IF(Proc[[#This Row],[type]]="LFF (MDG-F)",MID(Proc[[#This Row],[Obj]],13,10),"")</f>
        <v>DE10505600</v>
      </c>
      <c r="J420" s="60" t="b">
        <f ca="1">Proc[[#This Row],[Requested]]=Proc[[#This Row],[CurrentParent]]</f>
        <v>1</v>
      </c>
      <c r="K420" s="60" t="str">
        <f ca="1"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155</v>
      </c>
      <c r="R420" s="67" t="s">
        <v>549</v>
      </c>
      <c r="S420" s="60"/>
    </row>
    <row r="421" spans="1:19" hidden="1">
      <c r="A421" s="62" t="s">
        <v>1743</v>
      </c>
      <c r="B421" s="138" t="str">
        <f ca="1"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 ca="1">IF(Proc[[#This Row],[type]]="LFF (MDG-F)",MID(Proc[[#This Row],[Obj]],13,10),"")</f>
        <v>DE20566500</v>
      </c>
      <c r="J421" s="60" t="b">
        <f ca="1">Proc[[#This Row],[Requested]]=Proc[[#This Row],[CurrentParent]]</f>
        <v>1</v>
      </c>
      <c r="K421" s="60" t="str">
        <f ca="1"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155</v>
      </c>
      <c r="R421" s="67" t="s">
        <v>549</v>
      </c>
      <c r="S421" s="94" t="e">
        <f ca="1">VLOOKUP(Proc[[#This Row],[Obj]],#REF!,2,0)</f>
        <v>#REF!</v>
      </c>
    </row>
    <row r="422" spans="1:19" hidden="1">
      <c r="A422" s="62" t="s">
        <v>1743</v>
      </c>
      <c r="B422" s="138" t="str">
        <f ca="1"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 ca="1">IF(Proc[[#This Row],[type]]="LFF (MDG-F)",MID(Proc[[#This Row],[Obj]],13,10),"")</f>
        <v>DE20625300</v>
      </c>
      <c r="J422" s="60" t="b">
        <f ca="1">Proc[[#This Row],[Requested]]=Proc[[#This Row],[CurrentParent]]</f>
        <v>1</v>
      </c>
      <c r="K422" s="60" t="str">
        <f ca="1"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155</v>
      </c>
      <c r="R422" s="67" t="s">
        <v>549</v>
      </c>
      <c r="S422" s="60"/>
    </row>
    <row r="423" spans="1:19" hidden="1">
      <c r="A423" s="62" t="s">
        <v>1743</v>
      </c>
      <c r="B423" s="138" t="str">
        <f ca="1"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 ca="1">IF(Proc[[#This Row],[type]]="LFF (MDG-F)",MID(Proc[[#This Row],[Obj]],13,10),"")</f>
        <v>DE20585300</v>
      </c>
      <c r="J423" s="60" t="b">
        <f ca="1">Proc[[#This Row],[Requested]]=Proc[[#This Row],[CurrentParent]]</f>
        <v>1</v>
      </c>
      <c r="K423" s="60" t="str">
        <f ca="1"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155</v>
      </c>
      <c r="R423" s="67" t="s">
        <v>549</v>
      </c>
      <c r="S423" s="60"/>
    </row>
    <row r="424" spans="1:19" hidden="1">
      <c r="A424" t="s">
        <v>1743</v>
      </c>
      <c r="B424" s="138" t="str">
        <f ca="1"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 ca="1">IF(Proc[[#This Row],[type]]="LFF (MDG-F)",MID(Proc[[#This Row],[Obj]],13,10),"")</f>
        <v>DE10649700</v>
      </c>
      <c r="J424" s="60" t="b">
        <f ca="1">Proc[[#This Row],[Requested]]=Proc[[#This Row],[CurrentParent]]</f>
        <v>1</v>
      </c>
      <c r="K424" s="60" t="str">
        <f ca="1"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155</v>
      </c>
      <c r="R424" s="67" t="s">
        <v>549</v>
      </c>
      <c r="S424" s="60"/>
    </row>
    <row r="425" spans="1:19" hidden="1">
      <c r="A425" t="s">
        <v>1743</v>
      </c>
      <c r="B425" s="138" t="str">
        <f ca="1"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 ca="1">IF(Proc[[#This Row],[type]]="LFF (MDG-F)",MID(Proc[[#This Row],[Obj]],13,10),"")</f>
        <v>DE10607900</v>
      </c>
      <c r="J425" s="60" t="b">
        <f ca="1">Proc[[#This Row],[Requested]]=Proc[[#This Row],[CurrentParent]]</f>
        <v>1</v>
      </c>
      <c r="K425" s="60" t="str">
        <f ca="1"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155</v>
      </c>
      <c r="R425" s="67" t="s">
        <v>549</v>
      </c>
      <c r="S425" s="60"/>
    </row>
    <row r="426" spans="1:19" hidden="1">
      <c r="A426" s="62" t="s">
        <v>1743</v>
      </c>
      <c r="B426" s="138" t="str">
        <f ca="1"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 ca="1">IF(Proc[[#This Row],[type]]="LFF (MDG-F)",MID(Proc[[#This Row],[Obj]],13,10),"")</f>
        <v>DE10517300</v>
      </c>
      <c r="J426" s="60" t="b">
        <f ca="1">Proc[[#This Row],[Requested]]=Proc[[#This Row],[CurrentParent]]</f>
        <v>1</v>
      </c>
      <c r="K426" s="60" t="str">
        <f ca="1"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155</v>
      </c>
      <c r="R426" s="67" t="s">
        <v>549</v>
      </c>
      <c r="S426" s="60"/>
    </row>
    <row r="427" spans="1:19" hidden="1">
      <c r="A427" s="62" t="s">
        <v>1743</v>
      </c>
      <c r="B427" s="138" t="str">
        <f ca="1"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 ca="1">IF(Proc[[#This Row],[type]]="LFF (MDG-F)",MID(Proc[[#This Row],[Obj]],13,10),"")</f>
        <v>DE20569511</v>
      </c>
      <c r="J427" s="60" t="b">
        <f ca="1">Proc[[#This Row],[Requested]]=Proc[[#This Row],[CurrentParent]]</f>
        <v>1</v>
      </c>
      <c r="K427" s="60" t="str">
        <f ca="1"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155</v>
      </c>
      <c r="R427" s="67" t="s">
        <v>549</v>
      </c>
      <c r="S427" s="60"/>
    </row>
    <row r="428" spans="1:19" hidden="1">
      <c r="A428" s="62" t="s">
        <v>1743</v>
      </c>
      <c r="B428" s="138" t="str">
        <f ca="1"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 ca="1">IF(Proc[[#This Row],[type]]="LFF (MDG-F)",MID(Proc[[#This Row],[Obj]],13,10),"")</f>
        <v>DE20675101</v>
      </c>
      <c r="J428" s="60" t="b">
        <f ca="1">Proc[[#This Row],[Requested]]=Proc[[#This Row],[CurrentParent]]</f>
        <v>1</v>
      </c>
      <c r="K428" s="60" t="str">
        <f ca="1"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155</v>
      </c>
      <c r="R428" s="67" t="s">
        <v>549</v>
      </c>
      <c r="S428" s="60"/>
    </row>
    <row r="429" spans="1:19" hidden="1">
      <c r="A429" t="s">
        <v>1809</v>
      </c>
      <c r="B429" s="138" t="str">
        <f ca="1"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 ca="1">IF(Proc[[#This Row],[type]]="LFF (MDG-F)",MID(Proc[[#This Row],[Obj]],13,10),"")</f>
        <v/>
      </c>
      <c r="J429" s="60" t="b">
        <f ca="1">Proc[[#This Row],[Requested]]=Proc[[#This Row],[CurrentParent]]</f>
        <v>1</v>
      </c>
      <c r="K429" s="60" t="str">
        <f ca="1"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154</v>
      </c>
      <c r="R429" s="67" t="s">
        <v>515</v>
      </c>
      <c r="S429" s="60"/>
    </row>
    <row r="430" spans="1:19" hidden="1">
      <c r="A430" s="62" t="s">
        <v>1809</v>
      </c>
      <c r="B430" s="138" t="str">
        <f ca="1"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 ca="1">IF(Proc[[#This Row],[type]]="LFF (MDG-F)",MID(Proc[[#This Row],[Obj]],13,10),"")</f>
        <v/>
      </c>
      <c r="J430" s="60" t="b">
        <f ca="1">Proc[[#This Row],[Requested]]=Proc[[#This Row],[CurrentParent]]</f>
        <v>1</v>
      </c>
      <c r="K430" s="60" t="str">
        <f ca="1"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154</v>
      </c>
      <c r="R430" s="67" t="s">
        <v>515</v>
      </c>
      <c r="S430" s="60"/>
    </row>
    <row r="431" spans="1:19" hidden="1">
      <c r="A431" s="62" t="s">
        <v>1809</v>
      </c>
      <c r="B431" s="138" t="str">
        <f ca="1"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 ca="1">IF(Proc[[#This Row],[type]]="LFF (MDG-F)",MID(Proc[[#This Row],[Obj]],13,10),"")</f>
        <v/>
      </c>
      <c r="J431" s="60" t="b">
        <f ca="1">Proc[[#This Row],[Requested]]=Proc[[#This Row],[CurrentParent]]</f>
        <v>1</v>
      </c>
      <c r="K431" s="60" t="str">
        <f ca="1"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154</v>
      </c>
      <c r="R431" s="67" t="s">
        <v>515</v>
      </c>
      <c r="S431" s="60"/>
    </row>
    <row r="432" spans="1:19" hidden="1">
      <c r="A432" s="62" t="s">
        <v>1751</v>
      </c>
      <c r="B432" s="138" t="str">
        <f ca="1"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 ca="1">IF(Proc[[#This Row],[type]]="LFF (MDG-F)",MID(Proc[[#This Row],[Obj]],13,10),"")</f>
        <v/>
      </c>
      <c r="J432" s="60" t="b">
        <f ca="1">Proc[[#This Row],[Requested]]=Proc[[#This Row],[CurrentParent]]</f>
        <v>1</v>
      </c>
      <c r="K432" s="60" t="str">
        <f ca="1"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154</v>
      </c>
      <c r="R432" s="67" t="s">
        <v>830</v>
      </c>
      <c r="S432" s="60"/>
    </row>
    <row r="433" spans="1:19" hidden="1">
      <c r="A433" s="62" t="s">
        <v>1751</v>
      </c>
      <c r="B433" s="138" t="str">
        <f ca="1"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 ca="1">IF(Proc[[#This Row],[type]]="LFF (MDG-F)",MID(Proc[[#This Row],[Obj]],13,10),"")</f>
        <v/>
      </c>
      <c r="J433" s="60" t="b">
        <f ca="1">Proc[[#This Row],[Requested]]=Proc[[#This Row],[CurrentParent]]</f>
        <v>1</v>
      </c>
      <c r="K433" s="60" t="str">
        <f ca="1"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154</v>
      </c>
      <c r="R433" s="67" t="s">
        <v>830</v>
      </c>
      <c r="S433" s="60"/>
    </row>
    <row r="434" spans="1:19" hidden="1">
      <c r="A434" s="62" t="s">
        <v>1751</v>
      </c>
      <c r="B434" s="138" t="str">
        <f ca="1"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 ca="1">IF(Proc[[#This Row],[type]]="LFF (MDG-F)",MID(Proc[[#This Row],[Obj]],13,10),"")</f>
        <v/>
      </c>
      <c r="J434" s="60" t="b">
        <f ca="1">Proc[[#This Row],[Requested]]=Proc[[#This Row],[CurrentParent]]</f>
        <v>1</v>
      </c>
      <c r="K434" s="60" t="str">
        <f ca="1"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154</v>
      </c>
      <c r="R434" s="67" t="s">
        <v>830</v>
      </c>
      <c r="S434" s="60"/>
    </row>
    <row r="435" spans="1:19" hidden="1">
      <c r="A435" s="62" t="s">
        <v>1751</v>
      </c>
      <c r="B435" s="138" t="str">
        <f ca="1"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 ca="1">IF(Proc[[#This Row],[type]]="LFF (MDG-F)",MID(Proc[[#This Row],[Obj]],13,10),"")</f>
        <v/>
      </c>
      <c r="J435" s="60" t="b">
        <f ca="1">Proc[[#This Row],[Requested]]=Proc[[#This Row],[CurrentParent]]</f>
        <v>1</v>
      </c>
      <c r="K435" s="60" t="str">
        <f ca="1"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154</v>
      </c>
      <c r="R435" s="67" t="s">
        <v>830</v>
      </c>
      <c r="S435" s="60"/>
    </row>
    <row r="436" spans="1:19" hidden="1">
      <c r="A436" s="62" t="s">
        <v>1751</v>
      </c>
      <c r="B436" s="138" t="str">
        <f ca="1"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 ca="1">IF(Proc[[#This Row],[type]]="LFF (MDG-F)",MID(Proc[[#This Row],[Obj]],13,10),"")</f>
        <v/>
      </c>
      <c r="J436" s="60" t="b">
        <f ca="1">Proc[[#This Row],[Requested]]=Proc[[#This Row],[CurrentParent]]</f>
        <v>1</v>
      </c>
      <c r="K436" s="60" t="str">
        <f ca="1"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154</v>
      </c>
      <c r="R436" s="67" t="s">
        <v>830</v>
      </c>
      <c r="S436" s="60"/>
    </row>
    <row r="437" spans="1:19" hidden="1">
      <c r="A437" s="62" t="s">
        <v>1751</v>
      </c>
      <c r="B437" s="138" t="str">
        <f ca="1"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 ca="1">IF(Proc[[#This Row],[type]]="LFF (MDG-F)",MID(Proc[[#This Row],[Obj]],13,10),"")</f>
        <v/>
      </c>
      <c r="J437" s="60" t="b">
        <f ca="1">Proc[[#This Row],[Requested]]=Proc[[#This Row],[CurrentParent]]</f>
        <v>1</v>
      </c>
      <c r="K437" s="60" t="str">
        <f ca="1"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154</v>
      </c>
      <c r="R437" s="67" t="s">
        <v>830</v>
      </c>
      <c r="S437" s="60"/>
    </row>
    <row r="438" spans="1:19" hidden="1">
      <c r="A438" s="62" t="s">
        <v>1751</v>
      </c>
      <c r="B438" s="138" t="str">
        <f ca="1"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 ca="1">IF(Proc[[#This Row],[type]]="LFF (MDG-F)",MID(Proc[[#This Row],[Obj]],13,10),"")</f>
        <v/>
      </c>
      <c r="J438" s="60" t="b">
        <f ca="1">Proc[[#This Row],[Requested]]=Proc[[#This Row],[CurrentParent]]</f>
        <v>1</v>
      </c>
      <c r="K438" s="60" t="str">
        <f ca="1"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154</v>
      </c>
      <c r="R438" s="67" t="s">
        <v>830</v>
      </c>
      <c r="S438" s="60"/>
    </row>
    <row r="439" spans="1:19" hidden="1">
      <c r="A439" s="62" t="s">
        <v>1751</v>
      </c>
      <c r="B439" s="138" t="str">
        <f ca="1"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 ca="1">IF(Proc[[#This Row],[type]]="LFF (MDG-F)",MID(Proc[[#This Row],[Obj]],13,10),"")</f>
        <v/>
      </c>
      <c r="J439" s="60" t="b">
        <f ca="1">Proc[[#This Row],[Requested]]=Proc[[#This Row],[CurrentParent]]</f>
        <v>1</v>
      </c>
      <c r="K439" s="60" t="str">
        <f ca="1"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154</v>
      </c>
      <c r="R439" s="67" t="s">
        <v>830</v>
      </c>
      <c r="S439" s="60"/>
    </row>
    <row r="440" spans="1:19" hidden="1">
      <c r="A440" s="62" t="s">
        <v>1751</v>
      </c>
      <c r="B440" s="138" t="str">
        <f ca="1"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 ca="1">IF(Proc[[#This Row],[type]]="LFF (MDG-F)",MID(Proc[[#This Row],[Obj]],13,10),"")</f>
        <v/>
      </c>
      <c r="J440" s="60" t="b">
        <f ca="1">Proc[[#This Row],[Requested]]=Proc[[#This Row],[CurrentParent]]</f>
        <v>1</v>
      </c>
      <c r="K440" s="60" t="str">
        <f ca="1"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154</v>
      </c>
      <c r="R440" s="67" t="s">
        <v>830</v>
      </c>
      <c r="S440" s="60"/>
    </row>
    <row r="441" spans="1:19" hidden="1">
      <c r="A441" s="62" t="s">
        <v>1751</v>
      </c>
      <c r="B441" s="138" t="str">
        <f ca="1"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 ca="1">IF(Proc[[#This Row],[type]]="LFF (MDG-F)",MID(Proc[[#This Row],[Obj]],13,10),"")</f>
        <v/>
      </c>
      <c r="J441" s="60" t="b">
        <f ca="1">Proc[[#This Row],[Requested]]=Proc[[#This Row],[CurrentParent]]</f>
        <v>1</v>
      </c>
      <c r="K441" s="60" t="str">
        <f ca="1"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154</v>
      </c>
      <c r="R441" s="67" t="s">
        <v>830</v>
      </c>
      <c r="S441" s="60"/>
    </row>
    <row r="442" spans="1:19" hidden="1">
      <c r="A442" s="62" t="s">
        <v>1751</v>
      </c>
      <c r="B442" s="138" t="str">
        <f ca="1"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 ca="1">IF(Proc[[#This Row],[type]]="LFF (MDG-F)",MID(Proc[[#This Row],[Obj]],13,10),"")</f>
        <v/>
      </c>
      <c r="J442" s="60" t="b">
        <f ca="1">Proc[[#This Row],[Requested]]=Proc[[#This Row],[CurrentParent]]</f>
        <v>1</v>
      </c>
      <c r="K442" s="60" t="str">
        <f ca="1"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154</v>
      </c>
      <c r="R442" s="67" t="s">
        <v>830</v>
      </c>
      <c r="S442" s="60"/>
    </row>
    <row r="443" spans="1:19" hidden="1">
      <c r="A443" s="62" t="s">
        <v>1751</v>
      </c>
      <c r="B443" s="138" t="str">
        <f ca="1"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 ca="1">IF(Proc[[#This Row],[type]]="LFF (MDG-F)",MID(Proc[[#This Row],[Obj]],13,10),"")</f>
        <v/>
      </c>
      <c r="J443" s="60" t="b">
        <f ca="1">Proc[[#This Row],[Requested]]=Proc[[#This Row],[CurrentParent]]</f>
        <v>1</v>
      </c>
      <c r="K443" s="60" t="str">
        <f ca="1"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154</v>
      </c>
      <c r="R443" s="67" t="s">
        <v>830</v>
      </c>
      <c r="S443" s="60"/>
    </row>
    <row r="444" spans="1:19" hidden="1">
      <c r="A444" s="62" t="s">
        <v>1751</v>
      </c>
      <c r="B444" s="138" t="str">
        <f ca="1"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 ca="1">IF(Proc[[#This Row],[type]]="LFF (MDG-F)",MID(Proc[[#This Row],[Obj]],13,10),"")</f>
        <v/>
      </c>
      <c r="J444" s="60" t="b">
        <f ca="1">Proc[[#This Row],[Requested]]=Proc[[#This Row],[CurrentParent]]</f>
        <v>1</v>
      </c>
      <c r="K444" s="60" t="str">
        <f ca="1"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154</v>
      </c>
      <c r="R444" s="67" t="s">
        <v>830</v>
      </c>
      <c r="S444" s="60"/>
    </row>
    <row r="445" spans="1:19" hidden="1">
      <c r="A445" s="62" t="s">
        <v>1751</v>
      </c>
      <c r="B445" s="138" t="str">
        <f ca="1"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 ca="1">IF(Proc[[#This Row],[type]]="LFF (MDG-F)",MID(Proc[[#This Row],[Obj]],13,10),"")</f>
        <v/>
      </c>
      <c r="J445" s="60" t="b">
        <f ca="1">Proc[[#This Row],[Requested]]=Proc[[#This Row],[CurrentParent]]</f>
        <v>1</v>
      </c>
      <c r="K445" s="60" t="str">
        <f ca="1"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154</v>
      </c>
      <c r="R445" s="67" t="s">
        <v>830</v>
      </c>
      <c r="S445" s="60"/>
    </row>
    <row r="446" spans="1:19" hidden="1">
      <c r="A446" s="62" t="s">
        <v>1751</v>
      </c>
      <c r="B446" s="138" t="str">
        <f ca="1"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 ca="1">IF(Proc[[#This Row],[type]]="LFF (MDG-F)",MID(Proc[[#This Row],[Obj]],13,10),"")</f>
        <v/>
      </c>
      <c r="J446" s="60" t="b">
        <f ca="1">Proc[[#This Row],[Requested]]=Proc[[#This Row],[CurrentParent]]</f>
        <v>1</v>
      </c>
      <c r="K446" s="60" t="str">
        <f ca="1"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154</v>
      </c>
      <c r="R446" s="67" t="s">
        <v>830</v>
      </c>
      <c r="S446" s="60"/>
    </row>
    <row r="447" spans="1:19" hidden="1">
      <c r="A447" s="62" t="s">
        <v>1751</v>
      </c>
      <c r="B447" s="138" t="str">
        <f ca="1"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 ca="1">IF(Proc[[#This Row],[type]]="LFF (MDG-F)",MID(Proc[[#This Row],[Obj]],13,10),"")</f>
        <v/>
      </c>
      <c r="J447" s="60" t="b">
        <f ca="1">Proc[[#This Row],[Requested]]=Proc[[#This Row],[CurrentParent]]</f>
        <v>1</v>
      </c>
      <c r="K447" s="60" t="str">
        <f ca="1"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154</v>
      </c>
      <c r="R447" s="67" t="s">
        <v>830</v>
      </c>
      <c r="S447" s="60"/>
    </row>
    <row r="448" spans="1:19" hidden="1">
      <c r="A448" s="62" t="s">
        <v>1751</v>
      </c>
      <c r="B448" s="138" t="str">
        <f ca="1"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 ca="1">IF(Proc[[#This Row],[type]]="LFF (MDG-F)",MID(Proc[[#This Row],[Obj]],13,10),"")</f>
        <v/>
      </c>
      <c r="J448" s="60" t="b">
        <f ca="1">Proc[[#This Row],[Requested]]=Proc[[#This Row],[CurrentParent]]</f>
        <v>1</v>
      </c>
      <c r="K448" s="60" t="str">
        <f ca="1"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154</v>
      </c>
      <c r="R448" s="67" t="s">
        <v>830</v>
      </c>
      <c r="S448" s="60"/>
    </row>
    <row r="449" spans="1:19" hidden="1">
      <c r="A449" s="62" t="s">
        <v>1751</v>
      </c>
      <c r="B449" s="138" t="str">
        <f ca="1"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 ca="1">IF(Proc[[#This Row],[type]]="LFF (MDG-F)",MID(Proc[[#This Row],[Obj]],13,10),"")</f>
        <v/>
      </c>
      <c r="J449" s="60" t="b">
        <f ca="1">Proc[[#This Row],[Requested]]=Proc[[#This Row],[CurrentParent]]</f>
        <v>1</v>
      </c>
      <c r="K449" s="60" t="str">
        <f ca="1"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154</v>
      </c>
      <c r="R449" s="67" t="s">
        <v>830</v>
      </c>
      <c r="S449" s="60"/>
    </row>
    <row r="450" spans="1:19" hidden="1">
      <c r="A450" s="62" t="s">
        <v>1751</v>
      </c>
      <c r="B450" s="138" t="str">
        <f ca="1"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 ca="1">IF(Proc[[#This Row],[type]]="LFF (MDG-F)",MID(Proc[[#This Row],[Obj]],13,10),"")</f>
        <v/>
      </c>
      <c r="J450" s="60" t="b">
        <f ca="1">Proc[[#This Row],[Requested]]=Proc[[#This Row],[CurrentParent]]</f>
        <v>1</v>
      </c>
      <c r="K450" s="60" t="str">
        <f ca="1"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154</v>
      </c>
      <c r="R450" s="67" t="s">
        <v>830</v>
      </c>
      <c r="S450" s="60"/>
    </row>
    <row r="451" spans="1:19" hidden="1">
      <c r="A451" s="62" t="s">
        <v>1751</v>
      </c>
      <c r="B451" s="138" t="str">
        <f ca="1"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 ca="1">IF(Proc[[#This Row],[type]]="LFF (MDG-F)",MID(Proc[[#This Row],[Obj]],13,10),"")</f>
        <v/>
      </c>
      <c r="J451" s="60" t="b">
        <f ca="1">Proc[[#This Row],[Requested]]=Proc[[#This Row],[CurrentParent]]</f>
        <v>1</v>
      </c>
      <c r="K451" s="60" t="str">
        <f ca="1"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154</v>
      </c>
      <c r="R451" s="67" t="s">
        <v>830</v>
      </c>
      <c r="S451" s="60"/>
    </row>
    <row r="452" spans="1:19" hidden="1">
      <c r="A452" s="62" t="s">
        <v>1751</v>
      </c>
      <c r="B452" s="138" t="str">
        <f ca="1"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 ca="1">IF(Proc[[#This Row],[type]]="LFF (MDG-F)",MID(Proc[[#This Row],[Obj]],13,10),"")</f>
        <v/>
      </c>
      <c r="J452" s="60" t="b">
        <f ca="1">Proc[[#This Row],[Requested]]=Proc[[#This Row],[CurrentParent]]</f>
        <v>1</v>
      </c>
      <c r="K452" s="60" t="str">
        <f ca="1"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154</v>
      </c>
      <c r="R452" s="67" t="s">
        <v>830</v>
      </c>
      <c r="S452" s="60"/>
    </row>
    <row r="453" spans="1:19" hidden="1">
      <c r="A453" s="62" t="s">
        <v>1751</v>
      </c>
      <c r="B453" s="138" t="str">
        <f ca="1"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 ca="1">IF(Proc[[#This Row],[type]]="LFF (MDG-F)",MID(Proc[[#This Row],[Obj]],13,10),"")</f>
        <v/>
      </c>
      <c r="J453" s="60" t="b">
        <f ca="1">Proc[[#This Row],[Requested]]=Proc[[#This Row],[CurrentParent]]</f>
        <v>1</v>
      </c>
      <c r="K453" s="60" t="str">
        <f ca="1"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154</v>
      </c>
      <c r="R453" s="67" t="s">
        <v>830</v>
      </c>
      <c r="S453" s="60"/>
    </row>
    <row r="454" spans="1:19" hidden="1">
      <c r="A454" s="62" t="s">
        <v>1751</v>
      </c>
      <c r="B454" s="138" t="str">
        <f ca="1"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 ca="1">IF(Proc[[#This Row],[type]]="LFF (MDG-F)",MID(Proc[[#This Row],[Obj]],13,10),"")</f>
        <v/>
      </c>
      <c r="J454" s="60" t="b">
        <f ca="1">Proc[[#This Row],[Requested]]=Proc[[#This Row],[CurrentParent]]</f>
        <v>1</v>
      </c>
      <c r="K454" s="60" t="str">
        <f ca="1"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154</v>
      </c>
      <c r="R454" s="67" t="s">
        <v>830</v>
      </c>
      <c r="S454" s="60"/>
    </row>
    <row r="455" spans="1:19" hidden="1">
      <c r="A455" s="62" t="s">
        <v>1751</v>
      </c>
      <c r="B455" s="138" t="str">
        <f ca="1"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 ca="1">IF(Proc[[#This Row],[type]]="LFF (MDG-F)",MID(Proc[[#This Row],[Obj]],13,10),"")</f>
        <v/>
      </c>
      <c r="J455" s="60" t="b">
        <f ca="1">Proc[[#This Row],[Requested]]=Proc[[#This Row],[CurrentParent]]</f>
        <v>1</v>
      </c>
      <c r="K455" s="60" t="str">
        <f ca="1"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154</v>
      </c>
      <c r="R455" s="67" t="s">
        <v>830</v>
      </c>
      <c r="S455" s="60"/>
    </row>
    <row r="456" spans="1:19" hidden="1">
      <c r="A456" s="62" t="s">
        <v>1751</v>
      </c>
      <c r="B456" s="138" t="str">
        <f ca="1"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 ca="1">IF(Proc[[#This Row],[type]]="LFF (MDG-F)",MID(Proc[[#This Row],[Obj]],13,10),"")</f>
        <v/>
      </c>
      <c r="J456" s="60" t="b">
        <f ca="1">Proc[[#This Row],[Requested]]=Proc[[#This Row],[CurrentParent]]</f>
        <v>1</v>
      </c>
      <c r="K456" s="60" t="str">
        <f ca="1"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154</v>
      </c>
      <c r="R456" s="67" t="s">
        <v>830</v>
      </c>
      <c r="S456" s="60"/>
    </row>
    <row r="457" spans="1:19" hidden="1">
      <c r="A457" s="62" t="s">
        <v>1751</v>
      </c>
      <c r="B457" s="138" t="str">
        <f ca="1"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 ca="1">IF(Proc[[#This Row],[type]]="LFF (MDG-F)",MID(Proc[[#This Row],[Obj]],13,10),"")</f>
        <v/>
      </c>
      <c r="J457" s="60" t="b">
        <f ca="1">Proc[[#This Row],[Requested]]=Proc[[#This Row],[CurrentParent]]</f>
        <v>1</v>
      </c>
      <c r="K457" s="60" t="str">
        <f ca="1"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154</v>
      </c>
      <c r="R457" s="67" t="s">
        <v>830</v>
      </c>
      <c r="S457" s="60"/>
    </row>
    <row r="458" spans="1:19" hidden="1">
      <c r="A458" s="62" t="s">
        <v>1751</v>
      </c>
      <c r="B458" s="138" t="str">
        <f ca="1"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 ca="1">IF(Proc[[#This Row],[type]]="LFF (MDG-F)",MID(Proc[[#This Row],[Obj]],13,10),"")</f>
        <v/>
      </c>
      <c r="J458" s="60" t="b">
        <f ca="1">Proc[[#This Row],[Requested]]=Proc[[#This Row],[CurrentParent]]</f>
        <v>1</v>
      </c>
      <c r="K458" s="60" t="str">
        <f ca="1"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154</v>
      </c>
      <c r="R458" s="67" t="s">
        <v>830</v>
      </c>
      <c r="S458" s="60"/>
    </row>
    <row r="459" spans="1:19" hidden="1">
      <c r="A459" s="62" t="s">
        <v>1751</v>
      </c>
      <c r="B459" s="138" t="str">
        <f ca="1"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 ca="1">IF(Proc[[#This Row],[type]]="LFF (MDG-F)",MID(Proc[[#This Row],[Obj]],13,10),"")</f>
        <v/>
      </c>
      <c r="J459" s="60" t="b">
        <f ca="1">Proc[[#This Row],[Requested]]=Proc[[#This Row],[CurrentParent]]</f>
        <v>1</v>
      </c>
      <c r="K459" s="60" t="str">
        <f ca="1"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154</v>
      </c>
      <c r="R459" s="67" t="s">
        <v>830</v>
      </c>
      <c r="S459" s="60"/>
    </row>
    <row r="460" spans="1:19" hidden="1">
      <c r="A460" s="62" t="s">
        <v>1751</v>
      </c>
      <c r="B460" s="138" t="str">
        <f ca="1"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 ca="1">IF(Proc[[#This Row],[type]]="LFF (MDG-F)",MID(Proc[[#This Row],[Obj]],13,10),"")</f>
        <v/>
      </c>
      <c r="J460" s="60" t="b">
        <f ca="1">Proc[[#This Row],[Requested]]=Proc[[#This Row],[CurrentParent]]</f>
        <v>1</v>
      </c>
      <c r="K460" s="60" t="str">
        <f ca="1"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154</v>
      </c>
      <c r="R460" s="67" t="s">
        <v>830</v>
      </c>
      <c r="S460" s="60"/>
    </row>
    <row r="461" spans="1:19" hidden="1">
      <c r="A461" s="62" t="s">
        <v>1751</v>
      </c>
      <c r="B461" s="138" t="str">
        <f ca="1"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 ca="1">IF(Proc[[#This Row],[type]]="LFF (MDG-F)",MID(Proc[[#This Row],[Obj]],13,10),"")</f>
        <v/>
      </c>
      <c r="J461" s="60" t="b">
        <f ca="1">Proc[[#This Row],[Requested]]=Proc[[#This Row],[CurrentParent]]</f>
        <v>1</v>
      </c>
      <c r="K461" s="60" t="str">
        <f ca="1"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154</v>
      </c>
      <c r="R461" s="67" t="s">
        <v>830</v>
      </c>
      <c r="S461" s="60"/>
    </row>
    <row r="462" spans="1:19" hidden="1">
      <c r="A462" s="62" t="s">
        <v>1751</v>
      </c>
      <c r="B462" s="138" t="str">
        <f ca="1"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 ca="1">IF(Proc[[#This Row],[type]]="LFF (MDG-F)",MID(Proc[[#This Row],[Obj]],13,10),"")</f>
        <v/>
      </c>
      <c r="J462" s="60" t="b">
        <f ca="1">Proc[[#This Row],[Requested]]=Proc[[#This Row],[CurrentParent]]</f>
        <v>1</v>
      </c>
      <c r="K462" s="60" t="str">
        <f ca="1"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154</v>
      </c>
      <c r="R462" s="67" t="s">
        <v>830</v>
      </c>
      <c r="S462" s="60"/>
    </row>
    <row r="463" spans="1:19" hidden="1">
      <c r="A463" s="62" t="s">
        <v>1751</v>
      </c>
      <c r="B463" s="138" t="str">
        <f ca="1"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 ca="1">IF(Proc[[#This Row],[type]]="LFF (MDG-F)",MID(Proc[[#This Row],[Obj]],13,10),"")</f>
        <v/>
      </c>
      <c r="J463" s="60" t="b">
        <f ca="1">Proc[[#This Row],[Requested]]=Proc[[#This Row],[CurrentParent]]</f>
        <v>1</v>
      </c>
      <c r="K463" s="60" t="str">
        <f ca="1"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154</v>
      </c>
      <c r="R463" s="67" t="s">
        <v>830</v>
      </c>
      <c r="S463" s="60"/>
    </row>
    <row r="464" spans="1:19" hidden="1">
      <c r="A464" s="62" t="s">
        <v>1751</v>
      </c>
      <c r="B464" s="138" t="str">
        <f ca="1"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 ca="1">IF(Proc[[#This Row],[type]]="LFF (MDG-F)",MID(Proc[[#This Row],[Obj]],13,10),"")</f>
        <v/>
      </c>
      <c r="J464" s="60" t="b">
        <f ca="1">Proc[[#This Row],[Requested]]=Proc[[#This Row],[CurrentParent]]</f>
        <v>1</v>
      </c>
      <c r="K464" s="60" t="str">
        <f ca="1"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154</v>
      </c>
      <c r="R464" s="67" t="s">
        <v>830</v>
      </c>
      <c r="S464" s="60"/>
    </row>
    <row r="465" spans="1:19" hidden="1">
      <c r="A465" s="62" t="s">
        <v>1751</v>
      </c>
      <c r="B465" s="138" t="str">
        <f ca="1"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 ca="1">IF(Proc[[#This Row],[type]]="LFF (MDG-F)",MID(Proc[[#This Row],[Obj]],13,10),"")</f>
        <v/>
      </c>
      <c r="J465" s="60" t="b">
        <f ca="1">Proc[[#This Row],[Requested]]=Proc[[#This Row],[CurrentParent]]</f>
        <v>1</v>
      </c>
      <c r="K465" s="60" t="str">
        <f ca="1"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154</v>
      </c>
      <c r="R465" s="67" t="s">
        <v>830</v>
      </c>
      <c r="S465" s="60"/>
    </row>
    <row r="466" spans="1:19" hidden="1">
      <c r="A466" s="62" t="s">
        <v>1751</v>
      </c>
      <c r="B466" s="138" t="str">
        <f ca="1"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 ca="1">IF(Proc[[#This Row],[type]]="LFF (MDG-F)",MID(Proc[[#This Row],[Obj]],13,10),"")</f>
        <v/>
      </c>
      <c r="J466" s="60" t="b">
        <f ca="1">Proc[[#This Row],[Requested]]=Proc[[#This Row],[CurrentParent]]</f>
        <v>1</v>
      </c>
      <c r="K466" s="60" t="str">
        <f ca="1"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154</v>
      </c>
      <c r="R466" s="67" t="s">
        <v>830</v>
      </c>
      <c r="S466" s="60"/>
    </row>
    <row r="467" spans="1:19" hidden="1">
      <c r="A467" s="62" t="s">
        <v>1751</v>
      </c>
      <c r="B467" s="138" t="str">
        <f ca="1"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 ca="1">IF(Proc[[#This Row],[type]]="LFF (MDG-F)",MID(Proc[[#This Row],[Obj]],13,10),"")</f>
        <v/>
      </c>
      <c r="J467" s="60" t="b">
        <f ca="1">Proc[[#This Row],[Requested]]=Proc[[#This Row],[CurrentParent]]</f>
        <v>1</v>
      </c>
      <c r="K467" s="60" t="str">
        <f ca="1"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154</v>
      </c>
      <c r="R467" s="67" t="s">
        <v>830</v>
      </c>
      <c r="S467" s="60"/>
    </row>
    <row r="468" spans="1:19" hidden="1">
      <c r="A468" s="62" t="s">
        <v>1751</v>
      </c>
      <c r="B468" s="138" t="str">
        <f ca="1"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 ca="1">IF(Proc[[#This Row],[type]]="LFF (MDG-F)",MID(Proc[[#This Row],[Obj]],13,10),"")</f>
        <v/>
      </c>
      <c r="J468" s="60" t="b">
        <f ca="1">Proc[[#This Row],[Requested]]=Proc[[#This Row],[CurrentParent]]</f>
        <v>1</v>
      </c>
      <c r="K468" s="60" t="str">
        <f ca="1"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154</v>
      </c>
      <c r="R468" s="67" t="s">
        <v>830</v>
      </c>
      <c r="S468" s="60"/>
    </row>
    <row r="469" spans="1:19" hidden="1">
      <c r="A469" s="62" t="s">
        <v>1751</v>
      </c>
      <c r="B469" s="138" t="str">
        <f ca="1"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 ca="1">IF(Proc[[#This Row],[type]]="LFF (MDG-F)",MID(Proc[[#This Row],[Obj]],13,10),"")</f>
        <v/>
      </c>
      <c r="J469" s="60" t="b">
        <f ca="1">Proc[[#This Row],[Requested]]=Proc[[#This Row],[CurrentParent]]</f>
        <v>1</v>
      </c>
      <c r="K469" s="60" t="str">
        <f ca="1"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154</v>
      </c>
      <c r="R469" s="67" t="s">
        <v>830</v>
      </c>
      <c r="S469" s="60"/>
    </row>
    <row r="470" spans="1:19" hidden="1">
      <c r="A470" s="62" t="s">
        <v>1751</v>
      </c>
      <c r="B470" s="138" t="str">
        <f ca="1"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 ca="1">IF(Proc[[#This Row],[type]]="LFF (MDG-F)",MID(Proc[[#This Row],[Obj]],13,10),"")</f>
        <v/>
      </c>
      <c r="J470" s="60" t="b">
        <f ca="1">Proc[[#This Row],[Requested]]=Proc[[#This Row],[CurrentParent]]</f>
        <v>1</v>
      </c>
      <c r="K470" s="60" t="str">
        <f ca="1"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154</v>
      </c>
      <c r="R470" s="67" t="s">
        <v>830</v>
      </c>
      <c r="S470" s="60"/>
    </row>
    <row r="471" spans="1:19" hidden="1">
      <c r="A471" s="62" t="s">
        <v>1751</v>
      </c>
      <c r="B471" s="138" t="str">
        <f ca="1"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 ca="1">IF(Proc[[#This Row],[type]]="LFF (MDG-F)",MID(Proc[[#This Row],[Obj]],13,10),"")</f>
        <v/>
      </c>
      <c r="J471" s="60" t="b">
        <f ca="1">Proc[[#This Row],[Requested]]=Proc[[#This Row],[CurrentParent]]</f>
        <v>1</v>
      </c>
      <c r="K471" s="60" t="str">
        <f ca="1"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154</v>
      </c>
      <c r="R471" s="67" t="s">
        <v>830</v>
      </c>
      <c r="S471" s="60"/>
    </row>
    <row r="472" spans="1:19" hidden="1">
      <c r="A472" s="62" t="s">
        <v>1751</v>
      </c>
      <c r="B472" s="138" t="str">
        <f ca="1"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 ca="1">IF(Proc[[#This Row],[type]]="LFF (MDG-F)",MID(Proc[[#This Row],[Obj]],13,10),"")</f>
        <v/>
      </c>
      <c r="J472" s="60" t="b">
        <f ca="1">Proc[[#This Row],[Requested]]=Proc[[#This Row],[CurrentParent]]</f>
        <v>1</v>
      </c>
      <c r="K472" s="60" t="str">
        <f ca="1"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154</v>
      </c>
      <c r="R472" s="67" t="s">
        <v>830</v>
      </c>
      <c r="S472" s="60"/>
    </row>
    <row r="473" spans="1:19" hidden="1">
      <c r="A473" s="62" t="s">
        <v>1751</v>
      </c>
      <c r="B473" s="138" t="str">
        <f ca="1"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 ca="1">IF(Proc[[#This Row],[type]]="LFF (MDG-F)",MID(Proc[[#This Row],[Obj]],13,10),"")</f>
        <v/>
      </c>
      <c r="J473" s="60" t="b">
        <f ca="1">Proc[[#This Row],[Requested]]=Proc[[#This Row],[CurrentParent]]</f>
        <v>1</v>
      </c>
      <c r="K473" s="60" t="str">
        <f ca="1"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154</v>
      </c>
      <c r="R473" s="67" t="s">
        <v>830</v>
      </c>
      <c r="S473" s="60"/>
    </row>
    <row r="474" spans="1:19" hidden="1">
      <c r="A474" s="62" t="s">
        <v>1751</v>
      </c>
      <c r="B474" s="138" t="str">
        <f ca="1"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 ca="1">IF(Proc[[#This Row],[type]]="LFF (MDG-F)",MID(Proc[[#This Row],[Obj]],13,10),"")</f>
        <v/>
      </c>
      <c r="J474" s="60" t="b">
        <f ca="1">Proc[[#This Row],[Requested]]=Proc[[#This Row],[CurrentParent]]</f>
        <v>1</v>
      </c>
      <c r="K474" s="60" t="str">
        <f ca="1"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154</v>
      </c>
      <c r="R474" s="67" t="s">
        <v>830</v>
      </c>
      <c r="S474" s="60"/>
    </row>
    <row r="475" spans="1:19" hidden="1">
      <c r="A475" s="62" t="s">
        <v>1751</v>
      </c>
      <c r="B475" s="138" t="str">
        <f ca="1"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 ca="1">IF(Proc[[#This Row],[type]]="LFF (MDG-F)",MID(Proc[[#This Row],[Obj]],13,10),"")</f>
        <v/>
      </c>
      <c r="J475" s="60" t="b">
        <f ca="1">Proc[[#This Row],[Requested]]=Proc[[#This Row],[CurrentParent]]</f>
        <v>1</v>
      </c>
      <c r="K475" s="60" t="str">
        <f ca="1"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154</v>
      </c>
      <c r="R475" s="67" t="s">
        <v>830</v>
      </c>
      <c r="S475" s="60"/>
    </row>
    <row r="476" spans="1:19" hidden="1">
      <c r="A476" s="62" t="s">
        <v>1751</v>
      </c>
      <c r="B476" s="138" t="str">
        <f ca="1"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 ca="1">IF(Proc[[#This Row],[type]]="LFF (MDG-F)",MID(Proc[[#This Row],[Obj]],13,10),"")</f>
        <v/>
      </c>
      <c r="J476" s="60" t="b">
        <f ca="1">Proc[[#This Row],[Requested]]=Proc[[#This Row],[CurrentParent]]</f>
        <v>1</v>
      </c>
      <c r="K476" s="60" t="str">
        <f ca="1"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154</v>
      </c>
      <c r="R476" s="67" t="s">
        <v>830</v>
      </c>
      <c r="S476" s="60"/>
    </row>
    <row r="477" spans="1:19" hidden="1">
      <c r="A477" s="62" t="s">
        <v>1751</v>
      </c>
      <c r="B477" s="138" t="str">
        <f ca="1"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 ca="1">IF(Proc[[#This Row],[type]]="LFF (MDG-F)",MID(Proc[[#This Row],[Obj]],13,10),"")</f>
        <v/>
      </c>
      <c r="J477" s="60" t="b">
        <f ca="1">Proc[[#This Row],[Requested]]=Proc[[#This Row],[CurrentParent]]</f>
        <v>1</v>
      </c>
      <c r="K477" s="60" t="str">
        <f ca="1"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154</v>
      </c>
      <c r="R477" s="67" t="s">
        <v>830</v>
      </c>
      <c r="S477" s="60"/>
    </row>
    <row r="478" spans="1:19" hidden="1">
      <c r="A478" s="62" t="s">
        <v>1751</v>
      </c>
      <c r="B478" s="138" t="str">
        <f ca="1"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 ca="1">IF(Proc[[#This Row],[type]]="LFF (MDG-F)",MID(Proc[[#This Row],[Obj]],13,10),"")</f>
        <v/>
      </c>
      <c r="J478" s="60" t="b">
        <f ca="1">Proc[[#This Row],[Requested]]=Proc[[#This Row],[CurrentParent]]</f>
        <v>1</v>
      </c>
      <c r="K478" s="60" t="str">
        <f ca="1"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154</v>
      </c>
      <c r="R478" s="67" t="s">
        <v>830</v>
      </c>
      <c r="S478" s="60"/>
    </row>
    <row r="479" spans="1:19" hidden="1">
      <c r="A479" s="62" t="s">
        <v>1751</v>
      </c>
      <c r="B479" s="138" t="str">
        <f ca="1"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 ca="1">IF(Proc[[#This Row],[type]]="LFF (MDG-F)",MID(Proc[[#This Row],[Obj]],13,10),"")</f>
        <v/>
      </c>
      <c r="J479" s="60" t="b">
        <f ca="1">Proc[[#This Row],[Requested]]=Proc[[#This Row],[CurrentParent]]</f>
        <v>1</v>
      </c>
      <c r="K479" s="60" t="str">
        <f ca="1"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154</v>
      </c>
      <c r="R479" s="67" t="s">
        <v>830</v>
      </c>
      <c r="S479" s="60"/>
    </row>
    <row r="480" spans="1:19" hidden="1">
      <c r="A480" s="62" t="s">
        <v>1751</v>
      </c>
      <c r="B480" s="138" t="str">
        <f ca="1"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 ca="1">IF(Proc[[#This Row],[type]]="LFF (MDG-F)",MID(Proc[[#This Row],[Obj]],13,10),"")</f>
        <v/>
      </c>
      <c r="J480" s="60" t="b">
        <f ca="1">Proc[[#This Row],[Requested]]=Proc[[#This Row],[CurrentParent]]</f>
        <v>1</v>
      </c>
      <c r="K480" s="60" t="str">
        <f ca="1"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154</v>
      </c>
      <c r="R480" s="67" t="s">
        <v>830</v>
      </c>
      <c r="S480" s="60"/>
    </row>
    <row r="481" spans="1:19" hidden="1">
      <c r="A481" s="62" t="s">
        <v>1751</v>
      </c>
      <c r="B481" s="138" t="str">
        <f ca="1"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 ca="1">IF(Proc[[#This Row],[type]]="LFF (MDG-F)",MID(Proc[[#This Row],[Obj]],13,10),"")</f>
        <v/>
      </c>
      <c r="J481" s="60" t="b">
        <f ca="1">Proc[[#This Row],[Requested]]=Proc[[#This Row],[CurrentParent]]</f>
        <v>1</v>
      </c>
      <c r="K481" s="60" t="str">
        <f ca="1"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154</v>
      </c>
      <c r="R481" s="67" t="s">
        <v>830</v>
      </c>
      <c r="S481" s="60"/>
    </row>
    <row r="482" spans="1:19" hidden="1">
      <c r="A482" s="62" t="s">
        <v>1751</v>
      </c>
      <c r="B482" s="138" t="str">
        <f ca="1"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 ca="1">IF(Proc[[#This Row],[type]]="LFF (MDG-F)",MID(Proc[[#This Row],[Obj]],13,10),"")</f>
        <v/>
      </c>
      <c r="J482" s="60" t="b">
        <f ca="1">Proc[[#This Row],[Requested]]=Proc[[#This Row],[CurrentParent]]</f>
        <v>1</v>
      </c>
      <c r="K482" s="60" t="str">
        <f ca="1"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154</v>
      </c>
      <c r="R482" s="67" t="s">
        <v>830</v>
      </c>
      <c r="S482" s="60"/>
    </row>
    <row r="483" spans="1:19" hidden="1">
      <c r="A483" s="62" t="s">
        <v>1751</v>
      </c>
      <c r="B483" s="138" t="str">
        <f ca="1"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 ca="1">IF(Proc[[#This Row],[type]]="LFF (MDG-F)",MID(Proc[[#This Row],[Obj]],13,10),"")</f>
        <v/>
      </c>
      <c r="J483" s="60" t="b">
        <f ca="1">Proc[[#This Row],[Requested]]=Proc[[#This Row],[CurrentParent]]</f>
        <v>1</v>
      </c>
      <c r="K483" s="60" t="str">
        <f ca="1"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154</v>
      </c>
      <c r="R483" s="67" t="s">
        <v>830</v>
      </c>
      <c r="S483" s="60"/>
    </row>
    <row r="484" spans="1:19" hidden="1">
      <c r="A484" s="62" t="s">
        <v>1751</v>
      </c>
      <c r="B484" s="138" t="str">
        <f ca="1"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 ca="1">IF(Proc[[#This Row],[type]]="LFF (MDG-F)",MID(Proc[[#This Row],[Obj]],13,10),"")</f>
        <v/>
      </c>
      <c r="J484" s="60" t="b">
        <f ca="1">Proc[[#This Row],[Requested]]=Proc[[#This Row],[CurrentParent]]</f>
        <v>1</v>
      </c>
      <c r="K484" s="60" t="str">
        <f ca="1"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154</v>
      </c>
      <c r="R484" s="67" t="s">
        <v>830</v>
      </c>
      <c r="S484" s="60"/>
    </row>
    <row r="485" spans="1:19" hidden="1">
      <c r="A485" t="s">
        <v>1751</v>
      </c>
      <c r="B485" s="138" t="str">
        <f ca="1"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 ca="1">IF(Proc[[#This Row],[type]]="LFF (MDG-F)",MID(Proc[[#This Row],[Obj]],13,10),"")</f>
        <v/>
      </c>
      <c r="J485" s="60" t="b">
        <f ca="1">Proc[[#This Row],[Requested]]=Proc[[#This Row],[CurrentParent]]</f>
        <v>1</v>
      </c>
      <c r="K485" s="60" t="str">
        <f ca="1"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154</v>
      </c>
      <c r="R485" s="67" t="s">
        <v>830</v>
      </c>
      <c r="S485" s="60"/>
    </row>
    <row r="486" spans="1:19" hidden="1">
      <c r="A486" s="62" t="s">
        <v>1751</v>
      </c>
      <c r="B486" s="138" t="str">
        <f ca="1"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 ca="1">IF(Proc[[#This Row],[type]]="LFF (MDG-F)",MID(Proc[[#This Row],[Obj]],13,10),"")</f>
        <v/>
      </c>
      <c r="J486" s="60" t="b">
        <f ca="1">Proc[[#This Row],[Requested]]=Proc[[#This Row],[CurrentParent]]</f>
        <v>1</v>
      </c>
      <c r="K486" s="60" t="str">
        <f ca="1"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154</v>
      </c>
      <c r="R486" s="67" t="s">
        <v>830</v>
      </c>
      <c r="S486" s="60"/>
    </row>
    <row r="487" spans="1:19" hidden="1">
      <c r="A487" s="62" t="s">
        <v>1751</v>
      </c>
      <c r="B487" s="138" t="str">
        <f ca="1"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 ca="1">IF(Proc[[#This Row],[type]]="LFF (MDG-F)",MID(Proc[[#This Row],[Obj]],13,10),"")</f>
        <v/>
      </c>
      <c r="J487" s="60" t="b">
        <f ca="1">Proc[[#This Row],[Requested]]=Proc[[#This Row],[CurrentParent]]</f>
        <v>1</v>
      </c>
      <c r="K487" s="60" t="str">
        <f ca="1"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154</v>
      </c>
      <c r="R487" s="67" t="s">
        <v>830</v>
      </c>
      <c r="S487" s="60"/>
    </row>
    <row r="488" spans="1:19" hidden="1">
      <c r="A488" t="s">
        <v>1818</v>
      </c>
      <c r="B488" s="138" t="str">
        <f ca="1"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 ca="1">IF(Proc[[#This Row],[type]]="LFF (MDG-F)",MID(Proc[[#This Row],[Obj]],13,10),"")</f>
        <v>ZA50GIT10C</v>
      </c>
      <c r="J488" s="60" t="b">
        <f ca="1">Proc[[#This Row],[Requested]]=Proc[[#This Row],[CurrentParent]]</f>
        <v>1</v>
      </c>
      <c r="K488" s="60" t="str">
        <f ca="1"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153</v>
      </c>
      <c r="R488" s="67" t="s">
        <v>1459</v>
      </c>
      <c r="S488" s="60"/>
    </row>
    <row r="489" spans="1:19" hidden="1">
      <c r="A489" s="62" t="s">
        <v>1818</v>
      </c>
      <c r="B489" s="138" t="str">
        <f ca="1"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 ca="1">IF(Proc[[#This Row],[type]]="LFF (MDG-F)",MID(Proc[[#This Row],[Obj]],13,10),"")</f>
        <v>EE50GIT00C</v>
      </c>
      <c r="J489" s="60" t="b">
        <f ca="1">Proc[[#This Row],[Requested]]=Proc[[#This Row],[CurrentParent]]</f>
        <v>1</v>
      </c>
      <c r="K489" s="60" t="str">
        <f ca="1"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153</v>
      </c>
      <c r="R489" s="67" t="s">
        <v>1459</v>
      </c>
      <c r="S489" s="60"/>
    </row>
    <row r="490" spans="1:19" hidden="1">
      <c r="A490" s="62" t="s">
        <v>1818</v>
      </c>
      <c r="B490" s="138" t="str">
        <f ca="1"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 ca="1">IF(Proc[[#This Row],[type]]="LFF (MDG-F)",MID(Proc[[#This Row],[Obj]],13,10),"")</f>
        <v>KE50GIT10B</v>
      </c>
      <c r="J490" s="60" t="b">
        <f ca="1">Proc[[#This Row],[Requested]]=Proc[[#This Row],[CurrentParent]]</f>
        <v>1</v>
      </c>
      <c r="K490" s="60" t="str">
        <f ca="1"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153</v>
      </c>
      <c r="R490" s="67" t="s">
        <v>1459</v>
      </c>
      <c r="S490" s="60"/>
    </row>
    <row r="491" spans="1:19" hidden="1">
      <c r="A491" s="62" t="s">
        <v>1818</v>
      </c>
      <c r="B491" s="138" t="str">
        <f ca="1"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 ca="1">IF(Proc[[#This Row],[type]]="LFF (MDG-F)",MID(Proc[[#This Row],[Obj]],13,10),"")</f>
        <v>KE50GIT10C</v>
      </c>
      <c r="J491" s="60" t="b">
        <f ca="1">Proc[[#This Row],[Requested]]=Proc[[#This Row],[CurrentParent]]</f>
        <v>1</v>
      </c>
      <c r="K491" s="60" t="str">
        <f ca="1"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153</v>
      </c>
      <c r="R491" s="67" t="s">
        <v>1459</v>
      </c>
      <c r="S491" s="60"/>
    </row>
    <row r="492" spans="1:19" hidden="1">
      <c r="A492" s="62" t="s">
        <v>1818</v>
      </c>
      <c r="B492" s="138" t="str">
        <f ca="1"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 ca="1">IF(Proc[[#This Row],[type]]="LFF (MDG-F)",MID(Proc[[#This Row],[Obj]],13,10),"")</f>
        <v/>
      </c>
      <c r="J492" s="60" t="b">
        <f ca="1">Proc[[#This Row],[Requested]]=Proc[[#This Row],[CurrentParent]]</f>
        <v>1</v>
      </c>
      <c r="K492" s="60" t="str">
        <f ca="1"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153</v>
      </c>
      <c r="R492" s="67" t="s">
        <v>1459</v>
      </c>
      <c r="S492" s="60"/>
    </row>
    <row r="493" spans="1:19" hidden="1">
      <c r="A493" t="s">
        <v>1819</v>
      </c>
      <c r="B493" s="138" t="str">
        <f ca="1"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 ca="1">IF(Proc[[#This Row],[type]]="LFF (MDG-F)",MID(Proc[[#This Row],[Obj]],13,10),"")</f>
        <v/>
      </c>
      <c r="J493" s="60" t="b">
        <f ca="1">Proc[[#This Row],[Requested]]=Proc[[#This Row],[CurrentParent]]</f>
        <v>1</v>
      </c>
      <c r="K493" s="60" t="str">
        <f ca="1"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152</v>
      </c>
      <c r="R493" s="67" t="s">
        <v>515</v>
      </c>
      <c r="S493" s="60"/>
    </row>
    <row r="494" spans="1:19" hidden="1">
      <c r="A494" s="62" t="s">
        <v>1819</v>
      </c>
      <c r="B494" s="138" t="str">
        <f ca="1"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 ca="1">IF(Proc[[#This Row],[type]]="LFF (MDG-F)",MID(Proc[[#This Row],[Obj]],13,10),"")</f>
        <v>DE10G69660</v>
      </c>
      <c r="J494" s="60" t="b">
        <f ca="1">Proc[[#This Row],[Requested]]=Proc[[#This Row],[CurrentParent]]</f>
        <v>1</v>
      </c>
      <c r="K494" s="60" t="str">
        <f ca="1"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152</v>
      </c>
      <c r="R494" s="67" t="s">
        <v>515</v>
      </c>
      <c r="S494" s="94" t="e">
        <f ca="1">VLOOKUP(Proc[[#This Row],[Obj]],#REF!,2,0)</f>
        <v>#REF!</v>
      </c>
    </row>
    <row r="495" spans="1:19" hidden="1">
      <c r="A495" t="s">
        <v>1822</v>
      </c>
      <c r="B495" s="138" t="str">
        <f ca="1"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 ca="1">IF(Proc[[#This Row],[type]]="LFF (MDG-F)",MID(Proc[[#This Row],[Obj]],13,10),"")</f>
        <v>DE20506400</v>
      </c>
      <c r="J495" s="60" t="b">
        <f ca="1">Proc[[#This Row],[Requested]]=Proc[[#This Row],[CurrentParent]]</f>
        <v>1</v>
      </c>
      <c r="K495" s="60" t="str">
        <f ca="1"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38" t="str">
        <f ca="1"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 ca="1">IF(Proc[[#This Row],[type]]="LFF (MDG-F)",MID(Proc[[#This Row],[Obj]],13,10),"")</f>
        <v>DE10624905</v>
      </c>
      <c r="I496" t="s">
        <v>1825</v>
      </c>
      <c r="J496" s="60" t="b">
        <f ca="1">Proc[[#This Row],[Requested]]=Proc[[#This Row],[CurrentParent]]</f>
        <v>1</v>
      </c>
      <c r="K496" s="60" t="str">
        <f ca="1"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150</v>
      </c>
      <c r="R496" s="67" t="s">
        <v>515</v>
      </c>
      <c r="S496" s="60"/>
    </row>
    <row r="497" spans="1:19" hidden="1">
      <c r="A497" s="62" t="s">
        <v>1824</v>
      </c>
      <c r="B497" s="138" t="str">
        <f ca="1"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 ca="1">IF(Proc[[#This Row],[type]]="LFF (MDG-F)",MID(Proc[[#This Row],[Obj]],13,10),"")</f>
        <v>DE10624906</v>
      </c>
      <c r="I497" s="62"/>
      <c r="J497" s="60" t="b">
        <f ca="1">Proc[[#This Row],[Requested]]=Proc[[#This Row],[CurrentParent]]</f>
        <v>1</v>
      </c>
      <c r="K497" s="60" t="str">
        <f ca="1"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150</v>
      </c>
      <c r="R497" s="67" t="s">
        <v>515</v>
      </c>
      <c r="S497" s="60"/>
    </row>
    <row r="498" spans="1:19" hidden="1">
      <c r="A498" t="s">
        <v>1826</v>
      </c>
      <c r="B498" s="138" t="str">
        <f ca="1"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 ca="1">IF(Proc[[#This Row],[type]]="LFF (MDG-F)",MID(Proc[[#This Row],[Obj]],13,10),"")</f>
        <v>DE10GIT04K</v>
      </c>
      <c r="J498" s="60" t="b">
        <f ca="1">Proc[[#This Row],[Requested]]=Proc[[#This Row],[CurrentParent]]</f>
        <v>1</v>
      </c>
      <c r="K498" s="60" t="str">
        <f ca="1"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149</v>
      </c>
      <c r="R498" s="67" t="s">
        <v>1459</v>
      </c>
      <c r="S498" s="60"/>
    </row>
    <row r="499" spans="1:19" hidden="1">
      <c r="A499" t="s">
        <v>1831</v>
      </c>
      <c r="B499" s="138" t="str">
        <f ca="1"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 ca="1">IF(Proc[[#This Row],[type]]="LFF (MDG-F)",MID(Proc[[#This Row],[Obj]],13,10),"")</f>
        <v>2034C00019</v>
      </c>
      <c r="J499" s="69" t="b">
        <f ca="1">Proc[[#This Row],[Requested]]=Proc[[#This Row],[CurrentParent]]</f>
        <v>1</v>
      </c>
      <c r="K499" s="69" t="str">
        <f ca="1"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38" t="str">
        <f ca="1"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 ca="1">IF(Proc[[#This Row],[type]]="LFF (MDG-F)",MID(Proc[[#This Row],[Obj]],13,10),"")</f>
        <v/>
      </c>
      <c r="I500" t="s">
        <v>1834</v>
      </c>
      <c r="J500" s="69" t="b">
        <f ca="1">Proc[[#This Row],[Requested]]=Proc[[#This Row],[CurrentParent]]</f>
        <v>1</v>
      </c>
      <c r="K500" s="69" t="str">
        <f ca="1"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38" t="str">
        <f ca="1"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 ca="1">IF(Proc[[#This Row],[type]]="LFF (MDG-F)",MID(Proc[[#This Row],[Obj]],13,10),"")</f>
        <v/>
      </c>
      <c r="I501" s="68" t="s">
        <v>1834</v>
      </c>
      <c r="J501" s="69" t="b">
        <f ca="1">Proc[[#This Row],[Requested]]=Proc[[#This Row],[CurrentParent]]</f>
        <v>1</v>
      </c>
      <c r="K501" s="69" t="str">
        <f ca="1"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38" t="str">
        <f ca="1"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 ca="1">IF(Proc[[#This Row],[type]]="LFF (MDG-F)",MID(Proc[[#This Row],[Obj]],13,10),"")</f>
        <v/>
      </c>
      <c r="I502" s="68" t="s">
        <v>1834</v>
      </c>
      <c r="J502" s="69" t="b">
        <f ca="1">Proc[[#This Row],[Requested]]=Proc[[#This Row],[CurrentParent]]</f>
        <v>1</v>
      </c>
      <c r="K502" s="69" t="str">
        <f ca="1"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38" t="str">
        <f ca="1"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 ca="1">IF(Proc[[#This Row],[type]]="LFF (MDG-F)",MID(Proc[[#This Row],[Obj]],13,10),"")</f>
        <v/>
      </c>
      <c r="I503" s="68" t="s">
        <v>1834</v>
      </c>
      <c r="J503" s="69" t="b">
        <f ca="1">Proc[[#This Row],[Requested]]=Proc[[#This Row],[CurrentParent]]</f>
        <v>1</v>
      </c>
      <c r="K503" s="69" t="str">
        <f ca="1"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38" t="str">
        <f ca="1"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 ca="1">IF(Proc[[#This Row],[type]]="LFF (MDG-F)",MID(Proc[[#This Row],[Obj]],13,10),"")</f>
        <v/>
      </c>
      <c r="I504" s="68" t="s">
        <v>1834</v>
      </c>
      <c r="J504" s="69" t="b">
        <f ca="1">Proc[[#This Row],[Requested]]=Proc[[#This Row],[CurrentParent]]</f>
        <v>1</v>
      </c>
      <c r="K504" s="69" t="str">
        <f ca="1"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38" t="str">
        <f ca="1"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 ca="1">IF(Proc[[#This Row],[type]]="LFF (MDG-F)",MID(Proc[[#This Row],[Obj]],13,10),"")</f>
        <v/>
      </c>
      <c r="I505" s="68" t="s">
        <v>1834</v>
      </c>
      <c r="J505" s="69" t="b">
        <f ca="1">Proc[[#This Row],[Requested]]=Proc[[#This Row],[CurrentParent]]</f>
        <v>1</v>
      </c>
      <c r="K505" s="69" t="str">
        <f ca="1"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38" t="str">
        <f ca="1"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 ca="1">IF(Proc[[#This Row],[type]]="LFF (MDG-F)",MID(Proc[[#This Row],[Obj]],13,10),"")</f>
        <v/>
      </c>
      <c r="I506" s="68" t="s">
        <v>1834</v>
      </c>
      <c r="J506" s="69" t="b">
        <f ca="1">Proc[[#This Row],[Requested]]=Proc[[#This Row],[CurrentParent]]</f>
        <v>1</v>
      </c>
      <c r="K506" s="69" t="str">
        <f ca="1"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38" t="str">
        <f ca="1"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 ca="1">IF(Proc[[#This Row],[type]]="LFF (MDG-F)",MID(Proc[[#This Row],[Obj]],13,10),"")</f>
        <v/>
      </c>
      <c r="I507" s="68" t="s">
        <v>1834</v>
      </c>
      <c r="J507" s="69" t="b">
        <f ca="1">Proc[[#This Row],[Requested]]=Proc[[#This Row],[CurrentParent]]</f>
        <v>1</v>
      </c>
      <c r="K507" s="69" t="str">
        <f ca="1"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38" t="str">
        <f ca="1"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 ca="1">IF(Proc[[#This Row],[type]]="LFF (MDG-F)",MID(Proc[[#This Row],[Obj]],13,10),"")</f>
        <v/>
      </c>
      <c r="I508" s="68" t="s">
        <v>1834</v>
      </c>
      <c r="J508" s="69" t="b">
        <f ca="1">Proc[[#This Row],[Requested]]=Proc[[#This Row],[CurrentParent]]</f>
        <v>1</v>
      </c>
      <c r="K508" s="69" t="str">
        <f ca="1"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38" t="str">
        <f ca="1"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 ca="1">IF(Proc[[#This Row],[type]]="LFF (MDG-F)",MID(Proc[[#This Row],[Obj]],13,10),"")</f>
        <v/>
      </c>
      <c r="J509" s="69" t="b">
        <f ca="1">Proc[[#This Row],[Requested]]=Proc[[#This Row],[CurrentParent]]</f>
        <v>1</v>
      </c>
      <c r="K509" s="69" t="str">
        <f ca="1"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38" t="str">
        <f ca="1"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 ca="1">IF(Proc[[#This Row],[type]]="LFF (MDG-F)",MID(Proc[[#This Row],[Obj]],13,10),"")</f>
        <v/>
      </c>
      <c r="J510" s="69" t="b">
        <f ca="1">Proc[[#This Row],[Requested]]=Proc[[#This Row],[CurrentParent]]</f>
        <v>1</v>
      </c>
      <c r="K510" s="69" t="str">
        <f ca="1"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38" t="str">
        <f ca="1"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 ca="1">IF(Proc[[#This Row],[type]]="LFF (MDG-F)",MID(Proc[[#This Row],[Obj]],13,10),"")</f>
        <v/>
      </c>
      <c r="J511" s="69" t="b">
        <f ca="1">Proc[[#This Row],[Requested]]=Proc[[#This Row],[CurrentParent]]</f>
        <v>1</v>
      </c>
      <c r="K511" s="69" t="str">
        <f ca="1"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38" t="str">
        <f ca="1"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 ca="1">IF(Proc[[#This Row],[type]]="LFF (MDG-F)",MID(Proc[[#This Row],[Obj]],13,10),"")</f>
        <v/>
      </c>
      <c r="J512" s="69" t="b">
        <f ca="1">Proc[[#This Row],[Requested]]=Proc[[#This Row],[CurrentParent]]</f>
        <v>1</v>
      </c>
      <c r="K512" s="69" t="str">
        <f ca="1"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38" t="str">
        <f ca="1"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 ca="1">IF(Proc[[#This Row],[type]]="LFF (MDG-F)",MID(Proc[[#This Row],[Obj]],13,10),"")</f>
        <v/>
      </c>
      <c r="J513" s="69" t="b">
        <f ca="1">Proc[[#This Row],[Requested]]=Proc[[#This Row],[CurrentParent]]</f>
        <v>1</v>
      </c>
      <c r="K513" s="69" t="str">
        <f ca="1"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38" t="str">
        <f ca="1"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 ca="1">IF(Proc[[#This Row],[type]]="LFF (MDG-F)",MID(Proc[[#This Row],[Obj]],13,10),"")</f>
        <v>2123L28514</v>
      </c>
      <c r="J514" s="69" t="b">
        <f ca="1">Proc[[#This Row],[Requested]]=Proc[[#This Row],[CurrentParent]]</f>
        <v>1</v>
      </c>
      <c r="K514" s="69" t="str">
        <f ca="1"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38" t="str">
        <f ca="1"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 ca="1">IF(Proc[[#This Row],[type]]="LFF (MDG-F)",MID(Proc[[#This Row],[Obj]],13,10),"")</f>
        <v>2123OF0002</v>
      </c>
      <c r="J515" s="69" t="b">
        <f ca="1">Proc[[#This Row],[Requested]]=Proc[[#This Row],[CurrentParent]]</f>
        <v>1</v>
      </c>
      <c r="K515" s="69" t="str">
        <f ca="1"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38" t="str">
        <f ca="1"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 ca="1">IF(Proc[[#This Row],[type]]="LFF (MDG-F)",MID(Proc[[#This Row],[Obj]],13,10),"")</f>
        <v>2123OF0004</v>
      </c>
      <c r="J516" s="69" t="b">
        <f ca="1">Proc[[#This Row],[Requested]]=Proc[[#This Row],[CurrentParent]]</f>
        <v>1</v>
      </c>
      <c r="K516" s="69" t="str">
        <f ca="1"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38" t="str">
        <f ca="1"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 ca="1">IF(Proc[[#This Row],[type]]="LFF (MDG-F)",MID(Proc[[#This Row],[Obj]],13,10),"")</f>
        <v/>
      </c>
      <c r="J517" s="69" t="b">
        <f ca="1">Proc[[#This Row],[Requested]]=Proc[[#This Row],[CurrentParent]]</f>
        <v>1</v>
      </c>
      <c r="K517" s="69" t="str">
        <f ca="1"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38" t="str">
        <f ca="1"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 ca="1">IF(Proc[[#This Row],[type]]="LFF (MDG-F)",MID(Proc[[#This Row],[Obj]],13,10),"")</f>
        <v>2123L70001</v>
      </c>
      <c r="J518" s="69" t="b">
        <f ca="1">Proc[[#This Row],[Requested]]=Proc[[#This Row],[CurrentParent]]</f>
        <v>1</v>
      </c>
      <c r="K518" s="69" t="str">
        <f ca="1"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38" t="str">
        <f ca="1"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 ca="1">IF(Proc[[#This Row],[type]]="LFF (MDG-F)",MID(Proc[[#This Row],[Obj]],13,10),"")</f>
        <v>2123C00113</v>
      </c>
      <c r="J519" s="69" t="b">
        <f ca="1">Proc[[#This Row],[Requested]]=Proc[[#This Row],[CurrentParent]]</f>
        <v>1</v>
      </c>
      <c r="K519" s="69" t="str">
        <f ca="1"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38" t="str">
        <f ca="1"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 ca="1">IF(Proc[[#This Row],[type]]="LFF (MDG-F)",MID(Proc[[#This Row],[Obj]],13,10),"")</f>
        <v>2123C00108</v>
      </c>
      <c r="J520" s="69" t="b">
        <f ca="1">Proc[[#This Row],[Requested]]=Proc[[#This Row],[CurrentParent]]</f>
        <v>1</v>
      </c>
      <c r="K520" s="69" t="str">
        <f ca="1"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38" t="str">
        <f ca="1"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 ca="1">IF(Proc[[#This Row],[type]]="LFF (MDG-F)",MID(Proc[[#This Row],[Obj]],13,10),"")</f>
        <v>2123C00070</v>
      </c>
      <c r="J521" s="69" t="b">
        <f ca="1">Proc[[#This Row],[Requested]]=Proc[[#This Row],[CurrentParent]]</f>
        <v>1</v>
      </c>
      <c r="K521" s="69" t="str">
        <f ca="1"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38" t="str">
        <f ca="1"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 ca="1">IF(Proc[[#This Row],[type]]="LFF (MDG-F)",MID(Proc[[#This Row],[Obj]],13,10),"")</f>
        <v>2123C00028</v>
      </c>
      <c r="J522" s="69" t="b">
        <f ca="1">Proc[[#This Row],[Requested]]=Proc[[#This Row],[CurrentParent]]</f>
        <v>1</v>
      </c>
      <c r="K522" s="69" t="str">
        <f ca="1"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38" t="str">
        <f ca="1"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 ca="1">IF(Proc[[#This Row],[type]]="LFF (MDG-F)",MID(Proc[[#This Row],[Obj]],13,10),"")</f>
        <v>2123C00053</v>
      </c>
      <c r="J523" s="69" t="b">
        <f ca="1">Proc[[#This Row],[Requested]]=Proc[[#This Row],[CurrentParent]]</f>
        <v>1</v>
      </c>
      <c r="K523" s="69" t="str">
        <f ca="1"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38" t="str">
        <f ca="1"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 ca="1">IF(Proc[[#This Row],[type]]="LFF (MDG-F)",MID(Proc[[#This Row],[Obj]],13,10),"")</f>
        <v>2123C00056</v>
      </c>
      <c r="J524" s="69" t="b">
        <f ca="1">Proc[[#This Row],[Requested]]=Proc[[#This Row],[CurrentParent]]</f>
        <v>1</v>
      </c>
      <c r="K524" s="69" t="str">
        <f ca="1"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38" t="str">
        <f ca="1"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 ca="1">IF(Proc[[#This Row],[type]]="LFF (MDG-F)",MID(Proc[[#This Row],[Obj]],13,10),"")</f>
        <v>2123OF0011</v>
      </c>
      <c r="J525" s="69" t="b">
        <f ca="1">Proc[[#This Row],[Requested]]=Proc[[#This Row],[CurrentParent]]</f>
        <v>1</v>
      </c>
      <c r="K525" s="69" t="str">
        <f ca="1"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38" t="str">
        <f ca="1"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 ca="1">IF(Proc[[#This Row],[type]]="LFF (MDG-F)",MID(Proc[[#This Row],[Obj]],13,10),"")</f>
        <v>2123C00071</v>
      </c>
      <c r="J526" s="69" t="b">
        <f ca="1">Proc[[#This Row],[Requested]]=Proc[[#This Row],[CurrentParent]]</f>
        <v>1</v>
      </c>
      <c r="K526" s="69" t="str">
        <f ca="1"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38" t="str">
        <f ca="1"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 ca="1">IF(Proc[[#This Row],[type]]="LFF (MDG-F)",MID(Proc[[#This Row],[Obj]],13,10),"")</f>
        <v>2123C00080</v>
      </c>
      <c r="J527" s="69" t="b">
        <f ca="1">Proc[[#This Row],[Requested]]=Proc[[#This Row],[CurrentParent]]</f>
        <v>1</v>
      </c>
      <c r="K527" s="69" t="str">
        <f ca="1"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38" t="str">
        <f ca="1"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 ca="1">IF(Proc[[#This Row],[type]]="LFF (MDG-F)",MID(Proc[[#This Row],[Obj]],13,10),"")</f>
        <v>2123C00079</v>
      </c>
      <c r="J528" s="69" t="b">
        <f ca="1">Proc[[#This Row],[Requested]]=Proc[[#This Row],[CurrentParent]]</f>
        <v>1</v>
      </c>
      <c r="K528" s="69" t="str">
        <f ca="1"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38" t="str">
        <f ca="1"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 ca="1">IF(Proc[[#This Row],[type]]="LFF (MDG-F)",MID(Proc[[#This Row],[Obj]],13,10),"")</f>
        <v>2123C00075</v>
      </c>
      <c r="J529" s="69" t="b">
        <f ca="1">Proc[[#This Row],[Requested]]=Proc[[#This Row],[CurrentParent]]</f>
        <v>1</v>
      </c>
      <c r="K529" s="69" t="str">
        <f ca="1"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38" t="str">
        <f ca="1"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 ca="1">IF(Proc[[#This Row],[type]]="LFF (MDG-F)",MID(Proc[[#This Row],[Obj]],13,10),"")</f>
        <v>2123C00094</v>
      </c>
      <c r="J530" s="69" t="b">
        <f ca="1">Proc[[#This Row],[Requested]]=Proc[[#This Row],[CurrentParent]]</f>
        <v>1</v>
      </c>
      <c r="K530" s="69" t="str">
        <f ca="1"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38" t="str">
        <f ca="1"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 ca="1">IF(Proc[[#This Row],[type]]="LFF (MDG-F)",MID(Proc[[#This Row],[Obj]],13,10),"")</f>
        <v>2123C00067</v>
      </c>
      <c r="J531" s="69" t="b">
        <f ca="1">Proc[[#This Row],[Requested]]=Proc[[#This Row],[CurrentParent]]</f>
        <v>1</v>
      </c>
      <c r="K531" s="69" t="str">
        <f ca="1"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38" t="str">
        <f ca="1"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 ca="1">IF(Proc[[#This Row],[type]]="LFF (MDG-F)",MID(Proc[[#This Row],[Obj]],13,10),"")</f>
        <v>2123CS0001</v>
      </c>
      <c r="J532" s="69" t="b">
        <f ca="1">Proc[[#This Row],[Requested]]=Proc[[#This Row],[CurrentParent]]</f>
        <v>1</v>
      </c>
      <c r="K532" s="69" t="str">
        <f ca="1"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38" t="str">
        <f ca="1"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 ca="1">IF(Proc[[#This Row],[type]]="LFF (MDG-F)",MID(Proc[[#This Row],[Obj]],13,10),"")</f>
        <v>2123CS0003</v>
      </c>
      <c r="J533" s="69" t="b">
        <f ca="1">Proc[[#This Row],[Requested]]=Proc[[#This Row],[CurrentParent]]</f>
        <v>1</v>
      </c>
      <c r="K533" s="69" t="str">
        <f ca="1"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38" t="str">
        <f ca="1"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 ca="1">IF(Proc[[#This Row],[type]]="LFF (MDG-F)",MID(Proc[[#This Row],[Obj]],13,10),"")</f>
        <v>2123CS0057</v>
      </c>
      <c r="J534" s="69" t="b">
        <f ca="1">Proc[[#This Row],[Requested]]=Proc[[#This Row],[CurrentParent]]</f>
        <v>1</v>
      </c>
      <c r="K534" s="69" t="str">
        <f ca="1"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38" t="str">
        <f ca="1"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 ca="1">IF(Proc[[#This Row],[type]]="LFF (MDG-F)",MID(Proc[[#This Row],[Obj]],13,10),"")</f>
        <v>2123R00007</v>
      </c>
      <c r="J535" s="69" t="b">
        <f ca="1">Proc[[#This Row],[Requested]]=Proc[[#This Row],[CurrentParent]]</f>
        <v>1</v>
      </c>
      <c r="K535" s="69" t="str">
        <f ca="1"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38" t="str">
        <f ca="1"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 ca="1">IF(Proc[[#This Row],[type]]="LFF (MDG-F)",MID(Proc[[#This Row],[Obj]],13,10),"")</f>
        <v>2123C00023</v>
      </c>
      <c r="J536" s="69" t="b">
        <f ca="1">Proc[[#This Row],[Requested]]=Proc[[#This Row],[CurrentParent]]</f>
        <v>1</v>
      </c>
      <c r="K536" s="69" t="str">
        <f ca="1"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38" t="str">
        <f ca="1"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 ca="1">IF(Proc[[#This Row],[type]]="LFF (MDG-F)",MID(Proc[[#This Row],[Obj]],13,10),"")</f>
        <v>2123C00029</v>
      </c>
      <c r="J537" s="69" t="b">
        <f ca="1">Proc[[#This Row],[Requested]]=Proc[[#This Row],[CurrentParent]]</f>
        <v>1</v>
      </c>
      <c r="K537" s="69" t="str">
        <f ca="1"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38" t="str">
        <f ca="1"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 ca="1">IF(Proc[[#This Row],[type]]="LFF (MDG-F)",MID(Proc[[#This Row],[Obj]],13,10),"")</f>
        <v>2123C08497</v>
      </c>
      <c r="J538" s="69" t="b">
        <f ca="1">Proc[[#This Row],[Requested]]=Proc[[#This Row],[CurrentParent]]</f>
        <v>1</v>
      </c>
      <c r="K538" s="69" t="str">
        <f ca="1"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38" t="str">
        <f ca="1"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 ca="1">IF(Proc[[#This Row],[type]]="LFF (MDG-F)",MID(Proc[[#This Row],[Obj]],13,10),"")</f>
        <v>2123C08528</v>
      </c>
      <c r="J539" s="69" t="b">
        <f ca="1">Proc[[#This Row],[Requested]]=Proc[[#This Row],[CurrentParent]]</f>
        <v>1</v>
      </c>
      <c r="K539" s="69" t="str">
        <f ca="1"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38" t="str">
        <f ca="1"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 ca="1">IF(Proc[[#This Row],[type]]="LFF (MDG-F)",MID(Proc[[#This Row],[Obj]],13,10),"")</f>
        <v/>
      </c>
      <c r="I540" t="s">
        <v>1975</v>
      </c>
      <c r="J540" s="69" t="b">
        <f ca="1">Proc[[#This Row],[Requested]]=Proc[[#This Row],[CurrentParent]]</f>
        <v>1</v>
      </c>
      <c r="K540" s="69" t="str">
        <f ca="1"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 ca="1">VLOOKUP(Proc[[#This Row],[Obj]],#REF!,2,0)</f>
        <v>#REF!</v>
      </c>
    </row>
    <row r="541" spans="1:19" hidden="1">
      <c r="A541" s="68" t="s">
        <v>1843</v>
      </c>
      <c r="B541" s="138" t="str">
        <f ca="1"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 ca="1">IF(Proc[[#This Row],[type]]="LFF (MDG-F)",MID(Proc[[#This Row],[Obj]],13,10),"")</f>
        <v/>
      </c>
      <c r="J541" s="69" t="b">
        <f ca="1">Proc[[#This Row],[Requested]]=Proc[[#This Row],[CurrentParent]]</f>
        <v>1</v>
      </c>
      <c r="K541" s="69" t="str">
        <f ca="1"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38" t="str">
        <f ca="1"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 ca="1">IF(Proc[[#This Row],[type]]="LFF (MDG-F)",MID(Proc[[#This Row],[Obj]],13,10),"")</f>
        <v>2123C00031</v>
      </c>
      <c r="J542" s="69" t="b">
        <f ca="1">Proc[[#This Row],[Requested]]=Proc[[#This Row],[CurrentParent]]</f>
        <v>1</v>
      </c>
      <c r="K542" s="69" t="str">
        <f ca="1"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38" t="str">
        <f ca="1"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 ca="1">IF(Proc[[#This Row],[type]]="LFF (MDG-F)",MID(Proc[[#This Row],[Obj]],13,10),"")</f>
        <v>2123C00033</v>
      </c>
      <c r="J543" s="69" t="b">
        <f ca="1">Proc[[#This Row],[Requested]]=Proc[[#This Row],[CurrentParent]]</f>
        <v>1</v>
      </c>
      <c r="K543" s="69" t="str">
        <f ca="1"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38" t="str">
        <f ca="1"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 ca="1">IF(Proc[[#This Row],[type]]="LFF (MDG-F)",MID(Proc[[#This Row],[Obj]],13,10),"")</f>
        <v>2123C00034</v>
      </c>
      <c r="J544" s="69" t="b">
        <f ca="1">Proc[[#This Row],[Requested]]=Proc[[#This Row],[CurrentParent]]</f>
        <v>1</v>
      </c>
      <c r="K544" s="69" t="str">
        <f ca="1"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38" t="str">
        <f ca="1"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 ca="1">IF(Proc[[#This Row],[type]]="LFF (MDG-F)",MID(Proc[[#This Row],[Obj]],13,10),"")</f>
        <v>2123C00062</v>
      </c>
      <c r="J545" s="69" t="b">
        <f ca="1">Proc[[#This Row],[Requested]]=Proc[[#This Row],[CurrentParent]]</f>
        <v>1</v>
      </c>
      <c r="K545" s="69" t="str">
        <f ca="1"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38" t="str">
        <f ca="1"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 ca="1">IF(Proc[[#This Row],[type]]="LFF (MDG-F)",MID(Proc[[#This Row],[Obj]],13,10),"")</f>
        <v>2123C00072</v>
      </c>
      <c r="J546" s="69" t="b">
        <f ca="1">Proc[[#This Row],[Requested]]=Proc[[#This Row],[CurrentParent]]</f>
        <v>1</v>
      </c>
      <c r="K546" s="69" t="str">
        <f ca="1"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38" t="str">
        <f ca="1"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 ca="1">IF(Proc[[#This Row],[type]]="LFF (MDG-F)",MID(Proc[[#This Row],[Obj]],13,10),"")</f>
        <v>2123C00142</v>
      </c>
      <c r="J547" s="69" t="b">
        <f ca="1">Proc[[#This Row],[Requested]]=Proc[[#This Row],[CurrentParent]]</f>
        <v>1</v>
      </c>
      <c r="K547" s="69" t="str">
        <f ca="1"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38" t="str">
        <f ca="1"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 ca="1">IF(Proc[[#This Row],[type]]="LFF (MDG-F)",MID(Proc[[#This Row],[Obj]],13,10),"")</f>
        <v>2123C08515</v>
      </c>
      <c r="J548" s="69" t="b">
        <f ca="1">Proc[[#This Row],[Requested]]=Proc[[#This Row],[CurrentParent]]</f>
        <v>1</v>
      </c>
      <c r="K548" s="69" t="str">
        <f ca="1"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38" t="str">
        <f ca="1"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 ca="1">IF(Proc[[#This Row],[type]]="LFF (MDG-F)",MID(Proc[[#This Row],[Obj]],13,10),"")</f>
        <v>2123C00002</v>
      </c>
      <c r="J549" s="69" t="b">
        <f ca="1">Proc[[#This Row],[Requested]]=Proc[[#This Row],[CurrentParent]]</f>
        <v>1</v>
      </c>
      <c r="K549" s="69" t="str">
        <f ca="1"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38" t="str">
        <f ca="1"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 ca="1">IF(Proc[[#This Row],[type]]="LFF (MDG-F)",MID(Proc[[#This Row],[Obj]],13,10),"")</f>
        <v>2123C00003</v>
      </c>
      <c r="J550" s="69" t="b">
        <f ca="1">Proc[[#This Row],[Requested]]=Proc[[#This Row],[CurrentParent]]</f>
        <v>1</v>
      </c>
      <c r="K550" s="69" t="str">
        <f ca="1"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38" t="str">
        <f ca="1"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 ca="1">IF(Proc[[#This Row],[type]]="LFF (MDG-F)",MID(Proc[[#This Row],[Obj]],13,10),"")</f>
        <v>2123C00005</v>
      </c>
      <c r="J551" s="69" t="b">
        <f ca="1">Proc[[#This Row],[Requested]]=Proc[[#This Row],[CurrentParent]]</f>
        <v>1</v>
      </c>
      <c r="K551" s="69" t="str">
        <f ca="1"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38" t="str">
        <f ca="1"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 ca="1">IF(Proc[[#This Row],[type]]="LFF (MDG-F)",MID(Proc[[#This Row],[Obj]],13,10),"")</f>
        <v>2123C00058</v>
      </c>
      <c r="J552" s="69" t="b">
        <f ca="1">Proc[[#This Row],[Requested]]=Proc[[#This Row],[CurrentParent]]</f>
        <v>1</v>
      </c>
      <c r="K552" s="69" t="str">
        <f ca="1"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38" t="str">
        <f ca="1"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 ca="1">IF(Proc[[#This Row],[type]]="LFF (MDG-F)",MID(Proc[[#This Row],[Obj]],13,10),"")</f>
        <v>2123C00063</v>
      </c>
      <c r="J553" s="69" t="b">
        <f ca="1">Proc[[#This Row],[Requested]]=Proc[[#This Row],[CurrentParent]]</f>
        <v>1</v>
      </c>
      <c r="K553" s="69" t="str">
        <f ca="1"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38" t="str">
        <f ca="1"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 ca="1">IF(Proc[[#This Row],[type]]="LFF (MDG-F)",MID(Proc[[#This Row],[Obj]],13,10),"")</f>
        <v>2123C00066</v>
      </c>
      <c r="J554" s="69" t="b">
        <f ca="1">Proc[[#This Row],[Requested]]=Proc[[#This Row],[CurrentParent]]</f>
        <v>1</v>
      </c>
      <c r="K554" s="69" t="str">
        <f ca="1"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38" t="str">
        <f ca="1"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 ca="1">IF(Proc[[#This Row],[type]]="LFF (MDG-F)",MID(Proc[[#This Row],[Obj]],13,10),"")</f>
        <v>2123C08471</v>
      </c>
      <c r="J555" s="69" t="b">
        <f ca="1">Proc[[#This Row],[Requested]]=Proc[[#This Row],[CurrentParent]]</f>
        <v>1</v>
      </c>
      <c r="K555" s="69" t="str">
        <f ca="1"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38" t="str">
        <f ca="1"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 ca="1">IF(Proc[[#This Row],[type]]="LFF (MDG-F)",MID(Proc[[#This Row],[Obj]],13,10),"")</f>
        <v>2123C0BS03</v>
      </c>
      <c r="J556" s="69" t="b">
        <f ca="1">Proc[[#This Row],[Requested]]=Proc[[#This Row],[CurrentParent]]</f>
        <v>1</v>
      </c>
      <c r="K556" s="69" t="str">
        <f ca="1"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38" t="str">
        <f ca="1"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 ca="1">IF(Proc[[#This Row],[type]]="LFF (MDG-F)",MID(Proc[[#This Row],[Obj]],13,10),"")</f>
        <v>2123C0BS04</v>
      </c>
      <c r="J557" s="69" t="b">
        <f ca="1">Proc[[#This Row],[Requested]]=Proc[[#This Row],[CurrentParent]]</f>
        <v>1</v>
      </c>
      <c r="K557" s="69" t="str">
        <f ca="1"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38" t="str">
        <f ca="1"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 ca="1">IF(Proc[[#This Row],[type]]="LFF (MDG-F)",MID(Proc[[#This Row],[Obj]],13,10),"")</f>
        <v>2123C0BS08</v>
      </c>
      <c r="J558" s="69" t="b">
        <f ca="1">Proc[[#This Row],[Requested]]=Proc[[#This Row],[CurrentParent]]</f>
        <v>1</v>
      </c>
      <c r="K558" s="69" t="str">
        <f ca="1"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38" t="str">
        <f ca="1"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 ca="1">IF(Proc[[#This Row],[type]]="LFF (MDG-F)",MID(Proc[[#This Row],[Obj]],13,10),"")</f>
        <v>2123C0BS09</v>
      </c>
      <c r="J559" s="69" t="b">
        <f ca="1">Proc[[#This Row],[Requested]]=Proc[[#This Row],[CurrentParent]]</f>
        <v>1</v>
      </c>
      <c r="K559" s="69" t="str">
        <f ca="1"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38" t="str">
        <f ca="1"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 ca="1">IF(Proc[[#This Row],[type]]="LFF (MDG-F)",MID(Proc[[#This Row],[Obj]],13,10),"")</f>
        <v>2123C00042</v>
      </c>
      <c r="J560" s="69" t="b">
        <f ca="1">Proc[[#This Row],[Requested]]=Proc[[#This Row],[CurrentParent]]</f>
        <v>1</v>
      </c>
      <c r="K560" s="69" t="str">
        <f ca="1"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38" t="str">
        <f ca="1"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 ca="1">IF(Proc[[#This Row],[type]]="LFF (MDG-F)",MID(Proc[[#This Row],[Obj]],13,10),"")</f>
        <v>2123C00050</v>
      </c>
      <c r="J561" s="69" t="b">
        <f ca="1">Proc[[#This Row],[Requested]]=Proc[[#This Row],[CurrentParent]]</f>
        <v>1</v>
      </c>
      <c r="K561" s="69" t="str">
        <f ca="1"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38" t="str">
        <f ca="1"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 ca="1">IF(Proc[[#This Row],[type]]="LFF (MDG-F)",MID(Proc[[#This Row],[Obj]],13,10),"")</f>
        <v>2123C00061</v>
      </c>
      <c r="J562" s="69" t="b">
        <f ca="1">Proc[[#This Row],[Requested]]=Proc[[#This Row],[CurrentParent]]</f>
        <v>1</v>
      </c>
      <c r="K562" s="69" t="str">
        <f ca="1"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38" t="str">
        <f ca="1"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 ca="1">IF(Proc[[#This Row],[type]]="LFF (MDG-F)",MID(Proc[[#This Row],[Obj]],13,10),"")</f>
        <v>2123C00068</v>
      </c>
      <c r="J563" s="69" t="b">
        <f ca="1">Proc[[#This Row],[Requested]]=Proc[[#This Row],[CurrentParent]]</f>
        <v>1</v>
      </c>
      <c r="K563" s="69" t="str">
        <f ca="1"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38" t="str">
        <f ca="1"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 ca="1">IF(Proc[[#This Row],[type]]="LFF (MDG-F)",MID(Proc[[#This Row],[Obj]],13,10),"")</f>
        <v>2123C00082</v>
      </c>
      <c r="J564" s="69" t="b">
        <f ca="1">Proc[[#This Row],[Requested]]=Proc[[#This Row],[CurrentParent]]</f>
        <v>1</v>
      </c>
      <c r="K564" s="69" t="str">
        <f ca="1"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38" t="str">
        <f ca="1"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 ca="1">IF(Proc[[#This Row],[type]]="LFF (MDG-F)",MID(Proc[[#This Row],[Obj]],13,10),"")</f>
        <v>2123C00004</v>
      </c>
      <c r="J565" s="69" t="b">
        <f ca="1">Proc[[#This Row],[Requested]]=Proc[[#This Row],[CurrentParent]]</f>
        <v>1</v>
      </c>
      <c r="K565" s="69" t="str">
        <f ca="1"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38" t="str">
        <f ca="1"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 ca="1">IF(Proc[[#This Row],[type]]="LFF (MDG-F)",MID(Proc[[#This Row],[Obj]],13,10),"")</f>
        <v>2123C00007</v>
      </c>
      <c r="J566" s="69" t="b">
        <f ca="1">Proc[[#This Row],[Requested]]=Proc[[#This Row],[CurrentParent]]</f>
        <v>1</v>
      </c>
      <c r="K566" s="69" t="str">
        <f ca="1"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38" t="str">
        <f ca="1"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 ca="1">IF(Proc[[#This Row],[type]]="LFF (MDG-F)",MID(Proc[[#This Row],[Obj]],13,10),"")</f>
        <v>2123C00043</v>
      </c>
      <c r="J567" s="69" t="b">
        <f ca="1">Proc[[#This Row],[Requested]]=Proc[[#This Row],[CurrentParent]]</f>
        <v>1</v>
      </c>
      <c r="K567" s="69" t="str">
        <f ca="1"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38" t="str">
        <f ca="1"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 ca="1">IF(Proc[[#This Row],[type]]="LFF (MDG-F)",MID(Proc[[#This Row],[Obj]],13,10),"")</f>
        <v>2123C00044</v>
      </c>
      <c r="J568" s="69" t="b">
        <f ca="1">Proc[[#This Row],[Requested]]=Proc[[#This Row],[CurrentParent]]</f>
        <v>1</v>
      </c>
      <c r="K568" s="69" t="str">
        <f ca="1"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38" t="str">
        <f ca="1"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 ca="1">IF(Proc[[#This Row],[type]]="LFF (MDG-F)",MID(Proc[[#This Row],[Obj]],13,10),"")</f>
        <v>2123C00045</v>
      </c>
      <c r="J569" s="69" t="b">
        <f ca="1">Proc[[#This Row],[Requested]]=Proc[[#This Row],[CurrentParent]]</f>
        <v>1</v>
      </c>
      <c r="K569" s="69" t="str">
        <f ca="1"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38" t="str">
        <f ca="1"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 ca="1">IF(Proc[[#This Row],[type]]="LFF (MDG-F)",MID(Proc[[#This Row],[Obj]],13,10),"")</f>
        <v>2123C00074</v>
      </c>
      <c r="J570" s="69" t="b">
        <f ca="1">Proc[[#This Row],[Requested]]=Proc[[#This Row],[CurrentParent]]</f>
        <v>1</v>
      </c>
      <c r="K570" s="69" t="str">
        <f ca="1"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38" t="str">
        <f ca="1"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 ca="1">IF(Proc[[#This Row],[type]]="LFF (MDG-F)",MID(Proc[[#This Row],[Obj]],13,10),"")</f>
        <v>2123C00085</v>
      </c>
      <c r="J571" s="69" t="b">
        <f ca="1">Proc[[#This Row],[Requested]]=Proc[[#This Row],[CurrentParent]]</f>
        <v>1</v>
      </c>
      <c r="K571" s="69" t="str">
        <f ca="1"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38" t="str">
        <f ca="1"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 ca="1">IF(Proc[[#This Row],[type]]="LFF (MDG-F)",MID(Proc[[#This Row],[Obj]],13,10),"")</f>
        <v>2123C00091</v>
      </c>
      <c r="J572" s="69" t="b">
        <f ca="1">Proc[[#This Row],[Requested]]=Proc[[#This Row],[CurrentParent]]</f>
        <v>1</v>
      </c>
      <c r="K572" s="69" t="str">
        <f ca="1"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38" t="str">
        <f ca="1"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 ca="1">IF(Proc[[#This Row],[type]]="LFF (MDG-F)",MID(Proc[[#This Row],[Obj]],13,10),"")</f>
        <v>2123C08478</v>
      </c>
      <c r="J573" s="69" t="b">
        <f ca="1">Proc[[#This Row],[Requested]]=Proc[[#This Row],[CurrentParent]]</f>
        <v>1</v>
      </c>
      <c r="K573" s="69" t="str">
        <f ca="1"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38" t="str">
        <f ca="1"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 ca="1">IF(Proc[[#This Row],[type]]="LFF (MDG-F)",MID(Proc[[#This Row],[Obj]],13,10),"")</f>
        <v>2123C08504</v>
      </c>
      <c r="J574" s="69" t="b">
        <f ca="1">Proc[[#This Row],[Requested]]=Proc[[#This Row],[CurrentParent]]</f>
        <v>1</v>
      </c>
      <c r="K574" s="69" t="str">
        <f ca="1"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38" t="str">
        <f ca="1"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 ca="1">IF(Proc[[#This Row],[type]]="LFF (MDG-F)",MID(Proc[[#This Row],[Obj]],13,10),"")</f>
        <v>2123C0BS05</v>
      </c>
      <c r="J575" s="69" t="b">
        <f ca="1">Proc[[#This Row],[Requested]]=Proc[[#This Row],[CurrentParent]]</f>
        <v>1</v>
      </c>
      <c r="K575" s="69" t="str">
        <f ca="1"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38" t="str">
        <f ca="1"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 ca="1">IF(Proc[[#This Row],[type]]="LFF (MDG-F)",MID(Proc[[#This Row],[Obj]],13,10),"")</f>
        <v>2123C0BS06</v>
      </c>
      <c r="J576" s="69" t="b">
        <f ca="1">Proc[[#This Row],[Requested]]=Proc[[#This Row],[CurrentParent]]</f>
        <v>1</v>
      </c>
      <c r="K576" s="69" t="str">
        <f ca="1"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38" t="str">
        <f ca="1"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 ca="1">IF(Proc[[#This Row],[type]]="LFF (MDG-F)",MID(Proc[[#This Row],[Obj]],13,10),"")</f>
        <v>2123C0BS07</v>
      </c>
      <c r="J577" s="69" t="b">
        <f ca="1">Proc[[#This Row],[Requested]]=Proc[[#This Row],[CurrentParent]]</f>
        <v>1</v>
      </c>
      <c r="K577" s="69" t="str">
        <f ca="1"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38" t="str">
        <f ca="1"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 ca="1">IF(Proc[[#This Row],[type]]="LFF (MDG-F)",MID(Proc[[#This Row],[Obj]],13,10),"")</f>
        <v/>
      </c>
      <c r="I578" s="68" t="s">
        <v>1975</v>
      </c>
      <c r="J578" s="69" t="b">
        <f ca="1">Proc[[#This Row],[Requested]]=Proc[[#This Row],[CurrentParent]]</f>
        <v>1</v>
      </c>
      <c r="K578" s="69" t="str">
        <f ca="1"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 ca="1">VLOOKUP(Proc[[#This Row],[Obj]],#REF!,2,0)</f>
        <v>#REF!</v>
      </c>
    </row>
    <row r="579" spans="1:19" hidden="1">
      <c r="A579" s="68" t="s">
        <v>1843</v>
      </c>
      <c r="B579" s="138" t="str">
        <f ca="1"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 ca="1">IF(Proc[[#This Row],[type]]="LFF (MDG-F)",MID(Proc[[#This Row],[Obj]],13,10),"")</f>
        <v/>
      </c>
      <c r="J579" s="69" t="b">
        <f ca="1">Proc[[#This Row],[Requested]]=Proc[[#This Row],[CurrentParent]]</f>
        <v>1</v>
      </c>
      <c r="K579" s="69" t="str">
        <f ca="1"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38" t="str">
        <f ca="1"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 ca="1">IF(Proc[[#This Row],[type]]="LFF (MDG-F)",MID(Proc[[#This Row],[Obj]],13,10),"")</f>
        <v>2123C00011</v>
      </c>
      <c r="J580" s="69" t="b">
        <f ca="1">Proc[[#This Row],[Requested]]=Proc[[#This Row],[CurrentParent]]</f>
        <v>1</v>
      </c>
      <c r="K580" s="69" t="str">
        <f ca="1"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38" t="str">
        <f ca="1"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 ca="1">IF(Proc[[#This Row],[type]]="LFF (MDG-F)",MID(Proc[[#This Row],[Obj]],13,10),"")</f>
        <v>2123C00078</v>
      </c>
      <c r="J581" s="69" t="b">
        <f ca="1">Proc[[#This Row],[Requested]]=Proc[[#This Row],[CurrentParent]]</f>
        <v>1</v>
      </c>
      <c r="K581" s="69" t="str">
        <f ca="1"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38" t="str">
        <f ca="1"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 ca="1">IF(Proc[[#This Row],[type]]="LFF (MDG-F)",MID(Proc[[#This Row],[Obj]],13,10),"")</f>
        <v>2123C08519</v>
      </c>
      <c r="J582" s="69" t="b">
        <f ca="1">Proc[[#This Row],[Requested]]=Proc[[#This Row],[CurrentParent]]</f>
        <v>1</v>
      </c>
      <c r="K582" s="69" t="str">
        <f ca="1"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38" t="str">
        <f ca="1"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 ca="1">IF(Proc[[#This Row],[type]]="LFF (MDG-F)",MID(Proc[[#This Row],[Obj]],13,10),"")</f>
        <v>2123OF0010</v>
      </c>
      <c r="J583" s="69" t="b">
        <f ca="1">Proc[[#This Row],[Requested]]=Proc[[#This Row],[CurrentParent]]</f>
        <v>1</v>
      </c>
      <c r="K583" s="69" t="str">
        <f ca="1"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38" t="str">
        <f ca="1"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 ca="1">IF(Proc[[#This Row],[type]]="LFF (MDG-F)",MID(Proc[[#This Row],[Obj]],13,10),"")</f>
        <v>2123OF0018</v>
      </c>
      <c r="J584" s="69" t="b">
        <f ca="1">Proc[[#This Row],[Requested]]=Proc[[#This Row],[CurrentParent]]</f>
        <v>1</v>
      </c>
      <c r="K584" s="69" t="str">
        <f ca="1"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38" t="str">
        <f ca="1"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 ca="1">IF(Proc[[#This Row],[type]]="LFF (MDG-F)",MID(Proc[[#This Row],[Obj]],13,10),"")</f>
        <v>2123C00009</v>
      </c>
      <c r="J585" s="69" t="b">
        <f ca="1">Proc[[#This Row],[Requested]]=Proc[[#This Row],[CurrentParent]]</f>
        <v>1</v>
      </c>
      <c r="K585" s="69" t="str">
        <f ca="1"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38" t="str">
        <f ca="1"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 ca="1">IF(Proc[[#This Row],[type]]="LFF (MDG-F)",MID(Proc[[#This Row],[Obj]],13,10),"")</f>
        <v>2123C00022</v>
      </c>
      <c r="J586" s="69" t="b">
        <f ca="1">Proc[[#This Row],[Requested]]=Proc[[#This Row],[CurrentParent]]</f>
        <v>1</v>
      </c>
      <c r="K586" s="69" t="str">
        <f ca="1"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38" t="str">
        <f ca="1"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 ca="1">IF(Proc[[#This Row],[type]]="LFF (MDG-F)",MID(Proc[[#This Row],[Obj]],13,10),"")</f>
        <v>2123C00098</v>
      </c>
      <c r="J587" s="69" t="b">
        <f ca="1">Proc[[#This Row],[Requested]]=Proc[[#This Row],[CurrentParent]]</f>
        <v>1</v>
      </c>
      <c r="K587" s="69" t="str">
        <f ca="1"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38" t="str">
        <f ca="1"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 ca="1">IF(Proc[[#This Row],[type]]="LFF (MDG-F)",MID(Proc[[#This Row],[Obj]],13,10),"")</f>
        <v>2123C00103</v>
      </c>
      <c r="J588" s="69" t="b">
        <f ca="1">Proc[[#This Row],[Requested]]=Proc[[#This Row],[CurrentParent]]</f>
        <v>1</v>
      </c>
      <c r="K588" s="69" t="str">
        <f ca="1"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38" t="str">
        <f ca="1"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 ca="1">IF(Proc[[#This Row],[type]]="LFF (MDG-F)",MID(Proc[[#This Row],[Obj]],13,10),"")</f>
        <v>2123C00102</v>
      </c>
      <c r="J589" s="69" t="b">
        <f ca="1">Proc[[#This Row],[Requested]]=Proc[[#This Row],[CurrentParent]]</f>
        <v>1</v>
      </c>
      <c r="K589" s="69" t="str">
        <f ca="1"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38" t="str">
        <f ca="1"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 ca="1">IF(Proc[[#This Row],[type]]="LFF (MDG-F)",MID(Proc[[#This Row],[Obj]],13,10),"")</f>
        <v>2123OF0009</v>
      </c>
      <c r="J590" s="69" t="b">
        <f ca="1">Proc[[#This Row],[Requested]]=Proc[[#This Row],[CurrentParent]]</f>
        <v>1</v>
      </c>
      <c r="K590" s="69" t="str">
        <f ca="1"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38" t="str">
        <f ca="1"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 ca="1">IF(Proc[[#This Row],[type]]="LFF (MDG-F)",MID(Proc[[#This Row],[Obj]],13,10),"")</f>
        <v>2123TPSZ91</v>
      </c>
      <c r="J591" s="69" t="b">
        <f ca="1">Proc[[#This Row],[Requested]]=Proc[[#This Row],[CurrentParent]]</f>
        <v>1</v>
      </c>
      <c r="K591" s="69" t="str">
        <f ca="1"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38" t="str">
        <f ca="1"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 ca="1">IF(Proc[[#This Row],[type]]="LFF (MDG-F)",MID(Proc[[#This Row],[Obj]],13,10),"")</f>
        <v>2123TPSZ93</v>
      </c>
      <c r="J592" s="69" t="b">
        <f ca="1">Proc[[#This Row],[Requested]]=Proc[[#This Row],[CurrentParent]]</f>
        <v>1</v>
      </c>
      <c r="K592" s="69" t="str">
        <f ca="1"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38" t="str">
        <f ca="1"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 ca="1">IF(Proc[[#This Row],[type]]="LFF (MDG-F)",MID(Proc[[#This Row],[Obj]],13,10),"")</f>
        <v>2123L80001</v>
      </c>
      <c r="J593" s="69" t="b">
        <f ca="1">Proc[[#This Row],[Requested]]=Proc[[#This Row],[CurrentParent]]</f>
        <v>1</v>
      </c>
      <c r="K593" s="69" t="str">
        <f ca="1"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38" t="str">
        <f ca="1"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 ca="1">IF(Proc[[#This Row],[type]]="LFF (MDG-F)",MID(Proc[[#This Row],[Obj]],13,10),"")</f>
        <v>2123TPSZ90</v>
      </c>
      <c r="J594" s="69" t="b">
        <f ca="1">Proc[[#This Row],[Requested]]=Proc[[#This Row],[CurrentParent]]</f>
        <v>1</v>
      </c>
      <c r="K594" s="69" t="str">
        <f ca="1"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38" t="str">
        <f ca="1"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 ca="1">IF(Proc[[#This Row],[type]]="LFF (MDG-F)",MID(Proc[[#This Row],[Obj]],13,10),"")</f>
        <v>2123TQJZ94</v>
      </c>
      <c r="J595" s="69" t="b">
        <f ca="1">Proc[[#This Row],[Requested]]=Proc[[#This Row],[CurrentParent]]</f>
        <v>1</v>
      </c>
      <c r="K595" s="69" t="str">
        <f ca="1"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38" t="str">
        <f ca="1"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 ca="1">IF(Proc[[#This Row],[type]]="LFF (MDG-F)",MID(Proc[[#This Row],[Obj]],13,10),"")</f>
        <v>2123OF0015</v>
      </c>
      <c r="J596" s="69" t="b">
        <f ca="1">Proc[[#This Row],[Requested]]=Proc[[#This Row],[CurrentParent]]</f>
        <v>1</v>
      </c>
      <c r="K596" s="69" t="str">
        <f ca="1"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38" t="str">
        <f ca="1"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 ca="1">IF(Proc[[#This Row],[type]]="LFF (MDG-F)",MID(Proc[[#This Row],[Obj]],13,10),"")</f>
        <v>2123L50024</v>
      </c>
      <c r="J597" s="69" t="b">
        <f ca="1">Proc[[#This Row],[Requested]]=Proc[[#This Row],[CurrentParent]]</f>
        <v>1</v>
      </c>
      <c r="K597" s="69" t="str">
        <f ca="1"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38" t="str">
        <f ca="1"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 ca="1">IF(Proc[[#This Row],[type]]="LFF (MDG-F)",MID(Proc[[#This Row],[Obj]],13,10),"")</f>
        <v>2123L58472</v>
      </c>
      <c r="J598" s="69" t="b">
        <f ca="1">Proc[[#This Row],[Requested]]=Proc[[#This Row],[CurrentParent]]</f>
        <v>1</v>
      </c>
      <c r="K598" s="69" t="str">
        <f ca="1"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38" t="str">
        <f ca="1"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 ca="1">IF(Proc[[#This Row],[type]]="LFF (MDG-F)",MID(Proc[[#This Row],[Obj]],13,10),"")</f>
        <v>2123L50006</v>
      </c>
      <c r="J599" s="69" t="b">
        <f ca="1">Proc[[#This Row],[Requested]]=Proc[[#This Row],[CurrentParent]]</f>
        <v>1</v>
      </c>
      <c r="K599" s="69" t="str">
        <f ca="1"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38" t="str">
        <f ca="1"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 ca="1">IF(Proc[[#This Row],[type]]="LFF (MDG-F)",MID(Proc[[#This Row],[Obj]],13,10),"")</f>
        <v>2123L50005</v>
      </c>
      <c r="J600" s="69" t="b">
        <f ca="1">Proc[[#This Row],[Requested]]=Proc[[#This Row],[CurrentParent]]</f>
        <v>1</v>
      </c>
      <c r="K600" s="69" t="str">
        <f ca="1"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38" t="str">
        <f ca="1"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 ca="1">IF(Proc[[#This Row],[type]]="LFF (MDG-F)",MID(Proc[[#This Row],[Obj]],13,10),"")</f>
        <v>2123L50003</v>
      </c>
      <c r="J601" s="69" t="b">
        <f ca="1">Proc[[#This Row],[Requested]]=Proc[[#This Row],[CurrentParent]]</f>
        <v>1</v>
      </c>
      <c r="K601" s="69" t="str">
        <f ca="1"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38" t="str">
        <f ca="1"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 ca="1">IF(Proc[[#This Row],[type]]="LFF (MDG-F)",MID(Proc[[#This Row],[Obj]],13,10),"")</f>
        <v>2123L50004</v>
      </c>
      <c r="J602" s="69" t="b">
        <f ca="1">Proc[[#This Row],[Requested]]=Proc[[#This Row],[CurrentParent]]</f>
        <v>1</v>
      </c>
      <c r="K602" s="69" t="str">
        <f ca="1"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38" t="str">
        <f ca="1"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 ca="1">IF(Proc[[#This Row],[type]]="LFF (MDG-F)",MID(Proc[[#This Row],[Obj]],13,10),"")</f>
        <v>2123C00112</v>
      </c>
      <c r="J603" s="69" t="b">
        <f ca="1">Proc[[#This Row],[Requested]]=Proc[[#This Row],[CurrentParent]]</f>
        <v>1</v>
      </c>
      <c r="K603" s="69" t="str">
        <f ca="1"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38" t="str">
        <f ca="1"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 ca="1">IF(Proc[[#This Row],[type]]="LFF (MDG-F)",MID(Proc[[#This Row],[Obj]],13,10),"")</f>
        <v>2123OF0025</v>
      </c>
      <c r="J604" s="69" t="b">
        <f ca="1">Proc[[#This Row],[Requested]]=Proc[[#This Row],[CurrentParent]]</f>
        <v>1</v>
      </c>
      <c r="K604" s="69" t="str">
        <f ca="1"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38" t="str">
        <f ca="1"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 ca="1">IF(Proc[[#This Row],[type]]="LFF (MDG-F)",MID(Proc[[#This Row],[Obj]],13,10),"")</f>
        <v>2123OF0024</v>
      </c>
      <c r="J605" s="69" t="b">
        <f ca="1">Proc[[#This Row],[Requested]]=Proc[[#This Row],[CurrentParent]]</f>
        <v>1</v>
      </c>
      <c r="K605" s="69" t="str">
        <f ca="1"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38" t="str">
        <f ca="1"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 ca="1">IF(Proc[[#This Row],[type]]="LFF (MDG-F)",MID(Proc[[#This Row],[Obj]],13,10),"")</f>
        <v>2123OF0021</v>
      </c>
      <c r="J606" s="69" t="b">
        <f ca="1">Proc[[#This Row],[Requested]]=Proc[[#This Row],[CurrentParent]]</f>
        <v>1</v>
      </c>
      <c r="K606" s="69" t="str">
        <f ca="1"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38" t="str">
        <f ca="1"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 ca="1">IF(Proc[[#This Row],[type]]="LFF (MDG-F)",MID(Proc[[#This Row],[Obj]],13,10),"")</f>
        <v/>
      </c>
      <c r="J607" s="69" t="b">
        <f ca="1">Proc[[#This Row],[Requested]]=Proc[[#This Row],[CurrentParent]]</f>
        <v>1</v>
      </c>
      <c r="K607" s="69" t="str">
        <f ca="1"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38" t="str">
        <f ca="1"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 ca="1">IF(Proc[[#This Row],[type]]="LFF (MDG-F)",MID(Proc[[#This Row],[Obj]],13,10),"")</f>
        <v/>
      </c>
      <c r="J608" s="69" t="b">
        <f ca="1">Proc[[#This Row],[Requested]]=Proc[[#This Row],[CurrentParent]]</f>
        <v>1</v>
      </c>
      <c r="K608" s="69" t="str">
        <f ca="1"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38" t="str">
        <f ca="1"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 ca="1">IF(Proc[[#This Row],[type]]="LFF (MDG-F)",MID(Proc[[#This Row],[Obj]],13,10),"")</f>
        <v/>
      </c>
      <c r="J609" s="69" t="b">
        <f ca="1">Proc[[#This Row],[Requested]]=Proc[[#This Row],[CurrentParent]]</f>
        <v>1</v>
      </c>
      <c r="K609" s="69" t="str">
        <f ca="1"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38" t="str">
        <f ca="1"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 ca="1">IF(Proc[[#This Row],[type]]="LFF (MDG-F)",MID(Proc[[#This Row],[Obj]],13,10),"")</f>
        <v/>
      </c>
      <c r="J610" s="69" t="b">
        <f ca="1">Proc[[#This Row],[Requested]]=Proc[[#This Row],[CurrentParent]]</f>
        <v>1</v>
      </c>
      <c r="K610" s="69" t="str">
        <f ca="1"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38" t="str">
        <f ca="1"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 ca="1">IF(Proc[[#This Row],[type]]="LFF (MDG-F)",MID(Proc[[#This Row],[Obj]],13,10),"")</f>
        <v/>
      </c>
      <c r="J611" s="69" t="b">
        <f ca="1">Proc[[#This Row],[Requested]]=Proc[[#This Row],[CurrentParent]]</f>
        <v>1</v>
      </c>
      <c r="K611" s="69" t="str">
        <f ca="1"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38" t="str">
        <f ca="1"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 ca="1">IF(Proc[[#This Row],[type]]="LFF (MDG-F)",MID(Proc[[#This Row],[Obj]],13,10),"")</f>
        <v>US20Z01000</v>
      </c>
      <c r="I612" t="s">
        <v>822</v>
      </c>
      <c r="J612" s="69" t="b">
        <f ca="1">Proc[[#This Row],[Requested]]=Proc[[#This Row],[CurrentParent]]</f>
        <v>1</v>
      </c>
      <c r="K612" s="69" t="str">
        <f ca="1"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146</v>
      </c>
      <c r="R612" s="70" t="s">
        <v>1076</v>
      </c>
      <c r="S612" s="94" t="e">
        <f ca="1">VLOOKUP(Proc[[#This Row],[Obj]],#REF!,2,0)</f>
        <v>#REF!</v>
      </c>
    </row>
    <row r="613" spans="1:19" hidden="1">
      <c r="A613" s="68" t="s">
        <v>1998</v>
      </c>
      <c r="B613" s="138" t="str">
        <f ca="1"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 ca="1">IF(Proc[[#This Row],[type]]="LFF (MDG-F)",MID(Proc[[#This Row],[Obj]],13,10),"")</f>
        <v>US16Z01000</v>
      </c>
      <c r="I613" s="68" t="s">
        <v>822</v>
      </c>
      <c r="J613" s="69" t="b">
        <f ca="1">Proc[[#This Row],[Requested]]=Proc[[#This Row],[CurrentParent]]</f>
        <v>1</v>
      </c>
      <c r="K613" s="69" t="str">
        <f ca="1"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146</v>
      </c>
      <c r="R613" s="70" t="s">
        <v>1076</v>
      </c>
      <c r="S613" s="94" t="e">
        <f ca="1">VLOOKUP(Proc[[#This Row],[Obj]],#REF!,2,0)</f>
        <v>#REF!</v>
      </c>
    </row>
    <row r="614" spans="1:19" hidden="1">
      <c r="A614" s="68" t="s">
        <v>1998</v>
      </c>
      <c r="B614" s="138" t="str">
        <f ca="1"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 ca="1">IF(Proc[[#This Row],[type]]="LFF (MDG-F)",MID(Proc[[#This Row],[Obj]],13,10),"")</f>
        <v>US14Z01000</v>
      </c>
      <c r="I614" s="68" t="s">
        <v>822</v>
      </c>
      <c r="J614" s="69" t="b">
        <f ca="1">Proc[[#This Row],[Requested]]=Proc[[#This Row],[CurrentParent]]</f>
        <v>1</v>
      </c>
      <c r="K614" s="69" t="str">
        <f ca="1"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146</v>
      </c>
      <c r="R614" s="70" t="s">
        <v>1076</v>
      </c>
      <c r="S614" s="94" t="e">
        <f ca="1">VLOOKUP(Proc[[#This Row],[Obj]],#REF!,2,0)</f>
        <v>#REF!</v>
      </c>
    </row>
    <row r="615" spans="1:19" hidden="1">
      <c r="A615" s="68" t="s">
        <v>1998</v>
      </c>
      <c r="B615" s="138" t="str">
        <f ca="1"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 ca="1">IF(Proc[[#This Row],[type]]="LFF (MDG-F)",MID(Proc[[#This Row],[Obj]],13,10),"")</f>
        <v>US15Z01000</v>
      </c>
      <c r="I615" s="68" t="s">
        <v>822</v>
      </c>
      <c r="J615" s="69" t="b">
        <f ca="1">Proc[[#This Row],[Requested]]=Proc[[#This Row],[CurrentParent]]</f>
        <v>1</v>
      </c>
      <c r="K615" s="69" t="str">
        <f ca="1"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146</v>
      </c>
      <c r="R615" s="70" t="s">
        <v>1076</v>
      </c>
      <c r="S615" s="94" t="e">
        <f ca="1">VLOOKUP(Proc[[#This Row],[Obj]],#REF!,2,0)</f>
        <v>#REF!</v>
      </c>
    </row>
    <row r="616" spans="1:19" hidden="1">
      <c r="A616" s="68" t="s">
        <v>1998</v>
      </c>
      <c r="B616" s="138" t="str">
        <f ca="1"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 ca="1">IF(Proc[[#This Row],[type]]="LFF (MDG-F)",MID(Proc[[#This Row],[Obj]],13,10),"")</f>
        <v>US01TNHZ06</v>
      </c>
      <c r="I616" s="68" t="s">
        <v>2220</v>
      </c>
      <c r="J616" s="69" t="b">
        <f ca="1">Proc[[#This Row],[Requested]]=Proc[[#This Row],[CurrentParent]]</f>
        <v>1</v>
      </c>
      <c r="K616" s="69" t="str">
        <f ca="1"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146</v>
      </c>
      <c r="R616" s="70" t="s">
        <v>1076</v>
      </c>
      <c r="S616" s="94" t="e">
        <f ca="1">VLOOKUP(Proc[[#This Row],[Obj]],#REF!,2,0)</f>
        <v>#REF!</v>
      </c>
    </row>
    <row r="617" spans="1:19" hidden="1">
      <c r="A617" s="68" t="s">
        <v>1998</v>
      </c>
      <c r="B617" s="138" t="str">
        <f ca="1"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 ca="1">IF(Proc[[#This Row],[type]]="LFF (MDG-F)",MID(Proc[[#This Row],[Obj]],13,10),"")</f>
        <v>TW03TOKA00</v>
      </c>
      <c r="I617" s="68" t="s">
        <v>2220</v>
      </c>
      <c r="J617" s="69" t="b">
        <f ca="1">Proc[[#This Row],[Requested]]=Proc[[#This Row],[CurrentParent]]</f>
        <v>1</v>
      </c>
      <c r="K617" s="69" t="str">
        <f ca="1"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146</v>
      </c>
      <c r="R617" s="70" t="s">
        <v>1076</v>
      </c>
      <c r="S617" s="94" t="e">
        <f ca="1">VLOOKUP(Proc[[#This Row],[Obj]],#REF!,2,0)</f>
        <v>#REF!</v>
      </c>
    </row>
    <row r="618" spans="1:19" hidden="1">
      <c r="A618" s="68" t="s">
        <v>1998</v>
      </c>
      <c r="B618" s="138" t="str">
        <f ca="1"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 ca="1">IF(Proc[[#This Row],[type]]="LFF (MDG-F)",MID(Proc[[#This Row],[Obj]],13,10),"")</f>
        <v>US01TNHZ05</v>
      </c>
      <c r="I618" s="68" t="s">
        <v>2220</v>
      </c>
      <c r="J618" s="69" t="b">
        <f ca="1">Proc[[#This Row],[Requested]]=Proc[[#This Row],[CurrentParent]]</f>
        <v>1</v>
      </c>
      <c r="K618" s="69" t="str">
        <f ca="1"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146</v>
      </c>
      <c r="R618" s="70" t="s">
        <v>1076</v>
      </c>
      <c r="S618" s="94" t="e">
        <f ca="1">VLOOKUP(Proc[[#This Row],[Obj]],#REF!,2,0)</f>
        <v>#REF!</v>
      </c>
    </row>
    <row r="619" spans="1:19" hidden="1">
      <c r="A619" s="68" t="s">
        <v>1998</v>
      </c>
      <c r="B619" s="138" t="str">
        <f ca="1"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 ca="1">IF(Proc[[#This Row],[type]]="LFF (MDG-F)",MID(Proc[[#This Row],[Obj]],13,10),"")</f>
        <v>US01TN0001</v>
      </c>
      <c r="J619" s="69" t="b">
        <f ca="1">Proc[[#This Row],[Requested]]=Proc[[#This Row],[CurrentParent]]</f>
        <v>1</v>
      </c>
      <c r="K619" s="69" t="str">
        <f ca="1"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146</v>
      </c>
      <c r="R619" s="70" t="s">
        <v>1076</v>
      </c>
      <c r="S619" s="69"/>
    </row>
    <row r="620" spans="1:19" hidden="1">
      <c r="A620" s="68" t="s">
        <v>1998</v>
      </c>
      <c r="B620" s="138" t="str">
        <f ca="1"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 ca="1">IF(Proc[[#This Row],[type]]="LFF (MDG-F)",MID(Proc[[#This Row],[Obj]],13,10),"")</f>
        <v>US10TN2100</v>
      </c>
      <c r="J620" s="69" t="b">
        <f ca="1">Proc[[#This Row],[Requested]]=Proc[[#This Row],[CurrentParent]]</f>
        <v>1</v>
      </c>
      <c r="K620" s="69" t="str">
        <f ca="1"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146</v>
      </c>
      <c r="R620" s="70" t="s">
        <v>1076</v>
      </c>
      <c r="S620" s="69"/>
    </row>
    <row r="621" spans="1:19" hidden="1">
      <c r="A621" s="68" t="s">
        <v>1998</v>
      </c>
      <c r="B621" s="138" t="str">
        <f ca="1"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 ca="1">IF(Proc[[#This Row],[type]]="LFF (MDG-F)",MID(Proc[[#This Row],[Obj]],13,10),"")</f>
        <v>CN10C01004</v>
      </c>
      <c r="J621" s="69" t="b">
        <f ca="1">Proc[[#This Row],[Requested]]=Proc[[#This Row],[CurrentParent]]</f>
        <v>1</v>
      </c>
      <c r="K621" s="69" t="str">
        <f ca="1"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146</v>
      </c>
      <c r="R621" s="70" t="s">
        <v>1076</v>
      </c>
      <c r="S621" s="69"/>
    </row>
    <row r="622" spans="1:19" hidden="1">
      <c r="A622" s="68" t="s">
        <v>1998</v>
      </c>
      <c r="B622" s="138" t="str">
        <f ca="1"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 ca="1">IF(Proc[[#This Row],[type]]="LFF (MDG-F)",MID(Proc[[#This Row],[Obj]],13,10),"")</f>
        <v/>
      </c>
      <c r="J622" s="69" t="b">
        <f ca="1">Proc[[#This Row],[Requested]]=Proc[[#This Row],[CurrentParent]]</f>
        <v>1</v>
      </c>
      <c r="K622" s="69" t="str">
        <f ca="1"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146</v>
      </c>
      <c r="R622" s="70" t="s">
        <v>1076</v>
      </c>
      <c r="S622" s="69"/>
    </row>
    <row r="623" spans="1:19" hidden="1">
      <c r="A623" t="s">
        <v>2009</v>
      </c>
      <c r="B623" s="138" t="str">
        <f ca="1"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 ca="1">IF(Proc[[#This Row],[type]]="LFF (MDG-F)",MID(Proc[[#This Row],[Obj]],13,10),"")</f>
        <v/>
      </c>
      <c r="J623" s="69" t="b">
        <f ca="1">Proc[[#This Row],[Requested]]=Proc[[#This Row],[CurrentParent]]</f>
        <v>1</v>
      </c>
      <c r="K623" s="69" t="str">
        <f ca="1"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146</v>
      </c>
      <c r="R623" s="70" t="s">
        <v>1001</v>
      </c>
      <c r="S623" s="69"/>
    </row>
    <row r="624" spans="1:19" hidden="1">
      <c r="A624" s="68" t="s">
        <v>2009</v>
      </c>
      <c r="B624" s="138" t="str">
        <f ca="1"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 ca="1">IF(Proc[[#This Row],[type]]="LFF (MDG-F)",MID(Proc[[#This Row],[Obj]],13,10),"")</f>
        <v/>
      </c>
      <c r="J624" s="69" t="b">
        <f ca="1">Proc[[#This Row],[Requested]]=Proc[[#This Row],[CurrentParent]]</f>
        <v>1</v>
      </c>
      <c r="K624" s="69" t="str">
        <f ca="1"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146</v>
      </c>
      <c r="R624" s="70" t="s">
        <v>1001</v>
      </c>
      <c r="S624" s="69"/>
    </row>
    <row r="625" spans="1:19" hidden="1">
      <c r="A625" s="68" t="s">
        <v>2009</v>
      </c>
      <c r="B625" s="138" t="str">
        <f ca="1"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 ca="1">IF(Proc[[#This Row],[type]]="LFF (MDG-F)",MID(Proc[[#This Row],[Obj]],13,10),"")</f>
        <v/>
      </c>
      <c r="J625" s="69" t="b">
        <f ca="1">Proc[[#This Row],[Requested]]=Proc[[#This Row],[CurrentParent]]</f>
        <v>1</v>
      </c>
      <c r="K625" s="69" t="str">
        <f ca="1"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146</v>
      </c>
      <c r="R625" s="70" t="s">
        <v>1001</v>
      </c>
      <c r="S625" s="69"/>
    </row>
    <row r="626" spans="1:19" hidden="1">
      <c r="A626" s="68" t="s">
        <v>2009</v>
      </c>
      <c r="B626" s="138" t="str">
        <f ca="1"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 ca="1">IF(Proc[[#This Row],[type]]="LFF (MDG-F)",MID(Proc[[#This Row],[Obj]],13,10),"")</f>
        <v/>
      </c>
      <c r="J626" s="69" t="b">
        <f ca="1">Proc[[#This Row],[Requested]]=Proc[[#This Row],[CurrentParent]]</f>
        <v>1</v>
      </c>
      <c r="K626" s="69" t="str">
        <f ca="1"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146</v>
      </c>
      <c r="R626" s="70" t="s">
        <v>1001</v>
      </c>
      <c r="S626" s="69"/>
    </row>
    <row r="627" spans="1:19" hidden="1">
      <c r="A627" s="68" t="s">
        <v>2009</v>
      </c>
      <c r="B627" s="138" t="str">
        <f ca="1"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 ca="1">IF(Proc[[#This Row],[type]]="LFF (MDG-F)",MID(Proc[[#This Row],[Obj]],13,10),"")</f>
        <v/>
      </c>
      <c r="J627" s="69" t="b">
        <f ca="1">Proc[[#This Row],[Requested]]=Proc[[#This Row],[CurrentParent]]</f>
        <v>1</v>
      </c>
      <c r="K627" s="69" t="str">
        <f ca="1"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146</v>
      </c>
      <c r="R627" s="70" t="s">
        <v>1001</v>
      </c>
      <c r="S627" s="69"/>
    </row>
    <row r="628" spans="1:19" hidden="1">
      <c r="A628" t="s">
        <v>2009</v>
      </c>
      <c r="B628" s="138" t="str">
        <f ca="1"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 ca="1">IF(Proc[[#This Row],[type]]="LFF (MDG-F)",MID(Proc[[#This Row],[Obj]],13,10),"")</f>
        <v/>
      </c>
      <c r="J628" s="69" t="b">
        <f ca="1">Proc[[#This Row],[Requested]]=Proc[[#This Row],[CurrentParent]]</f>
        <v>1</v>
      </c>
      <c r="K628" s="69" t="str">
        <f ca="1"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146</v>
      </c>
      <c r="R628" s="70" t="s">
        <v>1001</v>
      </c>
      <c r="S628" s="69"/>
    </row>
    <row r="629" spans="1:19" hidden="1">
      <c r="A629" s="68" t="s">
        <v>2009</v>
      </c>
      <c r="B629" s="138" t="str">
        <f ca="1"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 ca="1">IF(Proc[[#This Row],[type]]="LFF (MDG-F)",MID(Proc[[#This Row],[Obj]],13,10),"")</f>
        <v/>
      </c>
      <c r="J629" s="69" t="b">
        <f ca="1">Proc[[#This Row],[Requested]]=Proc[[#This Row],[CurrentParent]]</f>
        <v>1</v>
      </c>
      <c r="K629" s="69" t="str">
        <f ca="1"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146</v>
      </c>
      <c r="R629" s="70" t="s">
        <v>1001</v>
      </c>
      <c r="S629" s="69"/>
    </row>
    <row r="630" spans="1:19" hidden="1">
      <c r="A630" s="68" t="s">
        <v>2009</v>
      </c>
      <c r="B630" s="138" t="str">
        <f ca="1"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 ca="1">IF(Proc[[#This Row],[type]]="LFF (MDG-F)",MID(Proc[[#This Row],[Obj]],13,10),"")</f>
        <v/>
      </c>
      <c r="J630" s="69" t="b">
        <f ca="1">Proc[[#This Row],[Requested]]=Proc[[#This Row],[CurrentParent]]</f>
        <v>1</v>
      </c>
      <c r="K630" s="69" t="str">
        <f ca="1"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146</v>
      </c>
      <c r="R630" s="70" t="s">
        <v>1001</v>
      </c>
      <c r="S630" s="69"/>
    </row>
    <row r="631" spans="1:19" hidden="1">
      <c r="A631" s="68" t="s">
        <v>2009</v>
      </c>
      <c r="B631" s="138" t="str">
        <f ca="1"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 ca="1">IF(Proc[[#This Row],[type]]="LFF (MDG-F)",MID(Proc[[#This Row],[Obj]],13,10),"")</f>
        <v/>
      </c>
      <c r="J631" s="69" t="b">
        <f ca="1">Proc[[#This Row],[Requested]]=Proc[[#This Row],[CurrentParent]]</f>
        <v>1</v>
      </c>
      <c r="K631" s="69" t="str">
        <f ca="1"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146</v>
      </c>
      <c r="R631" s="70" t="s">
        <v>1001</v>
      </c>
      <c r="S631" s="69"/>
    </row>
    <row r="632" spans="1:19" hidden="1">
      <c r="A632" s="68" t="s">
        <v>2009</v>
      </c>
      <c r="B632" s="138" t="str">
        <f ca="1"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 ca="1">IF(Proc[[#This Row],[type]]="LFF (MDG-F)",MID(Proc[[#This Row],[Obj]],13,10),"")</f>
        <v/>
      </c>
      <c r="J632" s="69" t="b">
        <f ca="1">Proc[[#This Row],[Requested]]=Proc[[#This Row],[CurrentParent]]</f>
        <v>1</v>
      </c>
      <c r="K632" s="69" t="str">
        <f ca="1"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146</v>
      </c>
      <c r="R632" s="70" t="s">
        <v>1001</v>
      </c>
      <c r="S632" s="69"/>
    </row>
    <row r="633" spans="1:19" hidden="1">
      <c r="A633" s="68" t="s">
        <v>2025</v>
      </c>
      <c r="B633" s="138" t="str">
        <f ca="1"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 ca="1">IF(Proc[[#This Row],[type]]="LFF (MDG-F)",MID(Proc[[#This Row],[Obj]],13,10),"")</f>
        <v/>
      </c>
      <c r="J633" s="69" t="b">
        <f ca="1">Proc[[#This Row],[Requested]]=Proc[[#This Row],[CurrentParent]]</f>
        <v>1</v>
      </c>
      <c r="K633" s="69" t="str">
        <f ca="1"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38" t="str">
        <f ca="1"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 ca="1">IF(Proc[[#This Row],[type]]="LFF (MDG-F)",MID(Proc[[#This Row],[Obj]],13,10),"")</f>
        <v/>
      </c>
      <c r="J634" s="69" t="b">
        <f ca="1">Proc[[#This Row],[Requested]]=Proc[[#This Row],[CurrentParent]]</f>
        <v>1</v>
      </c>
      <c r="K634" s="69" t="str">
        <f ca="1"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38" t="str">
        <f ca="1"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 ca="1">IF(Proc[[#This Row],[type]]="LFF (MDG-F)",MID(Proc[[#This Row],[Obj]],13,10),"")</f>
        <v/>
      </c>
      <c r="J635" s="69" t="b">
        <f ca="1">Proc[[#This Row],[Requested]]=Proc[[#This Row],[CurrentParent]]</f>
        <v>1</v>
      </c>
      <c r="K635" s="69" t="str">
        <f ca="1"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145</v>
      </c>
      <c r="R635" s="70" t="s">
        <v>830</v>
      </c>
      <c r="S635" s="69"/>
    </row>
    <row r="636" spans="1:19" hidden="1">
      <c r="A636" s="68" t="s">
        <v>2003</v>
      </c>
      <c r="B636" s="138" t="str">
        <f ca="1"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 ca="1">IF(Proc[[#This Row],[type]]="LFF (MDG-F)",MID(Proc[[#This Row],[Obj]],13,10),"")</f>
        <v/>
      </c>
      <c r="J636" s="69" t="b">
        <f ca="1">Proc[[#This Row],[Requested]]=Proc[[#This Row],[CurrentParent]]</f>
        <v>1</v>
      </c>
      <c r="K636" s="69" t="str">
        <f ca="1"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145</v>
      </c>
      <c r="R636" s="70" t="s">
        <v>830</v>
      </c>
      <c r="S636" s="69"/>
    </row>
    <row r="637" spans="1:19" hidden="1">
      <c r="A637" s="68" t="s">
        <v>2003</v>
      </c>
      <c r="B637" s="138" t="str">
        <f ca="1"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 ca="1">IF(Proc[[#This Row],[type]]="LFF (MDG-F)",MID(Proc[[#This Row],[Obj]],13,10),"")</f>
        <v/>
      </c>
      <c r="J637" s="69" t="b">
        <f ca="1">Proc[[#This Row],[Requested]]=Proc[[#This Row],[CurrentParent]]</f>
        <v>1</v>
      </c>
      <c r="K637" s="69" t="str">
        <f ca="1"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145</v>
      </c>
      <c r="R637" s="70" t="s">
        <v>830</v>
      </c>
      <c r="S637" s="69"/>
    </row>
    <row r="638" spans="1:19" hidden="1">
      <c r="A638" t="s">
        <v>2003</v>
      </c>
      <c r="B638" s="138" t="str">
        <f ca="1"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 ca="1">IF(Proc[[#This Row],[type]]="LFF (MDG-F)",MID(Proc[[#This Row],[Obj]],13,10),"")</f>
        <v/>
      </c>
      <c r="J638" s="69" t="b">
        <f ca="1">Proc[[#This Row],[Requested]]=Proc[[#This Row],[CurrentParent]]</f>
        <v>1</v>
      </c>
      <c r="K638" s="69" t="str">
        <f ca="1"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145</v>
      </c>
      <c r="R638" s="70" t="s">
        <v>830</v>
      </c>
      <c r="S638" s="69"/>
    </row>
    <row r="639" spans="1:19" hidden="1">
      <c r="A639" t="s">
        <v>2003</v>
      </c>
      <c r="B639" s="138" t="str">
        <f ca="1"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 ca="1">IF(Proc[[#This Row],[type]]="LFF (MDG-F)",MID(Proc[[#This Row],[Obj]],13,10),"")</f>
        <v/>
      </c>
      <c r="J639" s="69" t="b">
        <f ca="1">Proc[[#This Row],[Requested]]=Proc[[#This Row],[CurrentParent]]</f>
        <v>1</v>
      </c>
      <c r="K639" s="69" t="str">
        <f ca="1"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145</v>
      </c>
      <c r="R639" s="70" t="s">
        <v>830</v>
      </c>
      <c r="S639" s="69"/>
    </row>
    <row r="640" spans="1:19" hidden="1">
      <c r="A640" t="s">
        <v>2026</v>
      </c>
      <c r="B640" s="138" t="str">
        <f ca="1"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 ca="1">IF(Proc[[#This Row],[type]]="LFF (MDG-F)",MID(Proc[[#This Row],[Obj]],13,10),"")</f>
        <v>DE20538341</v>
      </c>
      <c r="J640" s="69" t="b">
        <f ca="1">Proc[[#This Row],[Requested]]=Proc[[#This Row],[CurrentParent]]</f>
        <v>1</v>
      </c>
      <c r="K640" s="69" t="str">
        <f ca="1"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38" t="str">
        <f ca="1"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 ca="1">IF(Proc[[#This Row],[type]]="LFF (MDG-F)",MID(Proc[[#This Row],[Obj]],13,10),"")</f>
        <v>DE10538341</v>
      </c>
      <c r="J641" s="69" t="b">
        <f ca="1">Proc[[#This Row],[Requested]]=Proc[[#This Row],[CurrentParent]]</f>
        <v>1</v>
      </c>
      <c r="K641" s="69" t="str">
        <f ca="1"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38" t="str">
        <f ca="1"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 ca="1">IF(Proc[[#This Row],[type]]="LFF (MDG-F)",MID(Proc[[#This Row],[Obj]],13,10),"")</f>
        <v>DE10G69660</v>
      </c>
      <c r="J642" s="69" t="b">
        <f ca="1">Proc[[#This Row],[Requested]]=Proc[[#This Row],[CurrentParent]]</f>
        <v>1</v>
      </c>
      <c r="K642" s="69" t="str">
        <f ca="1"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38" t="str">
        <f ca="1"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 ca="1">IF(Proc[[#This Row],[type]]="LFF (MDG-F)",MID(Proc[[#This Row],[Obj]],13,10),"")</f>
        <v>ZA50GM2260</v>
      </c>
      <c r="J643" s="69" t="b">
        <f ca="1">Proc[[#This Row],[Requested]]=Proc[[#This Row],[CurrentParent]]</f>
        <v>1</v>
      </c>
      <c r="K643" s="69" t="str">
        <f ca="1"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38" t="str">
        <f ca="1"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 ca="1">IF(Proc[[#This Row],[type]]="LFF (MDG-F)",MID(Proc[[#This Row],[Obj]],13,10),"")</f>
        <v/>
      </c>
      <c r="J644" s="69" t="b">
        <f ca="1">Proc[[#This Row],[Requested]]=Proc[[#This Row],[CurrentParent]]</f>
        <v>1</v>
      </c>
      <c r="K644" s="69" t="str">
        <f ca="1"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38" t="str">
        <f ca="1"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 ca="1">IF(Proc[[#This Row],[type]]="LFF (MDG-F)",MID(Proc[[#This Row],[Obj]],13,10),"")</f>
        <v/>
      </c>
      <c r="I645" t="s">
        <v>2050</v>
      </c>
      <c r="J645" s="69" t="b">
        <f ca="1">Proc[[#This Row],[Requested]]=Proc[[#This Row],[CurrentParent]]</f>
        <v>1</v>
      </c>
      <c r="K645" s="69" t="str">
        <f ca="1"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38" t="str">
        <f ca="1"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 ca="1">IF(Proc[[#This Row],[type]]="LFF (MDG-F)",MID(Proc[[#This Row],[Obj]],13,10),"")</f>
        <v>KR03C00402</v>
      </c>
      <c r="J646" s="69" t="b">
        <f ca="1">Proc[[#This Row],[Requested]]=Proc[[#This Row],[CurrentParent]]</f>
        <v>1</v>
      </c>
      <c r="K646" s="69" t="str">
        <f ca="1"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38" t="str">
        <f ca="1"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 ca="1">IF(Proc[[#This Row],[type]]="LFF (MDG-F)",MID(Proc[[#This Row],[Obj]],13,10),"")</f>
        <v>US01C01107</v>
      </c>
      <c r="J647" s="69" t="b">
        <f ca="1">Proc[[#This Row],[Requested]]=Proc[[#This Row],[CurrentParent]]</f>
        <v>1</v>
      </c>
      <c r="K647" s="69" t="str">
        <f ca="1"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38" t="str">
        <f ca="1"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 ca="1">IF(Proc[[#This Row],[type]]="LFF (MDG-F)",MID(Proc[[#This Row],[Obj]],13,10),"")</f>
        <v/>
      </c>
      <c r="J648" s="69" t="b">
        <f ca="1">Proc[[#This Row],[Requested]]=Proc[[#This Row],[CurrentParent]]</f>
        <v>1</v>
      </c>
      <c r="K648" s="69" t="str">
        <f ca="1"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38" t="str">
        <f ca="1"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 ca="1">IF(Proc[[#This Row],[type]]="LFF (MDG-F)",MID(Proc[[#This Row],[Obj]],13,10),"")</f>
        <v/>
      </c>
      <c r="J649" s="69" t="b">
        <f ca="1">Proc[[#This Row],[Requested]]=Proc[[#This Row],[CurrentParent]]</f>
        <v>1</v>
      </c>
      <c r="K649" s="69" t="str">
        <f ca="1"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38" t="str">
        <f ca="1"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 ca="1">IF(Proc[[#This Row],[type]]="LFF (MDG-F)",MID(Proc[[#This Row],[Obj]],13,10),"")</f>
        <v/>
      </c>
      <c r="J650" s="69" t="b">
        <f ca="1">Proc[[#This Row],[Requested]]=Proc[[#This Row],[CurrentParent]]</f>
        <v>1</v>
      </c>
      <c r="K650" s="69" t="str">
        <f ca="1"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38" t="str">
        <f ca="1"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 ca="1">IF(Proc[[#This Row],[type]]="LFF (MDG-F)",MID(Proc[[#This Row],[Obj]],13,10),"")</f>
        <v/>
      </c>
      <c r="J651" s="69" t="b">
        <f ca="1">Proc[[#This Row],[Requested]]=Proc[[#This Row],[CurrentParent]]</f>
        <v>1</v>
      </c>
      <c r="K651" s="69" t="str">
        <f ca="1"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38" t="str">
        <f ca="1"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 ca="1">IF(Proc[[#This Row],[type]]="LFF (MDG-F)",MID(Proc[[#This Row],[Obj]],13,10),"")</f>
        <v>AE50GCO220</v>
      </c>
      <c r="J652" s="69" t="b">
        <f ca="1">Proc[[#This Row],[Requested]]=Proc[[#This Row],[CurrentParent]]</f>
        <v>1</v>
      </c>
      <c r="K652" s="69" t="str">
        <f ca="1"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38" t="str">
        <f ca="1"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 ca="1">IF(Proc[[#This Row],[type]]="LFF (MDG-F)",MID(Proc[[#This Row],[Obj]],13,10),"")</f>
        <v/>
      </c>
      <c r="J653" s="69" t="b">
        <f ca="1">Proc[[#This Row],[Requested]]=Proc[[#This Row],[CurrentParent]]</f>
        <v>1</v>
      </c>
      <c r="K653" s="69" t="str">
        <f ca="1"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38" t="str">
        <f ca="1"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 ca="1">IF(Proc[[#This Row],[type]]="LFF (MDG-F)",MID(Proc[[#This Row],[Obj]],13,10),"")</f>
        <v/>
      </c>
      <c r="J654" s="69" t="b">
        <f ca="1">Proc[[#This Row],[Requested]]=Proc[[#This Row],[CurrentParent]]</f>
        <v>1</v>
      </c>
      <c r="K654" s="69" t="str">
        <f ca="1"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38" t="str">
        <f ca="1"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 ca="1">IF(Proc[[#This Row],[type]]="LFF (MDG-F)",MID(Proc[[#This Row],[Obj]],13,10),"")</f>
        <v/>
      </c>
      <c r="J655" s="69" t="b">
        <f ca="1">Proc[[#This Row],[Requested]]=Proc[[#This Row],[CurrentParent]]</f>
        <v>1</v>
      </c>
      <c r="K655" s="69" t="str">
        <f ca="1"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38" t="str">
        <f ca="1"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 ca="1">IF(Proc[[#This Row],[type]]="LFF (MDG-F)",MID(Proc[[#This Row],[Obj]],13,10),"")</f>
        <v>DE10OF0005</v>
      </c>
      <c r="J656" s="69" t="b">
        <f ca="1">Proc[[#This Row],[Requested]]=Proc[[#This Row],[CurrentParent]]</f>
        <v>1</v>
      </c>
      <c r="K656" s="69" t="str">
        <f ca="1"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38" t="str">
        <f ca="1"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 ca="1">IF(Proc[[#This Row],[type]]="LFF (MDG-F)",MID(Proc[[#This Row],[Obj]],13,10),"")</f>
        <v>2123OF0029</v>
      </c>
      <c r="J657" s="69" t="b">
        <f ca="1">Proc[[#This Row],[Requested]]=Proc[[#This Row],[CurrentParent]]</f>
        <v>1</v>
      </c>
      <c r="K657" s="69" t="str">
        <f ca="1"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38" t="str">
        <f ca="1"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 ca="1">IF(Proc[[#This Row],[type]]="LFF (MDG-F)",MID(Proc[[#This Row],[Obj]],13,10),"")</f>
        <v/>
      </c>
      <c r="J658" s="69" t="b">
        <f ca="1">Proc[[#This Row],[Requested]]=Proc[[#This Row],[CurrentParent]]</f>
        <v>1</v>
      </c>
      <c r="K658" s="69" t="str">
        <f ca="1"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38" t="str">
        <f ca="1"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 ca="1">IF(Proc[[#This Row],[type]]="LFF (MDG-F)",MID(Proc[[#This Row],[Obj]],13,10),"")</f>
        <v/>
      </c>
      <c r="J659" s="69" t="b">
        <f ca="1">Proc[[#This Row],[Requested]]=Proc[[#This Row],[CurrentParent]]</f>
        <v>1</v>
      </c>
      <c r="K659" s="69" t="str">
        <f ca="1"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38" t="str">
        <f ca="1"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 ca="1">IF(Proc[[#This Row],[type]]="LFF (MDG-F)",MID(Proc[[#This Row],[Obj]],13,10),"")</f>
        <v/>
      </c>
      <c r="J660" s="69" t="b">
        <f ca="1">Proc[[#This Row],[Requested]]=Proc[[#This Row],[CurrentParent]]</f>
        <v>1</v>
      </c>
      <c r="K660" s="69" t="str">
        <f ca="1"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38" t="str">
        <f ca="1"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 ca="1">IF(Proc[[#This Row],[type]]="LFF (MDG-F)",MID(Proc[[#This Row],[Obj]],13,10),"")</f>
        <v/>
      </c>
      <c r="J661" s="69" t="b">
        <f ca="1">Proc[[#This Row],[Requested]]=Proc[[#This Row],[CurrentParent]]</f>
        <v>1</v>
      </c>
      <c r="K661" s="69" t="str">
        <f ca="1"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38" t="str">
        <f ca="1"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 ca="1">IF(Proc[[#This Row],[type]]="LFF (MDG-F)",MID(Proc[[#This Row],[Obj]],13,10),"")</f>
        <v/>
      </c>
      <c r="J662" s="69" t="b">
        <f ca="1">Proc[[#This Row],[Requested]]=Proc[[#This Row],[CurrentParent]]</f>
        <v>1</v>
      </c>
      <c r="K662" s="69" t="str">
        <f ca="1"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38" t="str">
        <f ca="1"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 ca="1">IF(Proc[[#This Row],[type]]="LFF (MDG-F)",MID(Proc[[#This Row],[Obj]],13,10),"")</f>
        <v/>
      </c>
      <c r="J663" s="69" t="b">
        <f ca="1">Proc[[#This Row],[Requested]]=Proc[[#This Row],[CurrentParent]]</f>
        <v>1</v>
      </c>
      <c r="K663" s="69" t="str">
        <f ca="1"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38" t="str">
        <f ca="1"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 ca="1">IF(Proc[[#This Row],[type]]="LFF (MDG-F)",MID(Proc[[#This Row],[Obj]],13,10),"")</f>
        <v/>
      </c>
      <c r="J664" s="69" t="b">
        <f ca="1">Proc[[#This Row],[Requested]]=Proc[[#This Row],[CurrentParent]]</f>
        <v>1</v>
      </c>
      <c r="K664" s="69" t="str">
        <f ca="1"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38" t="str">
        <f ca="1"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 ca="1">IF(Proc[[#This Row],[type]]="LFF (MDG-F)",MID(Proc[[#This Row],[Obj]],13,10),"")</f>
        <v/>
      </c>
      <c r="J665" s="69" t="b">
        <f ca="1">Proc[[#This Row],[Requested]]=Proc[[#This Row],[CurrentParent]]</f>
        <v>1</v>
      </c>
      <c r="K665" s="69" t="str">
        <f ca="1"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38" t="str">
        <f ca="1"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 ca="1">IF(Proc[[#This Row],[type]]="LFF (MDG-F)",MID(Proc[[#This Row],[Obj]],13,10),"")</f>
        <v>DE10GIN006</v>
      </c>
      <c r="I666" t="s">
        <v>2076</v>
      </c>
      <c r="J666" s="69" t="b">
        <f ca="1">Proc[[#This Row],[Requested]]=Proc[[#This Row],[CurrentParent]]</f>
        <v>1</v>
      </c>
      <c r="K666" s="69" t="str">
        <f ca="1"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38" t="str">
        <f ca="1"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 ca="1">IF(Proc[[#This Row],[type]]="LFF (MDG-F)",MID(Proc[[#This Row],[Obj]],13,10),"")</f>
        <v>DE10GM1008</v>
      </c>
      <c r="I667" t="s">
        <v>2077</v>
      </c>
      <c r="J667" s="69" t="b">
        <f ca="1">Proc[[#This Row],[Requested]]=Proc[[#This Row],[CurrentParent]]</f>
        <v>1</v>
      </c>
      <c r="K667" s="69" t="str">
        <f ca="1"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38" t="str">
        <f ca="1"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 ca="1">IF(Proc[[#This Row],[type]]="LFF (MDG-F)",MID(Proc[[#This Row],[Obj]],13,10),"")</f>
        <v>DE10GM2000</v>
      </c>
      <c r="I668" t="s">
        <v>2087</v>
      </c>
      <c r="J668" s="69" t="b">
        <f ca="1">Proc[[#This Row],[Requested]]=Proc[[#This Row],[CurrentParent]]</f>
        <v>1</v>
      </c>
      <c r="K668" s="69" t="str">
        <f ca="1"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38" t="str">
        <f ca="1"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 ca="1">IF(Proc[[#This Row],[type]]="LFF (MDG-F)",MID(Proc[[#This Row],[Obj]],13,10),"")</f>
        <v>DE10GM4009</v>
      </c>
      <c r="I669" t="s">
        <v>2078</v>
      </c>
      <c r="J669" s="69" t="b">
        <f ca="1">Proc[[#This Row],[Requested]]=Proc[[#This Row],[CurrentParent]]</f>
        <v>1</v>
      </c>
      <c r="K669" s="69" t="str">
        <f ca="1"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38" t="str">
        <f ca="1"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 ca="1">IF(Proc[[#This Row],[type]]="LFF (MDG-F)",MID(Proc[[#This Row],[Obj]],13,10),"")</f>
        <v>DE10GM8003</v>
      </c>
      <c r="I670" t="s">
        <v>2079</v>
      </c>
      <c r="J670" s="69" t="b">
        <f ca="1">Proc[[#This Row],[Requested]]=Proc[[#This Row],[CurrentParent]]</f>
        <v>1</v>
      </c>
      <c r="K670" s="69" t="str">
        <f ca="1"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38" t="str">
        <f ca="1"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 ca="1">IF(Proc[[#This Row],[type]]="LFF (MDG-F)",MID(Proc[[#This Row],[Obj]],13,10),"")</f>
        <v>KR08GLE009</v>
      </c>
      <c r="J671" s="69" t="b">
        <f ca="1">Proc[[#This Row],[Requested]]=Proc[[#This Row],[CurrentParent]]</f>
        <v>1</v>
      </c>
      <c r="K671" s="69" t="str">
        <f ca="1"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38" t="str">
        <f ca="1"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 ca="1">IF(Proc[[#This Row],[type]]="LFF (MDG-F)",MID(Proc[[#This Row],[Obj]],13,10),"")</f>
        <v>KR11GLE006</v>
      </c>
      <c r="J672" s="69" t="b">
        <f ca="1">Proc[[#This Row],[Requested]]=Proc[[#This Row],[CurrentParent]]</f>
        <v>1</v>
      </c>
      <c r="K672" s="69" t="str">
        <f ca="1"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38" t="str">
        <f ca="1"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 ca="1">IF(Proc[[#This Row],[type]]="LFF (MDG-F)",MID(Proc[[#This Row],[Obj]],13,10),"")</f>
        <v>KR15GLE006</v>
      </c>
      <c r="J673" s="69" t="b">
        <f ca="1">Proc[[#This Row],[Requested]]=Proc[[#This Row],[CurrentParent]]</f>
        <v>1</v>
      </c>
      <c r="K673" s="69" t="str">
        <f ca="1"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38" t="str">
        <f ca="1"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 ca="1">IF(Proc[[#This Row],[type]]="LFF (MDG-F)",MID(Proc[[#This Row],[Obj]],13,10),"")</f>
        <v>KR16GLE006</v>
      </c>
      <c r="J674" s="69" t="b">
        <f ca="1">Proc[[#This Row],[Requested]]=Proc[[#This Row],[CurrentParent]]</f>
        <v>1</v>
      </c>
      <c r="K674" s="69" t="str">
        <f ca="1"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38" t="str">
        <f ca="1"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 ca="1">IF(Proc[[#This Row],[type]]="LFF (MDG-F)",MID(Proc[[#This Row],[Obj]],13,10),"")</f>
        <v>SG10GM2004</v>
      </c>
      <c r="J675" s="69" t="b">
        <f ca="1">Proc[[#This Row],[Requested]]=Proc[[#This Row],[CurrentParent]]</f>
        <v>1</v>
      </c>
      <c r="K675" s="69" t="str">
        <f ca="1"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38" t="str">
        <f ca="1"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 ca="1">IF(Proc[[#This Row],[type]]="LFF (MDG-F)",MID(Proc[[#This Row],[Obj]],13,10),"")</f>
        <v/>
      </c>
      <c r="J676" s="69" t="b">
        <f ca="1">Proc[[#This Row],[Requested]]=Proc[[#This Row],[CurrentParent]]</f>
        <v>1</v>
      </c>
      <c r="K676" s="69" t="str">
        <f ca="1"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38" t="str">
        <f ca="1"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 ca="1">IF(Proc[[#This Row],[type]]="LFF (MDG-F)",MID(Proc[[#This Row],[Obj]],13,10),"")</f>
        <v/>
      </c>
      <c r="I677" s="68"/>
      <c r="J677" s="69" t="b">
        <f ca="1">Proc[[#This Row],[Requested]]=Proc[[#This Row],[CurrentParent]]</f>
        <v>1</v>
      </c>
      <c r="K677" s="69" t="str">
        <f ca="1"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38" t="str">
        <f ca="1"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 ca="1">IF(Proc[[#This Row],[type]]="LFF (MDG-F)",MID(Proc[[#This Row],[Obj]],13,10),"")</f>
        <v/>
      </c>
      <c r="I678" s="68"/>
      <c r="J678" s="69" t="b">
        <f ca="1">Proc[[#This Row],[Requested]]=Proc[[#This Row],[CurrentParent]]</f>
        <v>1</v>
      </c>
      <c r="K678" s="69" t="str">
        <f ca="1"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38" t="str">
        <f ca="1"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 ca="1">IF(Proc[[#This Row],[type]]="LFF (MDG-F)",MID(Proc[[#This Row],[Obj]],13,10),"")</f>
        <v/>
      </c>
      <c r="J679" s="69" t="b">
        <f ca="1">Proc[[#This Row],[Requested]]=Proc[[#This Row],[CurrentParent]]</f>
        <v>1</v>
      </c>
      <c r="K679" s="69" t="str">
        <f ca="1"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38" t="str">
        <f ca="1"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 ca="1">IF(Proc[[#This Row],[type]]="LFF (MDG-F)",MID(Proc[[#This Row],[Obj]],13,10),"")</f>
        <v/>
      </c>
      <c r="J680" s="69" t="b">
        <f ca="1">Proc[[#This Row],[Requested]]=Proc[[#This Row],[CurrentParent]]</f>
        <v>1</v>
      </c>
      <c r="K680" s="69" t="str">
        <f ca="1"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38" t="str">
        <f ca="1"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 ca="1">IF(Proc[[#This Row],[type]]="LFF (MDG-F)",MID(Proc[[#This Row],[Obj]],13,10),"")</f>
        <v/>
      </c>
      <c r="J681" s="69" t="b">
        <f ca="1">Proc[[#This Row],[Requested]]=Proc[[#This Row],[CurrentParent]]</f>
        <v>1</v>
      </c>
      <c r="K681" s="69" t="str">
        <f ca="1"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38" t="str">
        <f ca="1"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 ca="1">IF(Proc[[#This Row],[type]]="LFF (MDG-F)",MID(Proc[[#This Row],[Obj]],13,10),"")</f>
        <v/>
      </c>
      <c r="J682" s="69" t="b">
        <f ca="1">Proc[[#This Row],[Requested]]=Proc[[#This Row],[CurrentParent]]</f>
        <v>1</v>
      </c>
      <c r="K682" s="69" t="str">
        <f ca="1"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38" t="str">
        <f ca="1"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 ca="1">IF(Proc[[#This Row],[type]]="LFF (MDG-F)",MID(Proc[[#This Row],[Obj]],13,10),"")</f>
        <v/>
      </c>
      <c r="J683" s="69" t="b">
        <f ca="1">Proc[[#This Row],[Requested]]=Proc[[#This Row],[CurrentParent]]</f>
        <v>1</v>
      </c>
      <c r="K683" s="69" t="str">
        <f ca="1"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38" t="str">
        <f ca="1"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 ca="1">IF(Proc[[#This Row],[type]]="LFF (MDG-F)",MID(Proc[[#This Row],[Obj]],13,10),"")</f>
        <v/>
      </c>
      <c r="J684" s="69" t="b">
        <f ca="1">Proc[[#This Row],[Requested]]=Proc[[#This Row],[CurrentParent]]</f>
        <v>1</v>
      </c>
      <c r="K684" s="69" t="str">
        <f ca="1"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38" t="str">
        <f ca="1"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 ca="1">IF(Proc[[#This Row],[type]]="LFF (MDG-F)",MID(Proc[[#This Row],[Obj]],13,10),"")</f>
        <v/>
      </c>
      <c r="J685" s="69" t="b">
        <f ca="1">Proc[[#This Row],[Requested]]=Proc[[#This Row],[CurrentParent]]</f>
        <v>1</v>
      </c>
      <c r="K685" s="69" t="str">
        <f ca="1"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38" t="str">
        <f ca="1"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 ca="1">IF(Proc[[#This Row],[type]]="LFF (MDG-F)",MID(Proc[[#This Row],[Obj]],13,10),"")</f>
        <v/>
      </c>
      <c r="J686" s="69" t="b">
        <f ca="1">Proc[[#This Row],[Requested]]=Proc[[#This Row],[CurrentParent]]</f>
        <v>1</v>
      </c>
      <c r="K686" s="69" t="str">
        <f ca="1"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38" t="str">
        <f ca="1"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 ca="1">IF(Proc[[#This Row],[type]]="LFF (MDG-F)",MID(Proc[[#This Row],[Obj]],13,10),"")</f>
        <v/>
      </c>
      <c r="J687" s="69" t="b">
        <f ca="1">Proc[[#This Row],[Requested]]=Proc[[#This Row],[CurrentParent]]</f>
        <v>1</v>
      </c>
      <c r="K687" s="69" t="str">
        <f ca="1"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38" t="str">
        <f ca="1"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 ca="1">IF(Proc[[#This Row],[type]]="LFF (MDG-F)",MID(Proc[[#This Row],[Obj]],13,10),"")</f>
        <v/>
      </c>
      <c r="J688" s="69" t="b">
        <f ca="1">Proc[[#This Row],[Requested]]=Proc[[#This Row],[CurrentParent]]</f>
        <v>1</v>
      </c>
      <c r="K688" s="69" t="str">
        <f ca="1"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38" t="str">
        <f ca="1"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 ca="1">IF(Proc[[#This Row],[type]]="LFF (MDG-F)",MID(Proc[[#This Row],[Obj]],13,10),"")</f>
        <v/>
      </c>
      <c r="J689" s="69" t="b">
        <f ca="1">Proc[[#This Row],[Requested]]=Proc[[#This Row],[CurrentParent]]</f>
        <v>1</v>
      </c>
      <c r="K689" s="69" t="str">
        <f ca="1"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38" t="str">
        <f ca="1"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 ca="1">IF(Proc[[#This Row],[type]]="LFF (MDG-F)",MID(Proc[[#This Row],[Obj]],13,10),"")</f>
        <v>CN50C01602</v>
      </c>
      <c r="J690" s="69" t="b">
        <f ca="1">Proc[[#This Row],[Requested]]=Proc[[#This Row],[CurrentParent]]</f>
        <v>1</v>
      </c>
      <c r="K690" s="69" t="str">
        <f ca="1"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38" t="str">
        <f ca="1"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 ca="1">IF(Proc[[#This Row],[type]]="LFF (MDG-F)",MID(Proc[[#This Row],[Obj]],13,10),"")</f>
        <v>CN90L50000</v>
      </c>
      <c r="J691" s="69" t="b">
        <f ca="1">Proc[[#This Row],[Requested]]=Proc[[#This Row],[CurrentParent]]</f>
        <v>1</v>
      </c>
      <c r="K691" s="69" t="str">
        <f ca="1"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38" t="str">
        <f ca="1"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 ca="1">IF(Proc[[#This Row],[type]]="LFF (MDG-F)",MID(Proc[[#This Row],[Obj]],13,10),"")</f>
        <v>CN90L80001</v>
      </c>
      <c r="J692" s="69" t="b">
        <f ca="1">Proc[[#This Row],[Requested]]=Proc[[#This Row],[CurrentParent]]</f>
        <v>1</v>
      </c>
      <c r="K692" s="69" t="str">
        <f ca="1"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38" t="str">
        <f ca="1"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 ca="1">IF(Proc[[#This Row],[type]]="LFF (MDG-F)",MID(Proc[[#This Row],[Obj]],13,10),"")</f>
        <v/>
      </c>
      <c r="J693" s="69" t="b">
        <f ca="1">Proc[[#This Row],[Requested]]=Proc[[#This Row],[CurrentParent]]</f>
        <v>1</v>
      </c>
      <c r="K693" s="69" t="str">
        <f ca="1"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38" t="str">
        <f ca="1"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 ca="1">IF(Proc[[#This Row],[type]]="LFF (MDG-F)",MID(Proc[[#This Row],[Obj]],13,10),"")</f>
        <v/>
      </c>
      <c r="J694" s="69" t="b">
        <f ca="1">Proc[[#This Row],[Requested]]=Proc[[#This Row],[CurrentParent]]</f>
        <v>1</v>
      </c>
      <c r="K694" s="69" t="str">
        <f ca="1"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38" t="str">
        <f ca="1"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 ca="1">IF(Proc[[#This Row],[type]]="LFF (MDG-F)",MID(Proc[[#This Row],[Obj]],13,10),"")</f>
        <v/>
      </c>
      <c r="J695" s="69" t="b">
        <f ca="1">Proc[[#This Row],[Requested]]=Proc[[#This Row],[CurrentParent]]</f>
        <v>1</v>
      </c>
      <c r="K695" s="69" t="str">
        <f ca="1"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38" t="str">
        <f ca="1"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 ca="1">IF(Proc[[#This Row],[type]]="LFF (MDG-F)",MID(Proc[[#This Row],[Obj]],13,10),"")</f>
        <v/>
      </c>
      <c r="J696" s="69" t="b">
        <f ca="1">Proc[[#This Row],[Requested]]=Proc[[#This Row],[CurrentParent]]</f>
        <v>1</v>
      </c>
      <c r="K696" s="69" t="str">
        <f ca="1"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38" t="str">
        <f ca="1"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 ca="1">IF(Proc[[#This Row],[type]]="LFF (MDG-F)",MID(Proc[[#This Row],[Obj]],13,10),"")</f>
        <v/>
      </c>
      <c r="J697" s="69" t="b">
        <f ca="1">Proc[[#This Row],[Requested]]=Proc[[#This Row],[CurrentParent]]</f>
        <v>1</v>
      </c>
      <c r="K697" s="69" t="str">
        <f ca="1"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38" t="str">
        <f ca="1"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 ca="1">IF(Proc[[#This Row],[type]]="LFF (MDG-F)",MID(Proc[[#This Row],[Obj]],13,10),"")</f>
        <v/>
      </c>
      <c r="J698" s="69" t="b">
        <f ca="1">Proc[[#This Row],[Requested]]=Proc[[#This Row],[CurrentParent]]</f>
        <v>1</v>
      </c>
      <c r="K698" s="69" t="str">
        <f ca="1"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38" t="str">
        <f ca="1"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 ca="1">IF(Proc[[#This Row],[type]]="LFF (MDG-F)",MID(Proc[[#This Row],[Obj]],13,10),"")</f>
        <v/>
      </c>
      <c r="J699" s="69" t="b">
        <f ca="1">Proc[[#This Row],[Requested]]=Proc[[#This Row],[CurrentParent]]</f>
        <v>1</v>
      </c>
      <c r="K699" s="69" t="str">
        <f ca="1"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38" t="str">
        <f ca="1"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 ca="1">IF(Proc[[#This Row],[type]]="LFF (MDG-F)",MID(Proc[[#This Row],[Obj]],13,10),"")</f>
        <v/>
      </c>
      <c r="J700" s="69" t="b">
        <f ca="1">Proc[[#This Row],[Requested]]=Proc[[#This Row],[CurrentParent]]</f>
        <v>1</v>
      </c>
      <c r="K700" s="69" t="str">
        <f ca="1"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38" t="str">
        <f ca="1"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 ca="1">IF(Proc[[#This Row],[type]]="LFF (MDG-F)",MID(Proc[[#This Row],[Obj]],13,10),"")</f>
        <v/>
      </c>
      <c r="J701" s="69" t="b">
        <f ca="1">Proc[[#This Row],[Requested]]=Proc[[#This Row],[CurrentParent]]</f>
        <v>1</v>
      </c>
      <c r="K701" s="69" t="str">
        <f ca="1"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38" t="str">
        <f ca="1"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 ca="1">IF(Proc[[#This Row],[type]]="LFF (MDG-F)",MID(Proc[[#This Row],[Obj]],13,10),"")</f>
        <v/>
      </c>
      <c r="J702" s="69" t="b">
        <f ca="1">Proc[[#This Row],[Requested]]=Proc[[#This Row],[CurrentParent]]</f>
        <v>1</v>
      </c>
      <c r="K702" s="69" t="str">
        <f ca="1"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38" t="str">
        <f ca="1"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 ca="1">IF(Proc[[#This Row],[type]]="LFF (MDG-F)",MID(Proc[[#This Row],[Obj]],13,10),"")</f>
        <v/>
      </c>
      <c r="J703" s="69" t="b">
        <f ca="1">Proc[[#This Row],[Requested]]=Proc[[#This Row],[CurrentParent]]</f>
        <v>1</v>
      </c>
      <c r="K703" s="69" t="str">
        <f ca="1"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38" t="str">
        <f ca="1"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 ca="1">IF(Proc[[#This Row],[type]]="LFF (MDG-F)",MID(Proc[[#This Row],[Obj]],13,10),"")</f>
        <v/>
      </c>
      <c r="J704" s="69" t="b">
        <f ca="1">Proc[[#This Row],[Requested]]=Proc[[#This Row],[CurrentParent]]</f>
        <v>1</v>
      </c>
      <c r="K704" s="69" t="str">
        <f ca="1"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38" t="str">
        <f ca="1"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 ca="1">IF(Proc[[#This Row],[type]]="LFF (MDG-F)",MID(Proc[[#This Row],[Obj]],13,10),"")</f>
        <v/>
      </c>
      <c r="J705" s="69" t="b">
        <f ca="1">Proc[[#This Row],[Requested]]=Proc[[#This Row],[CurrentParent]]</f>
        <v>1</v>
      </c>
      <c r="K705" s="69" t="str">
        <f ca="1"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38" t="str">
        <f ca="1"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 ca="1">IF(Proc[[#This Row],[type]]="LFF (MDG-F)",MID(Proc[[#This Row],[Obj]],13,10),"")</f>
        <v/>
      </c>
      <c r="J706" s="69" t="b">
        <f ca="1">Proc[[#This Row],[Requested]]=Proc[[#This Row],[CurrentParent]]</f>
        <v>1</v>
      </c>
      <c r="K706" s="69" t="str">
        <f ca="1"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38" t="str">
        <f ca="1"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 ca="1">IF(Proc[[#This Row],[type]]="LFF (MDG-F)",MID(Proc[[#This Row],[Obj]],13,10),"")</f>
        <v/>
      </c>
      <c r="J707" s="69" t="b">
        <f ca="1">Proc[[#This Row],[Requested]]=Proc[[#This Row],[CurrentParent]]</f>
        <v>1</v>
      </c>
      <c r="K707" s="69" t="str">
        <f ca="1"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38" t="str">
        <f ca="1"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 ca="1">IF(Proc[[#This Row],[type]]="LFF (MDG-F)",MID(Proc[[#This Row],[Obj]],13,10),"")</f>
        <v/>
      </c>
      <c r="J708" s="69" t="b">
        <f ca="1">Proc[[#This Row],[Requested]]=Proc[[#This Row],[CurrentParent]]</f>
        <v>1</v>
      </c>
      <c r="K708" s="69" t="str">
        <f ca="1"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38" t="str">
        <f ca="1"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 ca="1">IF(Proc[[#This Row],[type]]="LFF (MDG-F)",MID(Proc[[#This Row],[Obj]],13,10),"")</f>
        <v/>
      </c>
      <c r="J709" s="69" t="b">
        <f ca="1">Proc[[#This Row],[Requested]]=Proc[[#This Row],[CurrentParent]]</f>
        <v>1</v>
      </c>
      <c r="K709" s="69" t="str">
        <f ca="1"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38" t="str">
        <f ca="1"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 ca="1">IF(Proc[[#This Row],[type]]="LFF (MDG-F)",MID(Proc[[#This Row],[Obj]],13,10),"")</f>
        <v/>
      </c>
      <c r="J710" s="69" t="b">
        <f ca="1">Proc[[#This Row],[Requested]]=Proc[[#This Row],[CurrentParent]]</f>
        <v>1</v>
      </c>
      <c r="K710" s="69" t="str">
        <f ca="1"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38" t="str">
        <f ca="1"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 ca="1">IF(Proc[[#This Row],[type]]="LFF (MDG-F)",MID(Proc[[#This Row],[Obj]],13,10),"")</f>
        <v/>
      </c>
      <c r="J711" s="69" t="b">
        <f ca="1">Proc[[#This Row],[Requested]]=Proc[[#This Row],[CurrentParent]]</f>
        <v>1</v>
      </c>
      <c r="K711" s="69" t="str">
        <f ca="1"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38" t="str">
        <f ca="1"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 ca="1">IF(Proc[[#This Row],[type]]="LFF (MDG-F)",MID(Proc[[#This Row],[Obj]],13,10),"")</f>
        <v/>
      </c>
      <c r="J712" s="69" t="b">
        <f ca="1">Proc[[#This Row],[Requested]]=Proc[[#This Row],[CurrentParent]]</f>
        <v>1</v>
      </c>
      <c r="K712" s="69" t="str">
        <f ca="1"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38" t="str">
        <f ca="1"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 ca="1">IF(Proc[[#This Row],[type]]="LFF (MDG-F)",MID(Proc[[#This Row],[Obj]],13,10),"")</f>
        <v/>
      </c>
      <c r="J713" s="69" t="b">
        <f ca="1">Proc[[#This Row],[Requested]]=Proc[[#This Row],[CurrentParent]]</f>
        <v>1</v>
      </c>
      <c r="K713" s="69" t="str">
        <f ca="1"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38" t="str">
        <f ca="1"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 ca="1">IF(Proc[[#This Row],[type]]="LFF (MDG-F)",MID(Proc[[#This Row],[Obj]],13,10),"")</f>
        <v/>
      </c>
      <c r="J714" s="69" t="b">
        <f ca="1">Proc[[#This Row],[Requested]]=Proc[[#This Row],[CurrentParent]]</f>
        <v>1</v>
      </c>
      <c r="K714" s="69" t="str">
        <f ca="1"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38" t="str">
        <f ca="1"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 ca="1">IF(Proc[[#This Row],[type]]="LFF (MDG-F)",MID(Proc[[#This Row],[Obj]],13,10),"")</f>
        <v/>
      </c>
      <c r="J715" s="69" t="b">
        <f ca="1">Proc[[#This Row],[Requested]]=Proc[[#This Row],[CurrentParent]]</f>
        <v>1</v>
      </c>
      <c r="K715" s="69" t="str">
        <f ca="1"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38" t="str">
        <f ca="1"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 ca="1">IF(Proc[[#This Row],[type]]="LFF (MDG-F)",MID(Proc[[#This Row],[Obj]],13,10),"")</f>
        <v/>
      </c>
      <c r="J716" s="69" t="b">
        <f ca="1">Proc[[#This Row],[Requested]]=Proc[[#This Row],[CurrentParent]]</f>
        <v>1</v>
      </c>
      <c r="K716" s="69" t="str">
        <f ca="1"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38" t="str">
        <f ca="1"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 ca="1">IF(Proc[[#This Row],[type]]="LFF (MDG-F)",MID(Proc[[#This Row],[Obj]],13,10),"")</f>
        <v/>
      </c>
      <c r="J717" s="69" t="b">
        <f ca="1">Proc[[#This Row],[Requested]]=Proc[[#This Row],[CurrentParent]]</f>
        <v>1</v>
      </c>
      <c r="K717" s="69" t="str">
        <f ca="1"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38" t="str">
        <f ca="1"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 ca="1">IF(Proc[[#This Row],[type]]="LFF (MDG-F)",MID(Proc[[#This Row],[Obj]],13,10),"")</f>
        <v/>
      </c>
      <c r="J718" s="69" t="b">
        <f ca="1">Proc[[#This Row],[Requested]]=Proc[[#This Row],[CurrentParent]]</f>
        <v>1</v>
      </c>
      <c r="K718" s="69" t="str">
        <f ca="1"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38" t="str">
        <f ca="1"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 ca="1">IF(Proc[[#This Row],[type]]="LFF (MDG-F)",MID(Proc[[#This Row],[Obj]],13,10),"")</f>
        <v/>
      </c>
      <c r="J719" s="69" t="b">
        <f ca="1">Proc[[#This Row],[Requested]]=Proc[[#This Row],[CurrentParent]]</f>
        <v>1</v>
      </c>
      <c r="K719" s="69" t="str">
        <f ca="1"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38" t="str">
        <f ca="1"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 ca="1">IF(Proc[[#This Row],[type]]="LFF (MDG-F)",MID(Proc[[#This Row],[Obj]],13,10),"")</f>
        <v/>
      </c>
      <c r="J720" s="69" t="b">
        <f ca="1">Proc[[#This Row],[Requested]]=Proc[[#This Row],[CurrentParent]]</f>
        <v>1</v>
      </c>
      <c r="K720" s="69" t="str">
        <f ca="1"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38" t="str">
        <f ca="1"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 ca="1">IF(Proc[[#This Row],[type]]="LFF (MDG-F)",MID(Proc[[#This Row],[Obj]],13,10),"")</f>
        <v/>
      </c>
      <c r="J721" s="69" t="b">
        <f ca="1">Proc[[#This Row],[Requested]]=Proc[[#This Row],[CurrentParent]]</f>
        <v>1</v>
      </c>
      <c r="K721" s="69" t="str">
        <f ca="1"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38" t="str">
        <f ca="1"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 ca="1">IF(Proc[[#This Row],[type]]="LFF (MDG-F)",MID(Proc[[#This Row],[Obj]],13,10),"")</f>
        <v/>
      </c>
      <c r="J722" s="69" t="b">
        <f ca="1">Proc[[#This Row],[Requested]]=Proc[[#This Row],[CurrentParent]]</f>
        <v>1</v>
      </c>
      <c r="K722" s="69" t="str">
        <f ca="1"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38" t="str">
        <f ca="1"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 ca="1">IF(Proc[[#This Row],[type]]="LFF (MDG-F)",MID(Proc[[#This Row],[Obj]],13,10),"")</f>
        <v/>
      </c>
      <c r="J723" s="69" t="b">
        <f ca="1">Proc[[#This Row],[Requested]]=Proc[[#This Row],[CurrentParent]]</f>
        <v>1</v>
      </c>
      <c r="K723" s="69" t="str">
        <f ca="1"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38" t="str">
        <f ca="1"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 ca="1">IF(Proc[[#This Row],[type]]="LFF (MDG-F)",MID(Proc[[#This Row],[Obj]],13,10),"")</f>
        <v/>
      </c>
      <c r="J724" s="69" t="b">
        <f ca="1">Proc[[#This Row],[Requested]]=Proc[[#This Row],[CurrentParent]]</f>
        <v>1</v>
      </c>
      <c r="K724" s="69" t="str">
        <f ca="1"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38" t="str">
        <f ca="1"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 ca="1">IF(Proc[[#This Row],[type]]="LFF (MDG-F)",MID(Proc[[#This Row],[Obj]],13,10),"")</f>
        <v/>
      </c>
      <c r="J725" s="69" t="b">
        <f ca="1">Proc[[#This Row],[Requested]]=Proc[[#This Row],[CurrentParent]]</f>
        <v>1</v>
      </c>
      <c r="K725" s="69" t="str">
        <f ca="1"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38" t="str">
        <f ca="1"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 ca="1">IF(Proc[[#This Row],[type]]="LFF (MDG-F)",MID(Proc[[#This Row],[Obj]],13,10),"")</f>
        <v/>
      </c>
      <c r="J726" s="69" t="b">
        <f ca="1">Proc[[#This Row],[Requested]]=Proc[[#This Row],[CurrentParent]]</f>
        <v>1</v>
      </c>
      <c r="K726" s="69" t="str">
        <f ca="1"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38" t="str">
        <f ca="1"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 ca="1">IF(Proc[[#This Row],[type]]="LFF (MDG-F)",MID(Proc[[#This Row],[Obj]],13,10),"")</f>
        <v/>
      </c>
      <c r="J727" s="69" t="b">
        <f ca="1">Proc[[#This Row],[Requested]]=Proc[[#This Row],[CurrentParent]]</f>
        <v>1</v>
      </c>
      <c r="K727" s="69" t="str">
        <f ca="1"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38" t="str">
        <f ca="1"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 ca="1">IF(Proc[[#This Row],[type]]="LFF (MDG-F)",MID(Proc[[#This Row],[Obj]],13,10),"")</f>
        <v/>
      </c>
      <c r="J728" s="69" t="b">
        <f ca="1">Proc[[#This Row],[Requested]]=Proc[[#This Row],[CurrentParent]]</f>
        <v>1</v>
      </c>
      <c r="K728" s="69" t="str">
        <f ca="1"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38" t="str">
        <f ca="1"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 ca="1">IF(Proc[[#This Row],[type]]="LFF (MDG-F)",MID(Proc[[#This Row],[Obj]],13,10),"")</f>
        <v/>
      </c>
      <c r="J729" s="69" t="b">
        <f ca="1">Proc[[#This Row],[Requested]]=Proc[[#This Row],[CurrentParent]]</f>
        <v>1</v>
      </c>
      <c r="K729" s="69" t="str">
        <f ca="1"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38" t="str">
        <f ca="1"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 ca="1">IF(Proc[[#This Row],[type]]="LFF (MDG-F)",MID(Proc[[#This Row],[Obj]],13,10),"")</f>
        <v/>
      </c>
      <c r="J730" s="69" t="b">
        <f ca="1">Proc[[#This Row],[Requested]]=Proc[[#This Row],[CurrentParent]]</f>
        <v>1</v>
      </c>
      <c r="K730" s="69" t="str">
        <f ca="1"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38" t="str">
        <f ca="1"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 ca="1">IF(Proc[[#This Row],[type]]="LFF (MDG-F)",MID(Proc[[#This Row],[Obj]],13,10),"")</f>
        <v/>
      </c>
      <c r="J731" s="69" t="b">
        <f ca="1">Proc[[#This Row],[Requested]]=Proc[[#This Row],[CurrentParent]]</f>
        <v>1</v>
      </c>
      <c r="K731" s="69" t="str">
        <f ca="1"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38" t="str">
        <f ca="1"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 ca="1">IF(Proc[[#This Row],[type]]="LFF (MDG-F)",MID(Proc[[#This Row],[Obj]],13,10),"")</f>
        <v/>
      </c>
      <c r="J732" s="69" t="b">
        <f ca="1">Proc[[#This Row],[Requested]]=Proc[[#This Row],[CurrentParent]]</f>
        <v>1</v>
      </c>
      <c r="K732" s="69" t="str">
        <f ca="1"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38" t="str">
        <f ca="1"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 ca="1">IF(Proc[[#This Row],[type]]="LFF (MDG-F)",MID(Proc[[#This Row],[Obj]],13,10),"")</f>
        <v/>
      </c>
      <c r="J733" s="69" t="b">
        <f ca="1">Proc[[#This Row],[Requested]]=Proc[[#This Row],[CurrentParent]]</f>
        <v>1</v>
      </c>
      <c r="K733" s="69" t="str">
        <f ca="1"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38" t="str">
        <f ca="1"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 ca="1">IF(Proc[[#This Row],[type]]="LFF (MDG-F)",MID(Proc[[#This Row],[Obj]],13,10),"")</f>
        <v/>
      </c>
      <c r="J734" s="69" t="b">
        <f ca="1">Proc[[#This Row],[Requested]]=Proc[[#This Row],[CurrentParent]]</f>
        <v>1</v>
      </c>
      <c r="K734" s="69" t="str">
        <f ca="1"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38" t="str">
        <f ca="1"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 ca="1">IF(Proc[[#This Row],[type]]="LFF (MDG-F)",MID(Proc[[#This Row],[Obj]],13,10),"")</f>
        <v/>
      </c>
      <c r="J735" s="69" t="b">
        <f ca="1">Proc[[#This Row],[Requested]]=Proc[[#This Row],[CurrentParent]]</f>
        <v>1</v>
      </c>
      <c r="K735" s="69" t="str">
        <f ca="1"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38" t="str">
        <f ca="1"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 ca="1">IF(Proc[[#This Row],[type]]="LFF (MDG-F)",MID(Proc[[#This Row],[Obj]],13,10),"")</f>
        <v/>
      </c>
      <c r="I736" t="s">
        <v>2095</v>
      </c>
      <c r="J736" s="69" t="b">
        <f ca="1">Proc[[#This Row],[Requested]]=Proc[[#This Row],[CurrentParent]]</f>
        <v>1</v>
      </c>
      <c r="K736" s="69" t="str">
        <f ca="1"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140</v>
      </c>
      <c r="R736" s="70" t="s">
        <v>484</v>
      </c>
      <c r="S736" s="69"/>
    </row>
    <row r="737" spans="1:19" hidden="1">
      <c r="A737" s="68" t="s">
        <v>2088</v>
      </c>
      <c r="B737" s="138" t="str">
        <f ca="1"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 ca="1">IF(Proc[[#This Row],[type]]="LFF (MDG-F)",MID(Proc[[#This Row],[Obj]],13,10),"")</f>
        <v/>
      </c>
      <c r="I737" t="s">
        <v>2095</v>
      </c>
      <c r="J737" s="69" t="b">
        <f ca="1">Proc[[#This Row],[Requested]]=Proc[[#This Row],[CurrentParent]]</f>
        <v>1</v>
      </c>
      <c r="K737" s="69" t="str">
        <f ca="1"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140</v>
      </c>
      <c r="R737" s="70" t="s">
        <v>484</v>
      </c>
      <c r="S737" s="69"/>
    </row>
    <row r="738" spans="1:19" hidden="1">
      <c r="A738" s="68" t="s">
        <v>2088</v>
      </c>
      <c r="B738" s="138" t="str">
        <f ca="1"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 ca="1">IF(Proc[[#This Row],[type]]="LFF (MDG-F)",MID(Proc[[#This Row],[Obj]],13,10),"")</f>
        <v/>
      </c>
      <c r="I738" t="s">
        <v>2095</v>
      </c>
      <c r="J738" s="69" t="b">
        <f ca="1">Proc[[#This Row],[Requested]]=Proc[[#This Row],[CurrentParent]]</f>
        <v>1</v>
      </c>
      <c r="K738" s="69" t="str">
        <f ca="1"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140</v>
      </c>
      <c r="R738" s="70" t="s">
        <v>484</v>
      </c>
      <c r="S738" s="69"/>
    </row>
    <row r="739" spans="1:19" hidden="1">
      <c r="A739" t="s">
        <v>2197</v>
      </c>
      <c r="B739" s="138" t="str">
        <f ca="1"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 ca="1">IF(Proc[[#This Row],[type]]="LFF (MDG-F)",MID(Proc[[#This Row],[Obj]],13,10),"")</f>
        <v/>
      </c>
      <c r="J739" s="69" t="b">
        <f ca="1">Proc[[#This Row],[Requested]]=Proc[[#This Row],[CurrentParent]]</f>
        <v>1</v>
      </c>
      <c r="K739" s="69" t="str">
        <f ca="1"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38" t="str">
        <f ca="1"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 ca="1">IF(Proc[[#This Row],[type]]="LFF (MDG-F)",MID(Proc[[#This Row],[Obj]],13,10),"")</f>
        <v/>
      </c>
      <c r="J740" s="69" t="b">
        <f ca="1">Proc[[#This Row],[Requested]]=Proc[[#This Row],[CurrentParent]]</f>
        <v>1</v>
      </c>
      <c r="K740" s="69" t="str">
        <f ca="1"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38" t="str">
        <f ca="1"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 ca="1">IF(Proc[[#This Row],[type]]="LFF (MDG-F)",MID(Proc[[#This Row],[Obj]],13,10),"")</f>
        <v/>
      </c>
      <c r="J741" s="69" t="b">
        <f ca="1">Proc[[#This Row],[Requested]]=Proc[[#This Row],[CurrentParent]]</f>
        <v>1</v>
      </c>
      <c r="K741" s="69" t="str">
        <f ca="1"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38" t="str">
        <f ca="1"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 ca="1">IF(Proc[[#This Row],[type]]="LFF (MDG-F)",MID(Proc[[#This Row],[Obj]],13,10),"")</f>
        <v/>
      </c>
      <c r="I742" t="s">
        <v>1198</v>
      </c>
      <c r="J742" s="69" t="b">
        <f ca="1">Proc[[#This Row],[Requested]]=Proc[[#This Row],[CurrentParent]]</f>
        <v>1</v>
      </c>
      <c r="K742" s="69" t="str">
        <f ca="1"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38" t="str">
        <f ca="1"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 ca="1">IF(Proc[[#This Row],[type]]="LFF (MDG-F)",MID(Proc[[#This Row],[Obj]],13,10),"")</f>
        <v/>
      </c>
      <c r="I743" s="68" t="s">
        <v>1198</v>
      </c>
      <c r="J743" s="69" t="b">
        <f ca="1">Proc[[#This Row],[Requested]]=Proc[[#This Row],[CurrentParent]]</f>
        <v>1</v>
      </c>
      <c r="K743" s="69" t="str">
        <f ca="1"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38" t="str">
        <f ca="1"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 ca="1">IF(Proc[[#This Row],[type]]="LFF (MDG-F)",MID(Proc[[#This Row],[Obj]],13,10),"")</f>
        <v/>
      </c>
      <c r="I744" s="68" t="s">
        <v>1198</v>
      </c>
      <c r="J744" s="69" t="b">
        <f ca="1">Proc[[#This Row],[Requested]]=Proc[[#This Row],[CurrentParent]]</f>
        <v>1</v>
      </c>
      <c r="K744" s="69" t="str">
        <f ca="1"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38" t="str">
        <f ca="1"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 ca="1">IF(Proc[[#This Row],[type]]="LFF (MDG-F)",MID(Proc[[#This Row],[Obj]],13,10),"")</f>
        <v/>
      </c>
      <c r="J745" s="69" t="b">
        <f ca="1">Proc[[#This Row],[Requested]]=Proc[[#This Row],[CurrentParent]]</f>
        <v>1</v>
      </c>
      <c r="K745" s="69" t="str">
        <f ca="1"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38" t="str">
        <f ca="1"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 ca="1">IF(Proc[[#This Row],[type]]="LFF (MDG-F)",MID(Proc[[#This Row],[Obj]],13,10),"")</f>
        <v/>
      </c>
      <c r="J746" s="69" t="b">
        <f ca="1">Proc[[#This Row],[Requested]]=Proc[[#This Row],[CurrentParent]]</f>
        <v>1</v>
      </c>
      <c r="K746" s="69" t="str">
        <f ca="1"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38" t="str">
        <f ca="1"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 ca="1">IF(Proc[[#This Row],[type]]="LFF (MDG-F)",MID(Proc[[#This Row],[Obj]],13,10),"")</f>
        <v/>
      </c>
      <c r="J747" s="69" t="b">
        <f ca="1">Proc[[#This Row],[Requested]]=Proc[[#This Row],[CurrentParent]]</f>
        <v>1</v>
      </c>
      <c r="K747" s="69" t="str">
        <f ca="1"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38" t="str">
        <f ca="1"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 ca="1">IF(Proc[[#This Row],[type]]="LFF (MDG-F)",MID(Proc[[#This Row],[Obj]],13,10),"")</f>
        <v/>
      </c>
      <c r="J748" s="69" t="b">
        <f ca="1">Proc[[#This Row],[Requested]]=Proc[[#This Row],[CurrentParent]]</f>
        <v>1</v>
      </c>
      <c r="K748" s="69" t="str">
        <f ca="1"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38" t="str">
        <f ca="1"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 ca="1">IF(Proc[[#This Row],[type]]="LFF (MDG-F)",MID(Proc[[#This Row],[Obj]],13,10),"")</f>
        <v/>
      </c>
      <c r="J749" s="69" t="b">
        <f ca="1">Proc[[#This Row],[Requested]]=Proc[[#This Row],[CurrentParent]]</f>
        <v>1</v>
      </c>
      <c r="K749" s="69" t="str">
        <f ca="1"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38" t="str">
        <f ca="1"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 ca="1">IF(Proc[[#This Row],[type]]="LFF (MDG-F)",MID(Proc[[#This Row],[Obj]],13,10),"")</f>
        <v/>
      </c>
      <c r="J750" s="69" t="b">
        <f ca="1">Proc[[#This Row],[Requested]]=Proc[[#This Row],[CurrentParent]]</f>
        <v>1</v>
      </c>
      <c r="K750" s="69" t="str">
        <f ca="1"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38" t="str">
        <f ca="1"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 ca="1">IF(Proc[[#This Row],[type]]="LFF (MDG-F)",MID(Proc[[#This Row],[Obj]],13,10),"")</f>
        <v/>
      </c>
      <c r="J751" s="69" t="b">
        <f ca="1">Proc[[#This Row],[Requested]]=Proc[[#This Row],[CurrentParent]]</f>
        <v>1</v>
      </c>
      <c r="K751" s="69" t="str">
        <f ca="1"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38" t="str">
        <f ca="1"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 ca="1">IF(Proc[[#This Row],[type]]="LFF (MDG-F)",MID(Proc[[#This Row],[Obj]],13,10),"")</f>
        <v/>
      </c>
      <c r="J752" s="69" t="b">
        <f ca="1">Proc[[#This Row],[Requested]]=Proc[[#This Row],[CurrentParent]]</f>
        <v>1</v>
      </c>
      <c r="K752" s="69" t="str">
        <f ca="1"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38" t="str">
        <f ca="1"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 ca="1">IF(Proc[[#This Row],[type]]="LFF (MDG-F)",MID(Proc[[#This Row],[Obj]],13,10),"")</f>
        <v/>
      </c>
      <c r="J753" s="69" t="b">
        <f ca="1">Proc[[#This Row],[Requested]]=Proc[[#This Row],[CurrentParent]]</f>
        <v>1</v>
      </c>
      <c r="K753" s="69" t="str">
        <f ca="1"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38" t="str">
        <f ca="1"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 ca="1">IF(Proc[[#This Row],[type]]="LFF (MDG-F)",MID(Proc[[#This Row],[Obj]],13,10),"")</f>
        <v/>
      </c>
      <c r="J754" s="69" t="b">
        <f ca="1">Proc[[#This Row],[Requested]]=Proc[[#This Row],[CurrentParent]]</f>
        <v>1</v>
      </c>
      <c r="K754" s="69" t="str">
        <f ca="1"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38" t="str">
        <f ca="1"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 ca="1">IF(Proc[[#This Row],[type]]="LFF (MDG-F)",MID(Proc[[#This Row],[Obj]],13,10),"")</f>
        <v>KR07C06030</v>
      </c>
      <c r="J755" s="69" t="b">
        <f ca="1">Proc[[#This Row],[Requested]]=Proc[[#This Row],[CurrentParent]]</f>
        <v>1</v>
      </c>
      <c r="K755" s="69" t="str">
        <f ca="1"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38" t="str">
        <f ca="1"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 ca="1">IF(Proc[[#This Row],[type]]="LFF (MDG-F)",MID(Proc[[#This Row],[Obj]],13,10),"")</f>
        <v/>
      </c>
      <c r="J756" s="69" t="b">
        <f ca="1">Proc[[#This Row],[Requested]]=Proc[[#This Row],[CurrentParent]]</f>
        <v>1</v>
      </c>
      <c r="K756" s="69" t="str">
        <f ca="1"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38" t="str">
        <f ca="1"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 ca="1">IF(Proc[[#This Row],[type]]="LFF (MDG-F)",MID(Proc[[#This Row],[Obj]],13,10),"")</f>
        <v/>
      </c>
      <c r="J757" s="69" t="b">
        <f ca="1">Proc[[#This Row],[Requested]]=Proc[[#This Row],[CurrentParent]]</f>
        <v>1</v>
      </c>
      <c r="K757" s="69" t="str">
        <f ca="1"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38" t="str">
        <f ca="1"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 ca="1">IF(Proc[[#This Row],[type]]="LFF (MDG-F)",MID(Proc[[#This Row],[Obj]],13,10),"")</f>
        <v/>
      </c>
      <c r="J758" s="69" t="b">
        <f ca="1">Proc[[#This Row],[Requested]]=Proc[[#This Row],[CurrentParent]]</f>
        <v>1</v>
      </c>
      <c r="K758" s="69" t="str">
        <f ca="1"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38" t="str">
        <f ca="1"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 ca="1">IF(Proc[[#This Row],[type]]="LFF (MDG-F)",MID(Proc[[#This Row],[Obj]],13,10),"")</f>
        <v/>
      </c>
      <c r="J759" s="69" t="b">
        <f ca="1">Proc[[#This Row],[Requested]]=Proc[[#This Row],[CurrentParent]]</f>
        <v>1</v>
      </c>
      <c r="K759" s="69" t="str">
        <f ca="1"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38" t="str">
        <f ca="1"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 ca="1">IF(Proc[[#This Row],[type]]="LFF (MDG-F)",MID(Proc[[#This Row],[Obj]],13,10),"")</f>
        <v/>
      </c>
      <c r="J760" s="69" t="b">
        <f ca="1">Proc[[#This Row],[Requested]]=Proc[[#This Row],[CurrentParent]]</f>
        <v>1</v>
      </c>
      <c r="K760" s="69" t="str">
        <f ca="1"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38" t="str">
        <f ca="1"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 ca="1">IF(Proc[[#This Row],[type]]="LFF (MDG-F)",MID(Proc[[#This Row],[Obj]],13,10),"")</f>
        <v>KR02TPAZ06</v>
      </c>
      <c r="J761" s="69" t="b">
        <f ca="1">Proc[[#This Row],[Requested]]=Proc[[#This Row],[CurrentParent]]</f>
        <v>1</v>
      </c>
      <c r="K761" s="69" t="str">
        <f ca="1"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38" t="str">
        <f ca="1"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 ca="1">IF(Proc[[#This Row],[type]]="LFF (MDG-F)",MID(Proc[[#This Row],[Obj]],13,10),"")</f>
        <v/>
      </c>
      <c r="J762" s="69" t="b">
        <f ca="1">Proc[[#This Row],[Requested]]=Proc[[#This Row],[CurrentParent]]</f>
        <v>1</v>
      </c>
      <c r="K762" s="69" t="str">
        <f ca="1"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38" t="str">
        <f ca="1"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 ca="1">IF(Proc[[#This Row],[type]]="LFF (MDG-F)",MID(Proc[[#This Row],[Obj]],13,10),"")</f>
        <v/>
      </c>
      <c r="J763" s="69" t="b">
        <f ca="1">Proc[[#This Row],[Requested]]=Proc[[#This Row],[CurrentParent]]</f>
        <v>1</v>
      </c>
      <c r="K763" s="69" t="str">
        <f ca="1"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38" t="str">
        <f ca="1"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 ca="1">IF(Proc[[#This Row],[type]]="LFF (MDG-F)",MID(Proc[[#This Row],[Obj]],13,10),"")</f>
        <v/>
      </c>
      <c r="J764" s="69" t="b">
        <f ca="1">Proc[[#This Row],[Requested]]=Proc[[#This Row],[CurrentParent]]</f>
        <v>1</v>
      </c>
      <c r="K764" s="69" t="str">
        <f ca="1"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38" t="str">
        <f ca="1"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 ca="1">IF(Proc[[#This Row],[type]]="LFF (MDG-F)",MID(Proc[[#This Row],[Obj]],13,10),"")</f>
        <v/>
      </c>
      <c r="J765" s="69" t="b">
        <f ca="1">Proc[[#This Row],[Requested]]=Proc[[#This Row],[CurrentParent]]</f>
        <v>1</v>
      </c>
      <c r="K765" s="69" t="str">
        <f ca="1"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38" t="str">
        <f ca="1"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 ca="1">IF(Proc[[#This Row],[type]]="LFF (MDG-F)",MID(Proc[[#This Row],[Obj]],13,10),"")</f>
        <v/>
      </c>
      <c r="J766" s="69" t="b">
        <f ca="1">Proc[[#This Row],[Requested]]=Proc[[#This Row],[CurrentParent]]</f>
        <v>1</v>
      </c>
      <c r="K766" s="69" t="str">
        <f ca="1"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38" t="str">
        <f ca="1"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 ca="1">IF(Proc[[#This Row],[type]]="LFF (MDG-F)",MID(Proc[[#This Row],[Obj]],13,10),"")</f>
        <v/>
      </c>
      <c r="J767" s="69" t="b">
        <f ca="1">Proc[[#This Row],[Requested]]=Proc[[#This Row],[CurrentParent]]</f>
        <v>1</v>
      </c>
      <c r="K767" s="69" t="str">
        <f ca="1"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38" t="str">
        <f ca="1"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 ca="1">IF(Proc[[#This Row],[type]]="LFF (MDG-F)",MID(Proc[[#This Row],[Obj]],13,10),"")</f>
        <v/>
      </c>
      <c r="J768" s="69" t="b">
        <f ca="1">Proc[[#This Row],[Requested]]=Proc[[#This Row],[CurrentParent]]</f>
        <v>1</v>
      </c>
      <c r="K768" s="69" t="str">
        <f ca="1"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38" t="str">
        <f ca="1"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 ca="1">IF(Proc[[#This Row],[type]]="LFF (MDG-F)",MID(Proc[[#This Row],[Obj]],13,10),"")</f>
        <v/>
      </c>
      <c r="J769" s="69" t="b">
        <f ca="1">Proc[[#This Row],[Requested]]=Proc[[#This Row],[CurrentParent]]</f>
        <v>1</v>
      </c>
      <c r="K769" s="69" t="str">
        <f ca="1"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38" t="str">
        <f ca="1"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 ca="1">IF(Proc[[#This Row],[type]]="LFF (MDG-F)",MID(Proc[[#This Row],[Obj]],13,10),"")</f>
        <v/>
      </c>
      <c r="J770" s="69" t="b">
        <f ca="1">Proc[[#This Row],[Requested]]=Proc[[#This Row],[CurrentParent]]</f>
        <v>1</v>
      </c>
      <c r="K770" s="69" t="str">
        <f ca="1"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38" t="str">
        <f ca="1"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 ca="1">IF(Proc[[#This Row],[type]]="LFF (MDG-F)",MID(Proc[[#This Row],[Obj]],13,10),"")</f>
        <v/>
      </c>
      <c r="J771" s="69" t="b">
        <f ca="1">Proc[[#This Row],[Requested]]=Proc[[#This Row],[CurrentParent]]</f>
        <v>1</v>
      </c>
      <c r="K771" s="69" t="str">
        <f ca="1"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38" t="str">
        <f ca="1"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 ca="1">IF(Proc[[#This Row],[type]]="LFF (MDG-F)",MID(Proc[[#This Row],[Obj]],13,10),"")</f>
        <v/>
      </c>
      <c r="I772" t="s">
        <v>1198</v>
      </c>
      <c r="J772" s="69" t="b">
        <f ca="1">Proc[[#This Row],[Requested]]=Proc[[#This Row],[CurrentParent]]</f>
        <v>1</v>
      </c>
      <c r="K772" s="69" t="str">
        <f ca="1"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38" t="str">
        <f ca="1"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 ca="1">IF(Proc[[#This Row],[type]]="LFF (MDG-F)",MID(Proc[[#This Row],[Obj]],13,10),"")</f>
        <v/>
      </c>
      <c r="J773" s="69" t="b">
        <f ca="1">Proc[[#This Row],[Requested]]=Proc[[#This Row],[CurrentParent]]</f>
        <v>1</v>
      </c>
      <c r="K773" s="69" t="str">
        <f ca="1"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38" t="str">
        <f ca="1"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 ca="1">IF(Proc[[#This Row],[type]]="LFF (MDG-F)",MID(Proc[[#This Row],[Obj]],13,10),"")</f>
        <v/>
      </c>
      <c r="J774" s="69" t="b">
        <f ca="1">Proc[[#This Row],[Requested]]=Proc[[#This Row],[CurrentParent]]</f>
        <v>1</v>
      </c>
      <c r="K774" s="69" t="str">
        <f ca="1"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38" t="str">
        <f ca="1"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 ca="1">IF(Proc[[#This Row],[type]]="LFF (MDG-F)",MID(Proc[[#This Row],[Obj]],13,10),"")</f>
        <v/>
      </c>
      <c r="J775" s="69" t="b">
        <f ca="1">Proc[[#This Row],[Requested]]=Proc[[#This Row],[CurrentParent]]</f>
        <v>1</v>
      </c>
      <c r="K775" s="69" t="str">
        <f ca="1"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38" t="str">
        <f ca="1"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 ca="1">IF(Proc[[#This Row],[type]]="LFF (MDG-F)",MID(Proc[[#This Row],[Obj]],13,10),"")</f>
        <v/>
      </c>
      <c r="I776" t="s">
        <v>2280</v>
      </c>
      <c r="J776" s="69" t="b">
        <f ca="1">Proc[[#This Row],[Requested]]=Proc[[#This Row],[CurrentParent]]</f>
        <v>1</v>
      </c>
      <c r="K776" s="69" t="str">
        <f ca="1"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38" t="str">
        <f ca="1"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 ca="1">IF(Proc[[#This Row],[type]]="LFF (MDG-F)",MID(Proc[[#This Row],[Obj]],13,10),"")</f>
        <v/>
      </c>
      <c r="J777" s="69" t="b">
        <f ca="1">Proc[[#This Row],[Requested]]=Proc[[#This Row],[CurrentParent]]</f>
        <v>1</v>
      </c>
      <c r="K777" s="69" t="str">
        <f ca="1"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38" t="str">
        <f ca="1"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 ca="1">IF(Proc[[#This Row],[type]]="LFF (MDG-F)",MID(Proc[[#This Row],[Obj]],13,10),"")</f>
        <v/>
      </c>
      <c r="J778" s="69" t="b">
        <f ca="1">Proc[[#This Row],[Requested]]=Proc[[#This Row],[CurrentParent]]</f>
        <v>1</v>
      </c>
      <c r="K778" s="69" t="str">
        <f ca="1"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38" t="str">
        <f ca="1"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 ca="1">IF(Proc[[#This Row],[type]]="LFF (MDG-F)",MID(Proc[[#This Row],[Obj]],13,10),"")</f>
        <v/>
      </c>
      <c r="J779" s="69" t="b">
        <f ca="1">Proc[[#This Row],[Requested]]=Proc[[#This Row],[CurrentParent]]</f>
        <v>1</v>
      </c>
      <c r="K779" s="69" t="str">
        <f ca="1"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38" t="str">
        <f ca="1"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 ca="1">IF(Proc[[#This Row],[type]]="LFF (MDG-F)",MID(Proc[[#This Row],[Obj]],13,10),"")</f>
        <v/>
      </c>
      <c r="J780" s="69" t="b">
        <f ca="1">Proc[[#This Row],[Requested]]=Proc[[#This Row],[CurrentParent]]</f>
        <v>1</v>
      </c>
      <c r="K780" s="69" t="str">
        <f ca="1"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38" t="str">
        <f ca="1"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 ca="1">IF(Proc[[#This Row],[type]]="LFF (MDG-F)",MID(Proc[[#This Row],[Obj]],13,10),"")</f>
        <v/>
      </c>
      <c r="J781" s="69" t="b">
        <f ca="1">Proc[[#This Row],[Requested]]=Proc[[#This Row],[CurrentParent]]</f>
        <v>1</v>
      </c>
      <c r="K781" s="69" t="str">
        <f ca="1"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38" t="str">
        <f ca="1"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 ca="1">IF(Proc[[#This Row],[type]]="LFF (MDG-F)",MID(Proc[[#This Row],[Obj]],13,10),"")</f>
        <v/>
      </c>
      <c r="J782" s="69" t="b">
        <f ca="1">Proc[[#This Row],[Requested]]=Proc[[#This Row],[CurrentParent]]</f>
        <v>1</v>
      </c>
      <c r="K782" s="69" t="str">
        <f ca="1"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38" t="str">
        <f ca="1"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 ca="1">IF(Proc[[#This Row],[type]]="LFF (MDG-F)",MID(Proc[[#This Row],[Obj]],13,10),"")</f>
        <v/>
      </c>
      <c r="I783" t="s">
        <v>2280</v>
      </c>
      <c r="J783" s="69" t="b">
        <f ca="1">Proc[[#This Row],[Requested]]=Proc[[#This Row],[CurrentParent]]</f>
        <v>1</v>
      </c>
      <c r="K783" s="69" t="str">
        <f ca="1"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38" t="str">
        <f ca="1"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 ca="1">IF(Proc[[#This Row],[type]]="LFF (MDG-F)",MID(Proc[[#This Row],[Obj]],13,10),"")</f>
        <v/>
      </c>
      <c r="J784" s="69" t="b">
        <f ca="1">Proc[[#This Row],[Requested]]=Proc[[#This Row],[CurrentParent]]</f>
        <v>1</v>
      </c>
      <c r="K784" s="69" t="str">
        <f ca="1"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38" t="str">
        <f ca="1"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 ca="1">IF(Proc[[#This Row],[type]]="LFF (MDG-F)",MID(Proc[[#This Row],[Obj]],13,10),"")</f>
        <v/>
      </c>
      <c r="J785" s="69" t="b">
        <f ca="1">Proc[[#This Row],[Requested]]=Proc[[#This Row],[CurrentParent]]</f>
        <v>1</v>
      </c>
      <c r="K785" s="69" t="str">
        <f ca="1"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38" t="str">
        <f ca="1"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 ca="1">IF(Proc[[#This Row],[type]]="LFF (MDG-F)",MID(Proc[[#This Row],[Obj]],13,10),"")</f>
        <v/>
      </c>
      <c r="J786" s="69" t="b">
        <f ca="1">Proc[[#This Row],[Requested]]=Proc[[#This Row],[CurrentParent]]</f>
        <v>1</v>
      </c>
      <c r="K786" s="69" t="str">
        <f ca="1"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38" t="str">
        <f ca="1"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 ca="1">IF(Proc[[#This Row],[type]]="LFF (MDG-F)",MID(Proc[[#This Row],[Obj]],13,10),"")</f>
        <v/>
      </c>
      <c r="J787" s="69" t="b">
        <f ca="1">Proc[[#This Row],[Requested]]=Proc[[#This Row],[CurrentParent]]</f>
        <v>1</v>
      </c>
      <c r="K787" s="69" t="str">
        <f ca="1"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38" t="str">
        <f ca="1"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 ca="1">IF(Proc[[#This Row],[type]]="LFF (MDG-F)",MID(Proc[[#This Row],[Obj]],13,10),"")</f>
        <v/>
      </c>
      <c r="J788" s="69" t="b">
        <f ca="1">Proc[[#This Row],[Requested]]=Proc[[#This Row],[CurrentParent]]</f>
        <v>1</v>
      </c>
      <c r="K788" s="69" t="str">
        <f ca="1"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38" t="str">
        <f ca="1"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 ca="1">IF(Proc[[#This Row],[type]]="LFF (MDG-F)",MID(Proc[[#This Row],[Obj]],13,10),"")</f>
        <v/>
      </c>
      <c r="J789" s="69" t="b">
        <f ca="1">Proc[[#This Row],[Requested]]=Proc[[#This Row],[CurrentParent]]</f>
        <v>1</v>
      </c>
      <c r="K789" s="69" t="str">
        <f ca="1"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38" t="str">
        <f ca="1"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 ca="1">IF(Proc[[#This Row],[type]]="LFF (MDG-F)",MID(Proc[[#This Row],[Obj]],13,10),"")</f>
        <v/>
      </c>
      <c r="J790" s="69" t="b">
        <f ca="1">Proc[[#This Row],[Requested]]=Proc[[#This Row],[CurrentParent]]</f>
        <v>1</v>
      </c>
      <c r="K790" s="69" t="str">
        <f ca="1"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38" t="str">
        <f ca="1"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 ca="1">IF(Proc[[#This Row],[type]]="LFF (MDG-F)",MID(Proc[[#This Row],[Obj]],13,10),"")</f>
        <v/>
      </c>
      <c r="J791" s="69" t="b">
        <f ca="1">Proc[[#This Row],[Requested]]=Proc[[#This Row],[CurrentParent]]</f>
        <v>1</v>
      </c>
      <c r="K791" s="69" t="str">
        <f ca="1"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38" t="str">
        <f ca="1"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 ca="1">IF(Proc[[#This Row],[type]]="LFF (MDG-F)",MID(Proc[[#This Row],[Obj]],13,10),"")</f>
        <v/>
      </c>
      <c r="J792" s="69" t="b">
        <f ca="1">Proc[[#This Row],[Requested]]=Proc[[#This Row],[CurrentParent]]</f>
        <v>1</v>
      </c>
      <c r="K792" s="69" t="str">
        <f ca="1"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38" t="str">
        <f ca="1"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 ca="1">IF(Proc[[#This Row],[type]]="LFF (MDG-F)",MID(Proc[[#This Row],[Obj]],13,10),"")</f>
        <v/>
      </c>
      <c r="J793" s="69" t="b">
        <f ca="1">Proc[[#This Row],[Requested]]=Proc[[#This Row],[CurrentParent]]</f>
        <v>1</v>
      </c>
      <c r="K793" s="69" t="str">
        <f ca="1"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38" t="str">
        <f ca="1"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 ca="1">IF(Proc[[#This Row],[type]]="LFF (MDG-F)",MID(Proc[[#This Row],[Obj]],13,10),"")</f>
        <v/>
      </c>
      <c r="I794" s="68"/>
      <c r="J794" s="69" t="b">
        <f ca="1">Proc[[#This Row],[Requested]]=Proc[[#This Row],[CurrentParent]]</f>
        <v>1</v>
      </c>
      <c r="K794" s="69" t="str">
        <f ca="1"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38" t="str">
        <f ca="1"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 ca="1">IF(Proc[[#This Row],[type]]="LFF (MDG-F)",MID(Proc[[#This Row],[Obj]],13,10),"")</f>
        <v/>
      </c>
      <c r="J795" s="69" t="b">
        <f ca="1">Proc[[#This Row],[Requested]]=Proc[[#This Row],[CurrentParent]]</f>
        <v>1</v>
      </c>
      <c r="K795" s="69" t="str">
        <f ca="1"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38" t="str">
        <f ca="1"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 ca="1">IF(Proc[[#This Row],[type]]="LFF (MDG-F)",MID(Proc[[#This Row],[Obj]],13,10),"")</f>
        <v/>
      </c>
      <c r="J796" s="69" t="b">
        <f ca="1">Proc[[#This Row],[Requested]]=Proc[[#This Row],[CurrentParent]]</f>
        <v>1</v>
      </c>
      <c r="K796" s="69" t="str">
        <f ca="1"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38" t="str">
        <f ca="1"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 ca="1">IF(Proc[[#This Row],[type]]="LFF (MDG-F)",MID(Proc[[#This Row],[Obj]],13,10),"")</f>
        <v/>
      </c>
      <c r="J797" s="69" t="b">
        <f ca="1">Proc[[#This Row],[Requested]]=Proc[[#This Row],[CurrentParent]]</f>
        <v>1</v>
      </c>
      <c r="K797" s="69" t="str">
        <f ca="1"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38" t="str">
        <f ca="1"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 ca="1">IF(Proc[[#This Row],[type]]="LFF (MDG-F)",MID(Proc[[#This Row],[Obj]],13,10),"")</f>
        <v/>
      </c>
      <c r="J798" s="69" t="b">
        <f ca="1">Proc[[#This Row],[Requested]]=Proc[[#This Row],[CurrentParent]]</f>
        <v>1</v>
      </c>
      <c r="K798" s="69" t="str">
        <f ca="1"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38" t="str">
        <f ca="1"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 ca="1">IF(Proc[[#This Row],[type]]="LFF (MDG-F)",MID(Proc[[#This Row],[Obj]],13,10),"")</f>
        <v/>
      </c>
      <c r="J799" s="69" t="b">
        <f ca="1">Proc[[#This Row],[Requested]]=Proc[[#This Row],[CurrentParent]]</f>
        <v>1</v>
      </c>
      <c r="K799" s="69" t="str">
        <f ca="1"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38" t="str">
        <f ca="1"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 ca="1">IF(Proc[[#This Row],[type]]="LFF (MDG-F)",MID(Proc[[#This Row],[Obj]],13,10),"")</f>
        <v/>
      </c>
      <c r="J800" s="69" t="b">
        <f ca="1">Proc[[#This Row],[Requested]]=Proc[[#This Row],[CurrentParent]]</f>
        <v>1</v>
      </c>
      <c r="K800" s="69" t="str">
        <f ca="1"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38" t="str">
        <f ca="1"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 ca="1">IF(Proc[[#This Row],[type]]="LFF (MDG-F)",MID(Proc[[#This Row],[Obj]],13,10),"")</f>
        <v/>
      </c>
      <c r="J801" s="69" t="b">
        <f ca="1">Proc[[#This Row],[Requested]]=Proc[[#This Row],[CurrentParent]]</f>
        <v>1</v>
      </c>
      <c r="K801" s="69" t="str">
        <f ca="1"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38" t="str">
        <f ca="1"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 ca="1">IF(Proc[[#This Row],[type]]="LFF (MDG-F)",MID(Proc[[#This Row],[Obj]],13,10),"")</f>
        <v/>
      </c>
      <c r="J802" s="69" t="b">
        <f ca="1">Proc[[#This Row],[Requested]]=Proc[[#This Row],[CurrentParent]]</f>
        <v>1</v>
      </c>
      <c r="K802" s="69" t="str">
        <f ca="1"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38" t="str">
        <f ca="1"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 ca="1">IF(Proc[[#This Row],[type]]="LFF (MDG-F)",MID(Proc[[#This Row],[Obj]],13,10),"")</f>
        <v/>
      </c>
      <c r="J803" s="69" t="b">
        <f ca="1">Proc[[#This Row],[Requested]]=Proc[[#This Row],[CurrentParent]]</f>
        <v>1</v>
      </c>
      <c r="K803" s="69" t="str">
        <f ca="1"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38" t="str">
        <f ca="1"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 ca="1">IF(Proc[[#This Row],[type]]="LFF (MDG-F)",MID(Proc[[#This Row],[Obj]],13,10),"")</f>
        <v/>
      </c>
      <c r="J804" s="69" t="b">
        <f ca="1">Proc[[#This Row],[Requested]]=Proc[[#This Row],[CurrentParent]]</f>
        <v>1</v>
      </c>
      <c r="K804" s="69" t="str">
        <f ca="1"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38" t="str">
        <f ca="1"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 ca="1">IF(Proc[[#This Row],[type]]="LFF (MDG-F)",MID(Proc[[#This Row],[Obj]],13,10),"")</f>
        <v/>
      </c>
      <c r="J805" s="69" t="b">
        <f ca="1">Proc[[#This Row],[Requested]]=Proc[[#This Row],[CurrentParent]]</f>
        <v>1</v>
      </c>
      <c r="K805" s="69" t="str">
        <f ca="1"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38" t="str">
        <f ca="1"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 ca="1">IF(Proc[[#This Row],[type]]="LFF (MDG-F)",MID(Proc[[#This Row],[Obj]],13,10),"")</f>
        <v/>
      </c>
      <c r="J806" s="69" t="b">
        <f ca="1">Proc[[#This Row],[Requested]]=Proc[[#This Row],[CurrentParent]]</f>
        <v>1</v>
      </c>
      <c r="K806" s="69" t="str">
        <f ca="1"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38" t="str">
        <f ca="1"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 ca="1">IF(Proc[[#This Row],[type]]="LFF (MDG-F)",MID(Proc[[#This Row],[Obj]],13,10),"")</f>
        <v/>
      </c>
      <c r="J807" s="69" t="b">
        <f ca="1">Proc[[#This Row],[Requested]]=Proc[[#This Row],[CurrentParent]]</f>
        <v>1</v>
      </c>
      <c r="K807" s="69" t="str">
        <f ca="1"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38" t="str">
        <f ca="1"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 ca="1">IF(Proc[[#This Row],[type]]="LFF (MDG-F)",MID(Proc[[#This Row],[Obj]],13,10),"")</f>
        <v>DE20517200</v>
      </c>
      <c r="J808" s="69" t="b">
        <f ca="1">Proc[[#This Row],[Requested]]=Proc[[#This Row],[CurrentParent]]</f>
        <v>1</v>
      </c>
      <c r="K808" s="69" t="str">
        <f ca="1"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38" t="str">
        <f ca="1"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 ca="1">IF(Proc[[#This Row],[type]]="LFF (MDG-F)",MID(Proc[[#This Row],[Obj]],13,10),"")</f>
        <v>DE20847204</v>
      </c>
      <c r="I809" s="68"/>
      <c r="J809" s="69" t="b">
        <f ca="1">Proc[[#This Row],[Requested]]=Proc[[#This Row],[CurrentParent]]</f>
        <v>1</v>
      </c>
      <c r="K809" s="69" t="str">
        <f ca="1"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38" t="str">
        <f ca="1"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 ca="1">IF(Proc[[#This Row],[type]]="LFF (MDG-F)",MID(Proc[[#This Row],[Obj]],13,10),"")</f>
        <v>DE20847205</v>
      </c>
      <c r="I810" s="68"/>
      <c r="J810" s="69" t="b">
        <f ca="1">Proc[[#This Row],[Requested]]=Proc[[#This Row],[CurrentParent]]</f>
        <v>1</v>
      </c>
      <c r="K810" s="69" t="str">
        <f ca="1"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38" t="str">
        <f ca="1"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 ca="1">IF(Proc[[#This Row],[type]]="LFF (MDG-F)",MID(Proc[[#This Row],[Obj]],13,10),"")</f>
        <v>DE20847206</v>
      </c>
      <c r="I811" s="68"/>
      <c r="J811" s="69" t="b">
        <f ca="1">Proc[[#This Row],[Requested]]=Proc[[#This Row],[CurrentParent]]</f>
        <v>1</v>
      </c>
      <c r="K811" s="69" t="str">
        <f ca="1"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38" t="str">
        <f ca="1"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 ca="1">IF(Proc[[#This Row],[type]]="LFF (MDG-F)",MID(Proc[[#This Row],[Obj]],13,10),"")</f>
        <v>DE20847207</v>
      </c>
      <c r="J812" s="69" t="b">
        <f ca="1">Proc[[#This Row],[Requested]]=Proc[[#This Row],[CurrentParent]]</f>
        <v>1</v>
      </c>
      <c r="K812" s="69" t="str">
        <f ca="1"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38" t="str">
        <f ca="1"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 ca="1">IF(Proc[[#This Row],[type]]="LFF (MDG-F)",MID(Proc[[#This Row],[Obj]],13,10),"")</f>
        <v>DE10505500</v>
      </c>
      <c r="J813" s="69" t="b">
        <f ca="1">Proc[[#This Row],[Requested]]=Proc[[#This Row],[CurrentParent]]</f>
        <v>1</v>
      </c>
      <c r="K813" s="69" t="str">
        <f ca="1"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38" t="str">
        <f ca="1"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 ca="1">IF(Proc[[#This Row],[type]]="LFF (MDG-F)",MID(Proc[[#This Row],[Obj]],13,10),"")</f>
        <v>DE10550100</v>
      </c>
      <c r="I814" t="s">
        <v>446</v>
      </c>
      <c r="J814" s="69" t="b">
        <f ca="1">Proc[[#This Row],[Requested]]=Proc[[#This Row],[CurrentParent]]</f>
        <v>1</v>
      </c>
      <c r="K814" s="69" t="str">
        <f ca="1"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 ca="1">VLOOKUP(Proc[[#This Row],[Obj]],#REF!,2,0)</f>
        <v>#REF!</v>
      </c>
    </row>
    <row r="815" spans="1:19" hidden="1">
      <c r="A815" s="68" t="s">
        <v>2281</v>
      </c>
      <c r="B815" s="138" t="str">
        <f ca="1"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 ca="1">IF(Proc[[#This Row],[type]]="LFF (MDG-F)",MID(Proc[[#This Row],[Obj]],13,10),"")</f>
        <v>DE10559100</v>
      </c>
      <c r="I815" t="s">
        <v>446</v>
      </c>
      <c r="J815" s="69" t="b">
        <f ca="1">Proc[[#This Row],[Requested]]=Proc[[#This Row],[CurrentParent]]</f>
        <v>1</v>
      </c>
      <c r="K815" s="69" t="str">
        <f ca="1"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 ca="1">VLOOKUP(Proc[[#This Row],[Obj]],#REF!,2,0)</f>
        <v>#REF!</v>
      </c>
    </row>
    <row r="816" spans="1:19" hidden="1">
      <c r="A816" s="68" t="s">
        <v>2281</v>
      </c>
      <c r="B816" s="138" t="str">
        <f ca="1"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 ca="1">IF(Proc[[#This Row],[type]]="LFF (MDG-F)",MID(Proc[[#This Row],[Obj]],13,10),"")</f>
        <v>DE10566910</v>
      </c>
      <c r="I816" t="s">
        <v>446</v>
      </c>
      <c r="J816" s="69" t="b">
        <f ca="1">Proc[[#This Row],[Requested]]=Proc[[#This Row],[CurrentParent]]</f>
        <v>1</v>
      </c>
      <c r="K816" s="69" t="str">
        <f ca="1"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 ca="1">VLOOKUP(Proc[[#This Row],[Obj]],#REF!,2,0)</f>
        <v>#REF!</v>
      </c>
    </row>
    <row r="817" spans="1:19" hidden="1">
      <c r="A817" s="68" t="s">
        <v>2281</v>
      </c>
      <c r="B817" s="138" t="str">
        <f ca="1"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 ca="1">IF(Proc[[#This Row],[type]]="LFF (MDG-F)",MID(Proc[[#This Row],[Obj]],13,10),"")</f>
        <v>DE10580022</v>
      </c>
      <c r="J817" s="69" t="b">
        <f ca="1">Proc[[#This Row],[Requested]]=Proc[[#This Row],[CurrentParent]]</f>
        <v>1</v>
      </c>
      <c r="K817" s="69" t="str">
        <f ca="1"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38" t="str">
        <f ca="1"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 ca="1">IF(Proc[[#This Row],[type]]="LFF (MDG-F)",MID(Proc[[#This Row],[Obj]],13,10),"")</f>
        <v>DE10580023</v>
      </c>
      <c r="J818" s="69" t="b">
        <f ca="1">Proc[[#This Row],[Requested]]=Proc[[#This Row],[CurrentParent]]</f>
        <v>1</v>
      </c>
      <c r="K818" s="69" t="str">
        <f ca="1"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38" t="str">
        <f ca="1"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 ca="1">IF(Proc[[#This Row],[type]]="LFF (MDG-F)",MID(Proc[[#This Row],[Obj]],13,10),"")</f>
        <v>DE10580024</v>
      </c>
      <c r="J819" s="69" t="b">
        <f ca="1">Proc[[#This Row],[Requested]]=Proc[[#This Row],[CurrentParent]]</f>
        <v>1</v>
      </c>
      <c r="K819" s="69" t="str">
        <f ca="1"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38" t="str">
        <f ca="1"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 ca="1">IF(Proc[[#This Row],[type]]="LFF (MDG-F)",MID(Proc[[#This Row],[Obj]],13,10),"")</f>
        <v>DE10580025</v>
      </c>
      <c r="J820" s="69" t="b">
        <f ca="1">Proc[[#This Row],[Requested]]=Proc[[#This Row],[CurrentParent]]</f>
        <v>1</v>
      </c>
      <c r="K820" s="69" t="str">
        <f ca="1"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38" t="str">
        <f ca="1"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 ca="1">IF(Proc[[#This Row],[type]]="LFF (MDG-F)",MID(Proc[[#This Row],[Obj]],13,10),"")</f>
        <v>DE10580026</v>
      </c>
      <c r="J821" s="69" t="b">
        <f ca="1">Proc[[#This Row],[Requested]]=Proc[[#This Row],[CurrentParent]]</f>
        <v>1</v>
      </c>
      <c r="K821" s="69" t="str">
        <f ca="1"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38" t="str">
        <f ca="1"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 ca="1">IF(Proc[[#This Row],[type]]="LFF (MDG-F)",MID(Proc[[#This Row],[Obj]],13,10),"")</f>
        <v>DE10580027</v>
      </c>
      <c r="I822" s="68"/>
      <c r="J822" s="69" t="b">
        <f ca="1">Proc[[#This Row],[Requested]]=Proc[[#This Row],[CurrentParent]]</f>
        <v>1</v>
      </c>
      <c r="K822" s="69" t="str">
        <f ca="1"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38" t="str">
        <f ca="1"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 ca="1">IF(Proc[[#This Row],[type]]="LFF (MDG-F)",MID(Proc[[#This Row],[Obj]],13,10),"")</f>
        <v>DE10580040</v>
      </c>
      <c r="J823" s="69" t="b">
        <f ca="1">Proc[[#This Row],[Requested]]=Proc[[#This Row],[CurrentParent]]</f>
        <v>1</v>
      </c>
      <c r="K823" s="69" t="str">
        <f ca="1"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38" t="str">
        <f ca="1"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 ca="1">IF(Proc[[#This Row],[type]]="LFF (MDG-F)",MID(Proc[[#This Row],[Obj]],13,10),"")</f>
        <v>DE10628300</v>
      </c>
      <c r="I824" s="68"/>
      <c r="J824" s="69" t="b">
        <f ca="1">Proc[[#This Row],[Requested]]=Proc[[#This Row],[CurrentParent]]</f>
        <v>1</v>
      </c>
      <c r="K824" s="69" t="str">
        <f ca="1"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38" t="str">
        <f ca="1"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 ca="1">IF(Proc[[#This Row],[type]]="LFF (MDG-F)",MID(Proc[[#This Row],[Obj]],13,10),"")</f>
        <v>DE20675105</v>
      </c>
      <c r="I825" s="68"/>
      <c r="J825" s="69" t="b">
        <f ca="1">Proc[[#This Row],[Requested]]=Proc[[#This Row],[CurrentParent]]</f>
        <v>1</v>
      </c>
      <c r="K825" s="69" t="str">
        <f ca="1"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38" t="str">
        <f ca="1"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 ca="1">IF(Proc[[#This Row],[type]]="LFF (MDG-F)",MID(Proc[[#This Row],[Obj]],13,10),"")</f>
        <v>DE20675106</v>
      </c>
      <c r="J826" s="69" t="b">
        <f ca="1">Proc[[#This Row],[Requested]]=Proc[[#This Row],[CurrentParent]]</f>
        <v>1</v>
      </c>
      <c r="K826" s="69" t="str">
        <f ca="1"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38" t="str">
        <f ca="1"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 ca="1">IF(Proc[[#This Row],[type]]="LFF (MDG-F)",MID(Proc[[#This Row],[Obj]],13,10),"")</f>
        <v>DE20995000</v>
      </c>
      <c r="I827" t="s">
        <v>446</v>
      </c>
      <c r="J827" s="69" t="b">
        <f ca="1">Proc[[#This Row],[Requested]]=Proc[[#This Row],[CurrentParent]]</f>
        <v>1</v>
      </c>
      <c r="K827" s="69" t="str">
        <f ca="1"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 ca="1">VLOOKUP(Proc[[#This Row],[Obj]],#REF!,2,0)</f>
        <v>#REF!</v>
      </c>
    </row>
    <row r="828" spans="1:19" hidden="1">
      <c r="A828" s="68" t="s">
        <v>2281</v>
      </c>
      <c r="B828" s="138" t="str">
        <f ca="1"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 ca="1">IF(Proc[[#This Row],[type]]="LFF (MDG-F)",MID(Proc[[#This Row],[Obj]],13,10),"")</f>
        <v>DE10889997</v>
      </c>
      <c r="I828" t="s">
        <v>446</v>
      </c>
      <c r="J828" s="69" t="b">
        <f ca="1">Proc[[#This Row],[Requested]]=Proc[[#This Row],[CurrentParent]]</f>
        <v>1</v>
      </c>
      <c r="K828" s="69" t="str">
        <f ca="1"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 ca="1">VLOOKUP(Proc[[#This Row],[Obj]],#REF!,2,0)</f>
        <v>#REF!</v>
      </c>
    </row>
    <row r="829" spans="1:19" hidden="1">
      <c r="A829" s="68" t="s">
        <v>2281</v>
      </c>
      <c r="B829" s="138" t="str">
        <f ca="1"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 ca="1">IF(Proc[[#This Row],[type]]="LFF (MDG-F)",MID(Proc[[#This Row],[Obj]],13,10),"")</f>
        <v>DE10889998</v>
      </c>
      <c r="I829" t="s">
        <v>446</v>
      </c>
      <c r="J829" s="69" t="b">
        <f ca="1">Proc[[#This Row],[Requested]]=Proc[[#This Row],[CurrentParent]]</f>
        <v>1</v>
      </c>
      <c r="K829" s="69" t="str">
        <f ca="1"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 ca="1">VLOOKUP(Proc[[#This Row],[Obj]],#REF!,2,0)</f>
        <v>#REF!</v>
      </c>
    </row>
    <row r="830" spans="1:19" hidden="1">
      <c r="A830" s="68" t="s">
        <v>2281</v>
      </c>
      <c r="B830" s="138" t="str">
        <f ca="1"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 ca="1">IF(Proc[[#This Row],[type]]="LFF (MDG-F)",MID(Proc[[#This Row],[Obj]],13,10),"")</f>
        <v>DE10889999</v>
      </c>
      <c r="I830" t="s">
        <v>446</v>
      </c>
      <c r="J830" s="69" t="b">
        <f ca="1">Proc[[#This Row],[Requested]]=Proc[[#This Row],[CurrentParent]]</f>
        <v>1</v>
      </c>
      <c r="K830" s="69" t="str">
        <f ca="1"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 ca="1">VLOOKUP(Proc[[#This Row],[Obj]],#REF!,2,0)</f>
        <v>#REF!</v>
      </c>
    </row>
    <row r="831" spans="1:19" hidden="1">
      <c r="A831" t="s">
        <v>2311</v>
      </c>
      <c r="B831" s="138" t="str">
        <f ca="1"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 ca="1">IF(Proc[[#This Row],[type]]="LFF (MDG-F)",MID(Proc[[#This Row],[Obj]],13,10),"")</f>
        <v>CN09L16005</v>
      </c>
      <c r="J831" s="69" t="b">
        <f ca="1">Proc[[#This Row],[Requested]]=Proc[[#This Row],[CurrentParent]]</f>
        <v>1</v>
      </c>
      <c r="K831" s="69" t="str">
        <f ca="1"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38" t="str">
        <f ca="1"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 ca="1">IF(Proc[[#This Row],[type]]="LFF (MDG-F)",MID(Proc[[#This Row],[Obj]],13,10),"")</f>
        <v/>
      </c>
      <c r="J832" s="69" t="b">
        <f ca="1">Proc[[#This Row],[Requested]]=Proc[[#This Row],[CurrentParent]]</f>
        <v>1</v>
      </c>
      <c r="K832" s="69" t="str">
        <f ca="1"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38" t="str">
        <f ca="1"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 ca="1">IF(Proc[[#This Row],[type]]="LFF (MDG-F)",MID(Proc[[#This Row],[Obj]],13,10),"")</f>
        <v>DE10698316</v>
      </c>
      <c r="J833" s="69" t="b">
        <f ca="1">Proc[[#This Row],[Requested]]=Proc[[#This Row],[CurrentParent]]</f>
        <v>1</v>
      </c>
      <c r="K833" s="69" t="str">
        <f ca="1"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38" t="str">
        <f ca="1"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 ca="1">IF(Proc[[#This Row],[type]]="LFF (MDG-F)",MID(Proc[[#This Row],[Obj]],13,10),"")</f>
        <v/>
      </c>
      <c r="J834" s="69" t="b">
        <f ca="1">Proc[[#This Row],[Requested]]=Proc[[#This Row],[CurrentParent]]</f>
        <v>1</v>
      </c>
      <c r="K834" s="69" t="str">
        <f ca="1"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38" t="str">
        <f ca="1"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 ca="1">IF(Proc[[#This Row],[type]]="LFF (MDG-F)",MID(Proc[[#This Row],[Obj]],13,10),"")</f>
        <v/>
      </c>
      <c r="J835" s="69" t="b">
        <f ca="1">Proc[[#This Row],[Requested]]=Proc[[#This Row],[CurrentParent]]</f>
        <v>1</v>
      </c>
      <c r="K835" s="69" t="str">
        <f ca="1"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38" t="str">
        <f ca="1"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 ca="1">IF(Proc[[#This Row],[type]]="LFF (MDG-F)",MID(Proc[[#This Row],[Obj]],13,10),"")</f>
        <v/>
      </c>
      <c r="J836" s="69" t="b">
        <f ca="1">Proc[[#This Row],[Requested]]=Proc[[#This Row],[CurrentParent]]</f>
        <v>1</v>
      </c>
      <c r="K836" s="69" t="str">
        <f ca="1"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38" t="str">
        <f ca="1"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 ca="1">IF(Proc[[#This Row],[type]]="LFF (MDG-F)",MID(Proc[[#This Row],[Obj]],13,10),"")</f>
        <v/>
      </c>
      <c r="J837" s="69" t="b">
        <f ca="1">Proc[[#This Row],[Requested]]=Proc[[#This Row],[CurrentParent]]</f>
        <v>1</v>
      </c>
      <c r="K837" s="69" t="str">
        <f ca="1"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38" t="str">
        <f ca="1"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 ca="1">IF(Proc[[#This Row],[type]]="LFF (MDG-F)",MID(Proc[[#This Row],[Obj]],13,10),"")</f>
        <v/>
      </c>
      <c r="J838" s="69" t="b">
        <f ca="1">Proc[[#This Row],[Requested]]=Proc[[#This Row],[CurrentParent]]</f>
        <v>1</v>
      </c>
      <c r="K838" s="69" t="str">
        <f ca="1"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38" t="str">
        <f ca="1"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 ca="1">IF(Proc[[#This Row],[type]]="LFF (MDG-F)",MID(Proc[[#This Row],[Obj]],13,10),"")</f>
        <v/>
      </c>
      <c r="J839" s="69" t="b">
        <f ca="1">Proc[[#This Row],[Requested]]=Proc[[#This Row],[CurrentParent]]</f>
        <v>1</v>
      </c>
      <c r="K839" s="69" t="str">
        <f ca="1"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38" t="str">
        <f ca="1"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 ca="1">IF(Proc[[#This Row],[type]]="LFF (MDG-F)",MID(Proc[[#This Row],[Obj]],13,10),"")</f>
        <v/>
      </c>
      <c r="J840" s="69" t="b">
        <f ca="1">Proc[[#This Row],[Requested]]=Proc[[#This Row],[CurrentParent]]</f>
        <v>1</v>
      </c>
      <c r="K840" s="69" t="str">
        <f ca="1"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38" t="str">
        <f ca="1"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 ca="1">IF(Proc[[#This Row],[type]]="LFF (MDG-F)",MID(Proc[[#This Row],[Obj]],13,10),"")</f>
        <v/>
      </c>
      <c r="J841" s="69" t="b">
        <f ca="1">Proc[[#This Row],[Requested]]=Proc[[#This Row],[CurrentParent]]</f>
        <v>1</v>
      </c>
      <c r="K841" s="69" t="str">
        <f ca="1"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38" t="str">
        <f ca="1"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 ca="1">IF(Proc[[#This Row],[type]]="LFF (MDG-F)",MID(Proc[[#This Row],[Obj]],13,10),"")</f>
        <v/>
      </c>
      <c r="J842" s="69" t="b">
        <f ca="1">Proc[[#This Row],[Requested]]=Proc[[#This Row],[CurrentParent]]</f>
        <v>1</v>
      </c>
      <c r="K842" s="69" t="str">
        <f ca="1"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38" t="str">
        <f ca="1"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 ca="1">IF(Proc[[#This Row],[type]]="LFF (MDG-F)",MID(Proc[[#This Row],[Obj]],13,10),"")</f>
        <v/>
      </c>
      <c r="J843" s="69" t="b">
        <f ca="1">Proc[[#This Row],[Requested]]=Proc[[#This Row],[CurrentParent]]</f>
        <v>1</v>
      </c>
      <c r="K843" s="69" t="str">
        <f ca="1"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38" t="str">
        <f ca="1"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 ca="1">IF(Proc[[#This Row],[type]]="LFF (MDG-F)",MID(Proc[[#This Row],[Obj]],13,10),"")</f>
        <v/>
      </c>
      <c r="J844" s="69" t="b">
        <f ca="1">Proc[[#This Row],[Requested]]=Proc[[#This Row],[CurrentParent]]</f>
        <v>1</v>
      </c>
      <c r="K844" s="69" t="str">
        <f ca="1"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38" t="str">
        <f ca="1"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 ca="1">IF(Proc[[#This Row],[type]]="LFF (MDG-F)",MID(Proc[[#This Row],[Obj]],13,10),"")</f>
        <v/>
      </c>
      <c r="J845" s="69" t="b">
        <f ca="1">Proc[[#This Row],[Requested]]=Proc[[#This Row],[CurrentParent]]</f>
        <v>1</v>
      </c>
      <c r="K845" s="69" t="str">
        <f ca="1"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38" t="str">
        <f ca="1"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 ca="1">IF(Proc[[#This Row],[type]]="LFF (MDG-F)",MID(Proc[[#This Row],[Obj]],13,10),"")</f>
        <v/>
      </c>
      <c r="J846" s="69" t="b">
        <f ca="1">Proc[[#This Row],[Requested]]=Proc[[#This Row],[CurrentParent]]</f>
        <v>1</v>
      </c>
      <c r="K846" s="69" t="str">
        <f ca="1"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38" t="str">
        <f ca="1"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 ca="1">IF(Proc[[#This Row],[type]]="LFF (MDG-F)",MID(Proc[[#This Row],[Obj]],13,10),"")</f>
        <v/>
      </c>
      <c r="J847" s="69" t="b">
        <f ca="1">Proc[[#This Row],[Requested]]=Proc[[#This Row],[CurrentParent]]</f>
        <v>1</v>
      </c>
      <c r="K847" s="69" t="str">
        <f ca="1"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38" t="str">
        <f ca="1"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 ca="1">IF(Proc[[#This Row],[type]]="LFF (MDG-F)",MID(Proc[[#This Row],[Obj]],13,10),"")</f>
        <v/>
      </c>
      <c r="J848" s="69" t="b">
        <f ca="1">Proc[[#This Row],[Requested]]=Proc[[#This Row],[CurrentParent]]</f>
        <v>1</v>
      </c>
      <c r="K848" s="69" t="str">
        <f ca="1"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38" t="str">
        <f ca="1"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 ca="1">IF(Proc[[#This Row],[type]]="LFF (MDG-F)",MID(Proc[[#This Row],[Obj]],13,10),"")</f>
        <v/>
      </c>
      <c r="J849" s="69" t="b">
        <f ca="1">Proc[[#This Row],[Requested]]=Proc[[#This Row],[CurrentParent]]</f>
        <v>1</v>
      </c>
      <c r="K849" s="69" t="str">
        <f ca="1"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38" t="str">
        <f ca="1"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 ca="1">IF(Proc[[#This Row],[type]]="LFF (MDG-F)",MID(Proc[[#This Row],[Obj]],13,10),"")</f>
        <v/>
      </c>
      <c r="J850" s="69" t="b">
        <f ca="1">Proc[[#This Row],[Requested]]=Proc[[#This Row],[CurrentParent]]</f>
        <v>1</v>
      </c>
      <c r="K850" s="69" t="str">
        <f ca="1"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38" t="str">
        <f ca="1"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 ca="1">IF(Proc[[#This Row],[type]]="LFF (MDG-F)",MID(Proc[[#This Row],[Obj]],13,10),"")</f>
        <v/>
      </c>
      <c r="J851" s="69" t="b">
        <f ca="1">Proc[[#This Row],[Requested]]=Proc[[#This Row],[CurrentParent]]</f>
        <v>1</v>
      </c>
      <c r="K851" s="69" t="str">
        <f ca="1"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38" t="str">
        <f ca="1"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 ca="1">IF(Proc[[#This Row],[type]]="LFF (MDG-F)",MID(Proc[[#This Row],[Obj]],13,10),"")</f>
        <v>DE10600870</v>
      </c>
      <c r="J852" s="69" t="b">
        <f ca="1">Proc[[#This Row],[Requested]]=Proc[[#This Row],[CurrentParent]]</f>
        <v>1</v>
      </c>
      <c r="K852" s="69" t="str">
        <f ca="1"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38" t="str">
        <f ca="1"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 ca="1">IF(Proc[[#This Row],[type]]="LFF (MDG-F)",MID(Proc[[#This Row],[Obj]],13,10),"")</f>
        <v>DE20553406</v>
      </c>
      <c r="I853" s="69" t="s">
        <v>446</v>
      </c>
      <c r="J853" s="69" t="b">
        <f ca="1">Proc[[#This Row],[Requested]]=Proc[[#This Row],[CurrentParent]]</f>
        <v>1</v>
      </c>
      <c r="K853" s="69" t="str">
        <f ca="1"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 ca="1">VLOOKUP(Proc[[#This Row],[Obj]],#REF!,2,0)</f>
        <v>#REF!</v>
      </c>
    </row>
    <row r="854" spans="1:19" hidden="1">
      <c r="A854" s="68" t="s">
        <v>2348</v>
      </c>
      <c r="B854" s="138" t="str">
        <f ca="1"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 ca="1">IF(Proc[[#This Row],[type]]="LFF (MDG-F)",MID(Proc[[#This Row],[Obj]],13,10),"")</f>
        <v>DE20553407</v>
      </c>
      <c r="I854" s="69" t="s">
        <v>446</v>
      </c>
      <c r="J854" s="69" t="b">
        <f ca="1">Proc[[#This Row],[Requested]]=Proc[[#This Row],[CurrentParent]]</f>
        <v>1</v>
      </c>
      <c r="K854" s="69" t="str">
        <f ca="1"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 ca="1">VLOOKUP(Proc[[#This Row],[Obj]],#REF!,2,0)</f>
        <v>#REF!</v>
      </c>
    </row>
    <row r="855" spans="1:19" hidden="1">
      <c r="A855" s="68" t="s">
        <v>2344</v>
      </c>
      <c r="B855" s="138" t="str">
        <f ca="1"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 ca="1">IF(Proc[[#This Row],[type]]="LFF (MDG-F)",MID(Proc[[#This Row],[Obj]],13,10),"")</f>
        <v/>
      </c>
      <c r="J855" s="69" t="b">
        <f ca="1">Proc[[#This Row],[Requested]]=Proc[[#This Row],[CurrentParent]]</f>
        <v>1</v>
      </c>
      <c r="K855" s="69" t="str">
        <f ca="1"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 ca="1">VLOOKUP(Proc[[#This Row],[Obj]],#REF!,2,0)</f>
        <v>#REF!</v>
      </c>
    </row>
    <row r="856" spans="1:19" hidden="1">
      <c r="A856" s="68" t="s">
        <v>2344</v>
      </c>
      <c r="B856" s="138" t="str">
        <f ca="1"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 ca="1">IF(Proc[[#This Row],[type]]="LFF (MDG-F)",MID(Proc[[#This Row],[Obj]],13,10),"")</f>
        <v/>
      </c>
      <c r="J856" s="69" t="b">
        <f ca="1">Proc[[#This Row],[Requested]]=Proc[[#This Row],[CurrentParent]]</f>
        <v>1</v>
      </c>
      <c r="K856" s="69" t="str">
        <f ca="1"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 ca="1">VLOOKUP(Proc[[#This Row],[Obj]],#REF!,2,0)</f>
        <v>#REF!</v>
      </c>
    </row>
    <row r="857" spans="1:19" hidden="1">
      <c r="A857" s="68" t="s">
        <v>2344</v>
      </c>
      <c r="B857" s="138" t="str">
        <f ca="1"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 ca="1">IF(Proc[[#This Row],[type]]="LFF (MDG-F)",MID(Proc[[#This Row],[Obj]],13,10),"")</f>
        <v/>
      </c>
      <c r="J857" s="69" t="b">
        <f ca="1">Proc[[#This Row],[Requested]]=Proc[[#This Row],[CurrentParent]]</f>
        <v>1</v>
      </c>
      <c r="K857" s="69" t="str">
        <f ca="1"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 ca="1">VLOOKUP(Proc[[#This Row],[Obj]],#REF!,2,0)</f>
        <v>#REF!</v>
      </c>
    </row>
    <row r="858" spans="1:19" hidden="1">
      <c r="A858" s="68" t="s">
        <v>2344</v>
      </c>
      <c r="B858" s="138" t="str">
        <f ca="1"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 ca="1">IF(Proc[[#This Row],[type]]="LFF (MDG-F)",MID(Proc[[#This Row],[Obj]],13,10),"")</f>
        <v/>
      </c>
      <c r="J858" s="69" t="b">
        <f ca="1">Proc[[#This Row],[Requested]]=Proc[[#This Row],[CurrentParent]]</f>
        <v>1</v>
      </c>
      <c r="K858" s="69" t="str">
        <f ca="1"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38" t="str">
        <f ca="1"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 ca="1">IF(Proc[[#This Row],[type]]="LFF (MDG-F)",MID(Proc[[#This Row],[Obj]],13,10),"")</f>
        <v/>
      </c>
      <c r="J859" s="69" t="b">
        <f ca="1">Proc[[#This Row],[Requested]]=Proc[[#This Row],[CurrentParent]]</f>
        <v>1</v>
      </c>
      <c r="K859" s="69" t="str">
        <f ca="1"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38" t="str">
        <f ca="1"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 ca="1">IF(Proc[[#This Row],[type]]="LFF (MDG-F)",MID(Proc[[#This Row],[Obj]],13,10),"")</f>
        <v/>
      </c>
      <c r="I860" s="72"/>
      <c r="J860" s="69" t="b">
        <f ca="1">Proc[[#This Row],[Requested]]=Proc[[#This Row],[CurrentParent]]</f>
        <v>1</v>
      </c>
      <c r="K860" s="69" t="str">
        <f ca="1"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38" t="str">
        <f ca="1"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 ca="1">IF(Proc[[#This Row],[type]]="LFF (MDG-F)",MID(Proc[[#This Row],[Obj]],13,10),"")</f>
        <v/>
      </c>
      <c r="I861" s="72"/>
      <c r="J861" s="69" t="b">
        <f ca="1">Proc[[#This Row],[Requested]]=Proc[[#This Row],[CurrentParent]]</f>
        <v>1</v>
      </c>
      <c r="K861" s="69" t="str">
        <f ca="1"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135</v>
      </c>
      <c r="R861" s="70" t="s">
        <v>1459</v>
      </c>
      <c r="S861" s="69"/>
    </row>
    <row r="862" spans="1:19" hidden="1">
      <c r="A862" t="s">
        <v>2333</v>
      </c>
      <c r="B862" s="138" t="str">
        <f ca="1"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 ca="1">IF(Proc[[#This Row],[type]]="LFF (MDG-F)",MID(Proc[[#This Row],[Obj]],13,10),"")</f>
        <v/>
      </c>
      <c r="J862" s="69" t="b">
        <f ca="1">Proc[[#This Row],[Requested]]=Proc[[#This Row],[CurrentParent]]</f>
        <v>1</v>
      </c>
      <c r="K862" s="69" t="str">
        <f ca="1"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135</v>
      </c>
      <c r="R862" s="70" t="s">
        <v>1459</v>
      </c>
      <c r="S862" s="69"/>
    </row>
    <row r="863" spans="1:19" hidden="1">
      <c r="A863" s="68" t="s">
        <v>2333</v>
      </c>
      <c r="B863" s="138" t="str">
        <f ca="1"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 ca="1">IF(Proc[[#This Row],[type]]="LFF (MDG-F)",MID(Proc[[#This Row],[Obj]],13,10),"")</f>
        <v/>
      </c>
      <c r="J863" s="69" t="b">
        <f ca="1">Proc[[#This Row],[Requested]]=Proc[[#This Row],[CurrentParent]]</f>
        <v>1</v>
      </c>
      <c r="K863" s="69" t="str">
        <f ca="1"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135</v>
      </c>
      <c r="R863" s="70" t="s">
        <v>1459</v>
      </c>
      <c r="S863" s="69"/>
    </row>
    <row r="864" spans="1:19" hidden="1">
      <c r="A864" s="68" t="s">
        <v>2333</v>
      </c>
      <c r="B864" s="138" t="str">
        <f ca="1"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 ca="1">IF(Proc[[#This Row],[type]]="LFF (MDG-F)",MID(Proc[[#This Row],[Obj]],13,10),"")</f>
        <v>DE10513301</v>
      </c>
      <c r="J864" s="69" t="b">
        <f ca="1">Proc[[#This Row],[Requested]]=Proc[[#This Row],[CurrentParent]]</f>
        <v>1</v>
      </c>
      <c r="K864" s="69" t="str">
        <f ca="1"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135</v>
      </c>
      <c r="R864" s="70" t="s">
        <v>1459</v>
      </c>
      <c r="S864" s="69"/>
    </row>
    <row r="865" spans="1:19" hidden="1">
      <c r="A865" s="68" t="s">
        <v>2333</v>
      </c>
      <c r="B865" s="138" t="str">
        <f ca="1"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 ca="1">IF(Proc[[#This Row],[type]]="LFF (MDG-F)",MID(Proc[[#This Row],[Obj]],13,10),"")</f>
        <v>DE10533004</v>
      </c>
      <c r="J865" s="69" t="b">
        <f ca="1">Proc[[#This Row],[Requested]]=Proc[[#This Row],[CurrentParent]]</f>
        <v>1</v>
      </c>
      <c r="K865" s="69" t="str">
        <f ca="1"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135</v>
      </c>
      <c r="R865" s="70" t="s">
        <v>1459</v>
      </c>
      <c r="S865" s="69"/>
    </row>
    <row r="866" spans="1:19" hidden="1">
      <c r="A866" s="68" t="s">
        <v>2333</v>
      </c>
      <c r="B866" s="138" t="str">
        <f ca="1"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 ca="1">IF(Proc[[#This Row],[type]]="LFF (MDG-F)",MID(Proc[[#This Row],[Obj]],13,10),"")</f>
        <v>DE65GIT032</v>
      </c>
      <c r="I866" t="s">
        <v>2575</v>
      </c>
      <c r="J866" s="69" t="b">
        <f ca="1">Proc[[#This Row],[Requested]]=Proc[[#This Row],[CurrentParent]]</f>
        <v>1</v>
      </c>
      <c r="K866" s="69" t="str">
        <f ca="1"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38" t="str">
        <f ca="1"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 ca="1">IF(Proc[[#This Row],[type]]="LFF (MDG-F)",MID(Proc[[#This Row],[Obj]],13,10),"")</f>
        <v>VN50GIT050</v>
      </c>
      <c r="J867" s="69" t="b">
        <f ca="1">Proc[[#This Row],[Requested]]=Proc[[#This Row],[CurrentParent]]</f>
        <v>1</v>
      </c>
      <c r="K867" s="69" t="str">
        <f ca="1"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135</v>
      </c>
      <c r="R867" s="70" t="s">
        <v>1459</v>
      </c>
      <c r="S867" s="69"/>
    </row>
    <row r="868" spans="1:19" hidden="1">
      <c r="A868" s="68" t="s">
        <v>2333</v>
      </c>
      <c r="B868" s="138" t="str">
        <f ca="1"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 ca="1">IF(Proc[[#This Row],[type]]="LFF (MDG-F)",MID(Proc[[#This Row],[Obj]],13,10),"")</f>
        <v>ZA50GIT11B</v>
      </c>
      <c r="J868" s="69" t="b">
        <f ca="1">Proc[[#This Row],[Requested]]=Proc[[#This Row],[CurrentParent]]</f>
        <v>1</v>
      </c>
      <c r="K868" s="69" t="str">
        <f ca="1"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135</v>
      </c>
      <c r="R868" s="70" t="s">
        <v>1459</v>
      </c>
      <c r="S868" s="69"/>
    </row>
    <row r="869" spans="1:19" hidden="1">
      <c r="A869" s="68" t="s">
        <v>2333</v>
      </c>
      <c r="B869" s="138" t="str">
        <f ca="1"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 ca="1">IF(Proc[[#This Row],[type]]="LFF (MDG-F)",MID(Proc[[#This Row],[Obj]],13,10),"")</f>
        <v>US10GIT044</v>
      </c>
      <c r="J869" s="69" t="b">
        <f ca="1">Proc[[#This Row],[Requested]]=Proc[[#This Row],[CurrentParent]]</f>
        <v>1</v>
      </c>
      <c r="K869" s="69" t="str">
        <f ca="1"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135</v>
      </c>
      <c r="R869" s="70" t="s">
        <v>1459</v>
      </c>
      <c r="S869" s="69"/>
    </row>
    <row r="870" spans="1:19" hidden="1">
      <c r="A870" s="68" t="s">
        <v>2333</v>
      </c>
      <c r="B870" s="138" t="str">
        <f ca="1"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 ca="1">Proc[[#This Row],[Requested]]=Proc[[#This Row],[CurrentParent]]</f>
        <v>1</v>
      </c>
      <c r="K870" s="69" t="str">
        <f ca="1"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135</v>
      </c>
      <c r="R870" s="70" t="s">
        <v>1459</v>
      </c>
      <c r="S870" s="69"/>
    </row>
    <row r="871" spans="1:19" hidden="1">
      <c r="A871" s="68" t="s">
        <v>2333</v>
      </c>
      <c r="B871" s="138" t="str">
        <f ca="1"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 ca="1">IF(Proc[[#This Row],[type]]="LFF (MDG-F)",MID(Proc[[#This Row],[Obj]],13,10),"")</f>
        <v/>
      </c>
      <c r="J871" s="69" t="b">
        <f ca="1">Proc[[#This Row],[Requested]]=Proc[[#This Row],[CurrentParent]]</f>
        <v>1</v>
      </c>
      <c r="K871" s="69" t="str">
        <f ca="1"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135</v>
      </c>
      <c r="R871" s="70" t="s">
        <v>1459</v>
      </c>
      <c r="S871" s="69"/>
    </row>
    <row r="872" spans="1:19" hidden="1">
      <c r="A872" s="68" t="s">
        <v>2333</v>
      </c>
      <c r="B872" s="138" t="str">
        <f ca="1"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 ca="1">IF(Proc[[#This Row],[type]]="LFF (MDG-F)",MID(Proc[[#This Row],[Obj]],13,10),"")</f>
        <v/>
      </c>
      <c r="J872" s="69" t="b">
        <f ca="1">Proc[[#This Row],[Requested]]=Proc[[#This Row],[CurrentParent]]</f>
        <v>1</v>
      </c>
      <c r="K872" s="69" t="str">
        <f ca="1"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135</v>
      </c>
      <c r="R872" s="70" t="s">
        <v>1459</v>
      </c>
      <c r="S872" s="69"/>
    </row>
    <row r="873" spans="1:19" hidden="1">
      <c r="A873" s="68" t="s">
        <v>2333</v>
      </c>
      <c r="B873" s="138" t="str">
        <f ca="1"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 ca="1">IF(Proc[[#This Row],[type]]="LFF (MDG-F)",MID(Proc[[#This Row],[Obj]],13,10),"")</f>
        <v/>
      </c>
      <c r="J873" s="69" t="b">
        <f ca="1">Proc[[#This Row],[Requested]]=Proc[[#This Row],[CurrentParent]]</f>
        <v>1</v>
      </c>
      <c r="K873" s="69" t="str">
        <f ca="1"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135</v>
      </c>
      <c r="R873" s="70" t="s">
        <v>1459</v>
      </c>
      <c r="S873" s="69"/>
    </row>
    <row r="874" spans="1:19" hidden="1">
      <c r="A874" s="68" t="s">
        <v>2333</v>
      </c>
      <c r="B874" s="138" t="str">
        <f ca="1"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 ca="1">IF(Proc[[#This Row],[type]]="LFF (MDG-F)",MID(Proc[[#This Row],[Obj]],13,10),"")</f>
        <v/>
      </c>
      <c r="J874" s="69" t="b">
        <f ca="1">Proc[[#This Row],[Requested]]=Proc[[#This Row],[CurrentParent]]</f>
        <v>1</v>
      </c>
      <c r="K874" s="69" t="str">
        <f ca="1"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135</v>
      </c>
      <c r="R874" s="70" t="s">
        <v>1459</v>
      </c>
      <c r="S874" s="69"/>
    </row>
    <row r="875" spans="1:19" hidden="1">
      <c r="A875" s="68" t="s">
        <v>2333</v>
      </c>
      <c r="B875" s="138" t="str">
        <f ca="1"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 ca="1">IF(Proc[[#This Row],[type]]="LFF (MDG-F)",MID(Proc[[#This Row],[Obj]],13,10),"")</f>
        <v/>
      </c>
      <c r="J875" s="69" t="b">
        <f ca="1">Proc[[#This Row],[Requested]]=Proc[[#This Row],[CurrentParent]]</f>
        <v>1</v>
      </c>
      <c r="K875" s="69" t="str">
        <f ca="1"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135</v>
      </c>
      <c r="R875" s="70" t="s">
        <v>1459</v>
      </c>
      <c r="S875" s="69"/>
    </row>
    <row r="876" spans="1:19" hidden="1">
      <c r="A876" s="68" t="s">
        <v>2333</v>
      </c>
      <c r="B876" s="138" t="str">
        <f ca="1"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 ca="1">IF(Proc[[#This Row],[type]]="LFF (MDG-F)",MID(Proc[[#This Row],[Obj]],13,10),"")</f>
        <v/>
      </c>
      <c r="J876" s="69" t="b">
        <f ca="1">Proc[[#This Row],[Requested]]=Proc[[#This Row],[CurrentParent]]</f>
        <v>1</v>
      </c>
      <c r="K876" s="69" t="str">
        <f ca="1"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135</v>
      </c>
      <c r="R876" s="70" t="s">
        <v>1459</v>
      </c>
      <c r="S876" s="69"/>
    </row>
    <row r="877" spans="1:19" hidden="1">
      <c r="A877" s="68" t="s">
        <v>2333</v>
      </c>
      <c r="B877" s="138" t="str">
        <f ca="1"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 ca="1">IF(Proc[[#This Row],[type]]="LFF (MDG-F)",MID(Proc[[#This Row],[Obj]],13,10),"")</f>
        <v/>
      </c>
      <c r="J877" s="69" t="b">
        <f ca="1">Proc[[#This Row],[Requested]]=Proc[[#This Row],[CurrentParent]]</f>
        <v>1</v>
      </c>
      <c r="K877" s="69" t="str">
        <f ca="1"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135</v>
      </c>
      <c r="R877" s="70" t="s">
        <v>1459</v>
      </c>
      <c r="S877" s="69"/>
    </row>
    <row r="878" spans="1:19" hidden="1">
      <c r="A878" s="68" t="s">
        <v>2333</v>
      </c>
      <c r="B878" s="138" t="str">
        <f ca="1"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 ca="1">IF(Proc[[#This Row],[type]]="LFF (MDG-F)",MID(Proc[[#This Row],[Obj]],13,10),"")</f>
        <v/>
      </c>
      <c r="J878" s="69" t="b">
        <f ca="1">Proc[[#This Row],[Requested]]=Proc[[#This Row],[CurrentParent]]</f>
        <v>1</v>
      </c>
      <c r="K878" s="69" t="str">
        <f ca="1"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135</v>
      </c>
      <c r="R878" s="70" t="s">
        <v>1459</v>
      </c>
      <c r="S878" s="69"/>
    </row>
    <row r="879" spans="1:19" hidden="1">
      <c r="A879" s="68" t="s">
        <v>2333</v>
      </c>
      <c r="B879" s="138" t="str">
        <f ca="1"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 ca="1">IF(Proc[[#This Row],[type]]="LFF (MDG-F)",MID(Proc[[#This Row],[Obj]],13,10),"")</f>
        <v/>
      </c>
      <c r="J879" s="69" t="b">
        <f ca="1">Proc[[#This Row],[Requested]]=Proc[[#This Row],[CurrentParent]]</f>
        <v>1</v>
      </c>
      <c r="K879" s="69" t="str">
        <f ca="1"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135</v>
      </c>
      <c r="R879" s="70" t="s">
        <v>1459</v>
      </c>
      <c r="S879" s="69"/>
    </row>
    <row r="880" spans="1:19" hidden="1">
      <c r="A880" t="s">
        <v>2313</v>
      </c>
      <c r="B880" s="138" t="str">
        <f ca="1"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 ca="1">IF(Proc[[#This Row],[type]]="LFF (MDG-F)",MID(Proc[[#This Row],[Obj]],13,10),"")</f>
        <v>DE10622600</v>
      </c>
      <c r="J880" s="69" t="b">
        <f ca="1">Proc[[#This Row],[Requested]]=Proc[[#This Row],[CurrentParent]]</f>
        <v>1</v>
      </c>
      <c r="K880" s="69" t="str">
        <f ca="1"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38" t="str">
        <f ca="1"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 ca="1">IF(Proc[[#This Row],[type]]="LFF (MDG-F)",MID(Proc[[#This Row],[Obj]],13,10),"")</f>
        <v/>
      </c>
      <c r="J881" s="69" t="b">
        <f ca="1">Proc[[#This Row],[Requested]]=Proc[[#This Row],[CurrentParent]]</f>
        <v>1</v>
      </c>
      <c r="K881" s="69" t="str">
        <f ca="1"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38" t="str">
        <f ca="1"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 ca="1">IF(Proc[[#This Row],[type]]="LFF (MDG-F)",MID(Proc[[#This Row],[Obj]],13,10),"")</f>
        <v>2123GIT130</v>
      </c>
      <c r="J882" s="69" t="b">
        <f ca="1">Proc[[#This Row],[Requested]]=Proc[[#This Row],[CurrentParent]]</f>
        <v>1</v>
      </c>
      <c r="K882" s="69" t="str">
        <f ca="1"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38" t="str">
        <f ca="1"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 ca="1">IF(Proc[[#This Row],[type]]="LFF (MDG-F)",MID(Proc[[#This Row],[Obj]],13,10),"")</f>
        <v>NO50GIN000</v>
      </c>
      <c r="J883" s="69" t="b">
        <f ca="1">Proc[[#This Row],[Requested]]=Proc[[#This Row],[CurrentParent]]</f>
        <v>1</v>
      </c>
      <c r="K883" s="69" t="str">
        <f ca="1"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38" t="str">
        <f ca="1"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 ca="1">IF(Proc[[#This Row],[type]]="LFF (MDG-F)",MID(Proc[[#This Row],[Obj]],13,10),"")</f>
        <v/>
      </c>
      <c r="I884" t="s">
        <v>1198</v>
      </c>
      <c r="J884" s="69" t="b">
        <f ca="1">Proc[[#This Row],[Requested]]=Proc[[#This Row],[CurrentParent]]</f>
        <v>1</v>
      </c>
      <c r="K884" s="69" t="str">
        <f ca="1"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 ca="1">VLOOKUP(Proc[[#This Row],[Obj]],#REF!,2,0)</f>
        <v>#REF!</v>
      </c>
    </row>
    <row r="885" spans="1:19" hidden="1">
      <c r="A885" t="s">
        <v>2384</v>
      </c>
      <c r="B885" s="138" t="str">
        <f ca="1"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 ca="1">IF(Proc[[#This Row],[type]]="LFF (MDG-F)",MID(Proc[[#This Row],[Obj]],13,10),"")</f>
        <v/>
      </c>
      <c r="J885" s="69" t="b">
        <f ca="1">Proc[[#This Row],[Requested]]=Proc[[#This Row],[CurrentParent]]</f>
        <v>1</v>
      </c>
      <c r="K885" s="69" t="str">
        <f ca="1"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38" t="str">
        <f ca="1"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 ca="1">IF(Proc[[#This Row],[type]]="LFF (MDG-F)",MID(Proc[[#This Row],[Obj]],13,10),"")</f>
        <v>CH65R00044</v>
      </c>
      <c r="J886" s="69" t="b">
        <f ca="1">Proc[[#This Row],[Requested]]=Proc[[#This Row],[CurrentParent]]</f>
        <v>1</v>
      </c>
      <c r="K886" s="69" t="str">
        <f ca="1"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131</v>
      </c>
      <c r="R886" s="70" t="s">
        <v>2400</v>
      </c>
      <c r="S886" s="69"/>
    </row>
    <row r="887" spans="1:19" hidden="1">
      <c r="A887" s="68" t="s">
        <v>2396</v>
      </c>
      <c r="B887" s="138" t="str">
        <f ca="1"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 ca="1">IF(Proc[[#This Row],[type]]="LFF (MDG-F)",MID(Proc[[#This Row],[Obj]],13,10),"")</f>
        <v>CH65R00045</v>
      </c>
      <c r="J887" s="69" t="b">
        <f ca="1">Proc[[#This Row],[Requested]]=Proc[[#This Row],[CurrentParent]]</f>
        <v>1</v>
      </c>
      <c r="K887" s="69" t="str">
        <f ca="1"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131</v>
      </c>
      <c r="R887" s="70" t="s">
        <v>2400</v>
      </c>
      <c r="S887" s="69"/>
    </row>
    <row r="888" spans="1:19" hidden="1">
      <c r="A888" s="68" t="s">
        <v>2396</v>
      </c>
      <c r="B888" s="138" t="str">
        <f ca="1"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 ca="1">IF(Proc[[#This Row],[type]]="LFF (MDG-F)",MID(Proc[[#This Row],[Obj]],13,10),"")</f>
        <v>CH65R00046</v>
      </c>
      <c r="J888" s="69" t="b">
        <f ca="1">Proc[[#This Row],[Requested]]=Proc[[#This Row],[CurrentParent]]</f>
        <v>1</v>
      </c>
      <c r="K888" s="69" t="str">
        <f ca="1"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131</v>
      </c>
      <c r="R888" s="70" t="s">
        <v>2400</v>
      </c>
      <c r="S888" s="69"/>
    </row>
    <row r="889" spans="1:19" hidden="1">
      <c r="A889" s="68" t="s">
        <v>2396</v>
      </c>
      <c r="B889" s="138" t="str">
        <f ca="1"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 ca="1">IF(Proc[[#This Row],[type]]="LFF (MDG-F)",MID(Proc[[#This Row],[Obj]],13,10),"")</f>
        <v>CH65R00054</v>
      </c>
      <c r="J889" s="69" t="b">
        <f ca="1">Proc[[#This Row],[Requested]]=Proc[[#This Row],[CurrentParent]]</f>
        <v>1</v>
      </c>
      <c r="K889" s="69" t="str">
        <f ca="1"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38" t="str">
        <f ca="1"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 ca="1">IF(Proc[[#This Row],[type]]="LFF (MDG-F)",MID(Proc[[#This Row],[Obj]],13,10),"")</f>
        <v>CH50R01012</v>
      </c>
      <c r="J890" s="69" t="b">
        <f ca="1">Proc[[#This Row],[Requested]]=Proc[[#This Row],[CurrentParent]]</f>
        <v>1</v>
      </c>
      <c r="K890" s="69" t="str">
        <f ca="1"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38" t="str">
        <f ca="1"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 ca="1">IF(Proc[[#This Row],[type]]="LFF (MDG-F)",MID(Proc[[#This Row],[Obj]],13,10),"")</f>
        <v>2013OFIBM1</v>
      </c>
      <c r="J891" s="69" t="b">
        <f ca="1">Proc[[#This Row],[Requested]]=Proc[[#This Row],[CurrentParent]]</f>
        <v>1</v>
      </c>
      <c r="K891" s="69" t="str">
        <f ca="1"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38" t="str">
        <f ca="1"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 ca="1">IF(Proc[[#This Row],[type]]="LFF (MDG-F)",MID(Proc[[#This Row],[Obj]],13,10),"")</f>
        <v/>
      </c>
      <c r="J892" s="69" t="b">
        <f ca="1">Proc[[#This Row],[Requested]]=Proc[[#This Row],[CurrentParent]]</f>
        <v>1</v>
      </c>
      <c r="K892" s="69" t="str">
        <f ca="1"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38" t="str">
        <f ca="1"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 ca="1">IF(Proc[[#This Row],[type]]="LFF (MDG-F)",MID(Proc[[#This Row],[Obj]],13,10),"")</f>
        <v>2123C00001</v>
      </c>
      <c r="J893" s="69" t="b">
        <f ca="1">Proc[[#This Row],[Requested]]=Proc[[#This Row],[CurrentParent]]</f>
        <v>1</v>
      </c>
      <c r="K893" s="69" t="str">
        <f ca="1"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38" t="str">
        <f ca="1"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 ca="1">IF(Proc[[#This Row],[type]]="LFF (MDG-F)",MID(Proc[[#This Row],[Obj]],13,10),"")</f>
        <v>2128TMCZ95</v>
      </c>
      <c r="J894" s="69" t="b">
        <f ca="1">Proc[[#This Row],[Requested]]=Proc[[#This Row],[CurrentParent]]</f>
        <v>1</v>
      </c>
      <c r="K894" s="69" t="str">
        <f ca="1"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38" t="str">
        <f ca="1"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 ca="1">IF(Proc[[#This Row],[type]]="LFF (MDG-F)",MID(Proc[[#This Row],[Obj]],13,10),"")</f>
        <v/>
      </c>
      <c r="J895" s="69" t="b">
        <f ca="1">Proc[[#This Row],[Requested]]=Proc[[#This Row],[CurrentParent]]</f>
        <v>1</v>
      </c>
      <c r="K895" s="69" t="str">
        <f ca="1"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38" t="str">
        <f ca="1"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 ca="1">IF(Proc[[#This Row],[type]]="LFF (MDG-F)",MID(Proc[[#This Row],[Obj]],13,10),"")</f>
        <v>DE10300049</v>
      </c>
      <c r="J896" s="69" t="b">
        <f ca="1">Proc[[#This Row],[Requested]]=Proc[[#This Row],[CurrentParent]]</f>
        <v>1</v>
      </c>
      <c r="K896" s="69" t="str">
        <f ca="1"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38" t="str">
        <f ca="1"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 ca="1">IF(Proc[[#This Row],[type]]="LFF (MDG-F)",MID(Proc[[#This Row],[Obj]],13,10),"")</f>
        <v/>
      </c>
      <c r="J897" s="69" t="b">
        <f ca="1">Proc[[#This Row],[Requested]]=Proc[[#This Row],[CurrentParent]]</f>
        <v>1</v>
      </c>
      <c r="K897" s="69" t="str">
        <f ca="1"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38" t="str">
        <f ca="1"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 ca="1">IF(Proc[[#This Row],[type]]="LFF (MDG-F)",MID(Proc[[#This Row],[Obj]],13,10),"")</f>
        <v/>
      </c>
      <c r="J898" s="69" t="b">
        <f ca="1">Proc[[#This Row],[Requested]]=Proc[[#This Row],[CurrentParent]]</f>
        <v>1</v>
      </c>
      <c r="K898" s="69" t="str">
        <f ca="1"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38" t="str">
        <f ca="1"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 ca="1">IF(Proc[[#This Row],[type]]="LFF (MDG-F)",MID(Proc[[#This Row],[Obj]],13,10),"")</f>
        <v/>
      </c>
      <c r="J899" s="69" t="b">
        <f ca="1">Proc[[#This Row],[Requested]]=Proc[[#This Row],[CurrentParent]]</f>
        <v>1</v>
      </c>
      <c r="K899" s="69" t="str">
        <f ca="1"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38" t="str">
        <f ca="1"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 ca="1">IF(Proc[[#This Row],[type]]="LFF (MDG-F)",MID(Proc[[#This Row],[Obj]],13,10),"")</f>
        <v/>
      </c>
      <c r="J900" s="69" t="b">
        <f ca="1">Proc[[#This Row],[Requested]]=Proc[[#This Row],[CurrentParent]]</f>
        <v>1</v>
      </c>
      <c r="K900" s="69" t="str">
        <f ca="1"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38" t="str">
        <f ca="1"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 ca="1">IF(Proc[[#This Row],[type]]="LFF (MDG-F)",MID(Proc[[#This Row],[Obj]],13,10),"")</f>
        <v/>
      </c>
      <c r="J901" s="69" t="b">
        <f ca="1">Proc[[#This Row],[Requested]]=Proc[[#This Row],[CurrentParent]]</f>
        <v>1</v>
      </c>
      <c r="K901" s="69" t="str">
        <f ca="1"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38" t="str">
        <f ca="1"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 ca="1">IF(Proc[[#This Row],[type]]="LFF (MDG-F)",MID(Proc[[#This Row],[Obj]],13,10),"")</f>
        <v/>
      </c>
      <c r="J902" s="69" t="b">
        <f ca="1">Proc[[#This Row],[Requested]]=Proc[[#This Row],[CurrentParent]]</f>
        <v>1</v>
      </c>
      <c r="K902" s="69" t="str">
        <f ca="1"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38" t="str">
        <f ca="1"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 ca="1">IF(Proc[[#This Row],[type]]="LFF (MDG-F)",MID(Proc[[#This Row],[Obj]],13,10),"")</f>
        <v/>
      </c>
      <c r="J903" s="69" t="b">
        <f ca="1">Proc[[#This Row],[Requested]]=Proc[[#This Row],[CurrentParent]]</f>
        <v>1</v>
      </c>
      <c r="K903" s="69" t="str">
        <f ca="1"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38" t="str">
        <f ca="1"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 ca="1">IF(Proc[[#This Row],[type]]="LFF (MDG-F)",MID(Proc[[#This Row],[Obj]],13,10),"")</f>
        <v/>
      </c>
      <c r="J904" s="69" t="b">
        <f ca="1">Proc[[#This Row],[Requested]]=Proc[[#This Row],[CurrentParent]]</f>
        <v>1</v>
      </c>
      <c r="K904" s="69" t="str">
        <f ca="1"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38" t="str">
        <f ca="1"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 ca="1">IF(Proc[[#This Row],[type]]="LFF (MDG-F)",MID(Proc[[#This Row],[Obj]],13,10),"")</f>
        <v/>
      </c>
      <c r="J905" s="69" t="b">
        <f ca="1">Proc[[#This Row],[Requested]]=Proc[[#This Row],[CurrentParent]]</f>
        <v>1</v>
      </c>
      <c r="K905" s="69" t="str">
        <f ca="1"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38" t="str">
        <f ca="1"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 ca="1">IF(Proc[[#This Row],[type]]="LFF (MDG-F)",MID(Proc[[#This Row],[Obj]],13,10),"")</f>
        <v/>
      </c>
      <c r="J906" s="69" t="b">
        <f ca="1">Proc[[#This Row],[Requested]]=Proc[[#This Row],[CurrentParent]]</f>
        <v>1</v>
      </c>
      <c r="K906" s="69" t="str">
        <f ca="1"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38" t="str">
        <f ca="1"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 ca="1">IF(Proc[[#This Row],[type]]="LFF (MDG-F)",MID(Proc[[#This Row],[Obj]],13,10),"")</f>
        <v/>
      </c>
      <c r="J907" s="69" t="b">
        <f ca="1">Proc[[#This Row],[Requested]]=Proc[[#This Row],[CurrentParent]]</f>
        <v>1</v>
      </c>
      <c r="K907" s="69" t="str">
        <f ca="1"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126</v>
      </c>
      <c r="R907" s="70" t="s">
        <v>515</v>
      </c>
      <c r="S907" s="69"/>
    </row>
    <row r="908" spans="1:19" hidden="1">
      <c r="A908" t="s">
        <v>2439</v>
      </c>
      <c r="B908" s="138" t="str">
        <f ca="1"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 ca="1">IF(Proc[[#This Row],[type]]="LFF (MDG-F)",MID(Proc[[#This Row],[Obj]],13,10),"")</f>
        <v/>
      </c>
      <c r="J908" s="69" t="b">
        <f ca="1">Proc[[#This Row],[Requested]]=Proc[[#This Row],[CurrentParent]]</f>
        <v>1</v>
      </c>
      <c r="K908" s="69" t="str">
        <f ca="1"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125</v>
      </c>
      <c r="R908" s="70" t="s">
        <v>2440</v>
      </c>
      <c r="S908" s="69"/>
    </row>
    <row r="909" spans="1:19" hidden="1">
      <c r="A909" t="s">
        <v>2459</v>
      </c>
      <c r="B909" s="138" t="str">
        <f ca="1"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 ca="1">IF(Proc[[#This Row],[type]]="LFF (MDG-F)",MID(Proc[[#This Row],[Obj]],13,10),"")</f>
        <v>2148TASA01</v>
      </c>
      <c r="I909" t="s">
        <v>2474</v>
      </c>
      <c r="J909" s="69" t="b">
        <f ca="1">Proc[[#This Row],[Requested]]=Proc[[#This Row],[CurrentParent]]</f>
        <v>1</v>
      </c>
      <c r="K909" s="69" t="str">
        <f ca="1"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125</v>
      </c>
      <c r="R909" s="70" t="s">
        <v>830</v>
      </c>
      <c r="S909" s="94" t="e">
        <f ca="1">VLOOKUP(Proc[[#This Row],[Obj]],#REF!,2,0)</f>
        <v>#REF!</v>
      </c>
    </row>
    <row r="910" spans="1:19" hidden="1">
      <c r="A910" s="72" t="s">
        <v>2459</v>
      </c>
      <c r="B910" s="138" t="str">
        <f ca="1"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 ca="1">IF(Proc[[#This Row],[type]]="LFF (MDG-F)",MID(Proc[[#This Row],[Obj]],13,10),"")</f>
        <v>2148TASA99</v>
      </c>
      <c r="I910" s="72" t="s">
        <v>2474</v>
      </c>
      <c r="J910" s="69" t="b">
        <f ca="1">Proc[[#This Row],[Requested]]=Proc[[#This Row],[CurrentParent]]</f>
        <v>1</v>
      </c>
      <c r="K910" s="69" t="str">
        <f ca="1"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125</v>
      </c>
      <c r="R910" s="70" t="s">
        <v>830</v>
      </c>
      <c r="S910" s="94" t="e">
        <f ca="1">VLOOKUP(Proc[[#This Row],[Obj]],#REF!,2,0)</f>
        <v>#REF!</v>
      </c>
    </row>
    <row r="911" spans="1:19" hidden="1">
      <c r="A911" s="72" t="s">
        <v>2459</v>
      </c>
      <c r="B911" s="138" t="str">
        <f ca="1"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 ca="1">IF(Proc[[#This Row],[type]]="LFF (MDG-F)",MID(Proc[[#This Row],[Obj]],13,10),"")</f>
        <v>2148TASB00</v>
      </c>
      <c r="I911" s="72" t="s">
        <v>2474</v>
      </c>
      <c r="J911" s="69" t="b">
        <f ca="1">Proc[[#This Row],[Requested]]=Proc[[#This Row],[CurrentParent]]</f>
        <v>1</v>
      </c>
      <c r="K911" s="69" t="str">
        <f ca="1"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125</v>
      </c>
      <c r="R911" s="70" t="s">
        <v>830</v>
      </c>
      <c r="S911" s="94" t="e">
        <f ca="1">VLOOKUP(Proc[[#This Row],[Obj]],#REF!,2,0)</f>
        <v>#REF!</v>
      </c>
    </row>
    <row r="912" spans="1:19" hidden="1">
      <c r="A912" s="72" t="s">
        <v>2459</v>
      </c>
      <c r="B912" s="138" t="str">
        <f ca="1"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 ca="1">IF(Proc[[#This Row],[type]]="LFF (MDG-F)",MID(Proc[[#This Row],[Obj]],13,10),"")</f>
        <v>2148TASB01</v>
      </c>
      <c r="I912" s="72" t="s">
        <v>2474</v>
      </c>
      <c r="J912" s="69" t="b">
        <f ca="1">Proc[[#This Row],[Requested]]=Proc[[#This Row],[CurrentParent]]</f>
        <v>1</v>
      </c>
      <c r="K912" s="69" t="str">
        <f ca="1"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125</v>
      </c>
      <c r="R912" s="70" t="s">
        <v>830</v>
      </c>
      <c r="S912" s="94" t="e">
        <f ca="1">VLOOKUP(Proc[[#This Row],[Obj]],#REF!,2,0)</f>
        <v>#REF!</v>
      </c>
    </row>
    <row r="913" spans="1:19" hidden="1">
      <c r="A913" s="72" t="s">
        <v>2459</v>
      </c>
      <c r="B913" s="138" t="str">
        <f ca="1"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 ca="1">IF(Proc[[#This Row],[type]]="LFF (MDG-F)",MID(Proc[[#This Row],[Obj]],13,10),"")</f>
        <v>2148TASB99</v>
      </c>
      <c r="I913" s="72" t="s">
        <v>2474</v>
      </c>
      <c r="J913" s="69" t="b">
        <f ca="1">Proc[[#This Row],[Requested]]=Proc[[#This Row],[CurrentParent]]</f>
        <v>1</v>
      </c>
      <c r="K913" s="69" t="str">
        <f ca="1"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125</v>
      </c>
      <c r="R913" s="70" t="s">
        <v>830</v>
      </c>
      <c r="S913" s="94" t="e">
        <f ca="1">VLOOKUP(Proc[[#This Row],[Obj]],#REF!,2,0)</f>
        <v>#REF!</v>
      </c>
    </row>
    <row r="914" spans="1:19" hidden="1">
      <c r="A914" s="72" t="s">
        <v>2459</v>
      </c>
      <c r="B914" s="138" t="str">
        <f ca="1"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 ca="1">IF(Proc[[#This Row],[type]]="LFF (MDG-F)",MID(Proc[[#This Row],[Obj]],13,10),"")</f>
        <v>2148TBSZ20</v>
      </c>
      <c r="I914" s="72" t="s">
        <v>2474</v>
      </c>
      <c r="J914" s="69" t="b">
        <f ca="1">Proc[[#This Row],[Requested]]=Proc[[#This Row],[CurrentParent]]</f>
        <v>1</v>
      </c>
      <c r="K914" s="69" t="str">
        <f ca="1"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125</v>
      </c>
      <c r="R914" s="70" t="s">
        <v>830</v>
      </c>
      <c r="S914" s="94" t="e">
        <f ca="1">VLOOKUP(Proc[[#This Row],[Obj]],#REF!,2,0)</f>
        <v>#REF!</v>
      </c>
    </row>
    <row r="915" spans="1:19" hidden="1">
      <c r="A915" s="72" t="s">
        <v>2459</v>
      </c>
      <c r="B915" s="138" t="str">
        <f ca="1"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 ca="1">IF(Proc[[#This Row],[type]]="LFF (MDG-F)",MID(Proc[[#This Row],[Obj]],13,10),"")</f>
        <v>2148TBSZ21</v>
      </c>
      <c r="I915" s="72" t="s">
        <v>2474</v>
      </c>
      <c r="J915" s="69" t="b">
        <f ca="1">Proc[[#This Row],[Requested]]=Proc[[#This Row],[CurrentParent]]</f>
        <v>1</v>
      </c>
      <c r="K915" s="69" t="str">
        <f ca="1"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125</v>
      </c>
      <c r="R915" s="70" t="s">
        <v>830</v>
      </c>
      <c r="S915" s="94" t="e">
        <f ca="1">VLOOKUP(Proc[[#This Row],[Obj]],#REF!,2,0)</f>
        <v>#REF!</v>
      </c>
    </row>
    <row r="916" spans="1:19" hidden="1">
      <c r="A916" s="72" t="s">
        <v>2459</v>
      </c>
      <c r="B916" s="138" t="str">
        <f ca="1"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 ca="1">IF(Proc[[#This Row],[type]]="LFF (MDG-F)",MID(Proc[[#This Row],[Obj]],13,10),"")</f>
        <v>2148TFSZ64</v>
      </c>
      <c r="I916" s="72" t="s">
        <v>2474</v>
      </c>
      <c r="J916" s="69" t="b">
        <f ca="1">Proc[[#This Row],[Requested]]=Proc[[#This Row],[CurrentParent]]</f>
        <v>1</v>
      </c>
      <c r="K916" s="69" t="str">
        <f ca="1"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125</v>
      </c>
      <c r="R916" s="70" t="s">
        <v>830</v>
      </c>
      <c r="S916" s="94" t="e">
        <f ca="1">VLOOKUP(Proc[[#This Row],[Obj]],#REF!,2,0)</f>
        <v>#REF!</v>
      </c>
    </row>
    <row r="917" spans="1:19" hidden="1">
      <c r="A917" s="72" t="s">
        <v>2459</v>
      </c>
      <c r="B917" s="138" t="str">
        <f ca="1"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 ca="1">IF(Proc[[#This Row],[type]]="LFF (MDG-F)",MID(Proc[[#This Row],[Obj]],13,10),"")</f>
        <v>2148TKSZ70</v>
      </c>
      <c r="I917" s="72" t="s">
        <v>2474</v>
      </c>
      <c r="J917" s="69" t="b">
        <f ca="1">Proc[[#This Row],[Requested]]=Proc[[#This Row],[CurrentParent]]</f>
        <v>1</v>
      </c>
      <c r="K917" s="69" t="str">
        <f ca="1"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125</v>
      </c>
      <c r="R917" s="70" t="s">
        <v>830</v>
      </c>
      <c r="S917" s="94" t="e">
        <f ca="1">VLOOKUP(Proc[[#This Row],[Obj]],#REF!,2,0)</f>
        <v>#REF!</v>
      </c>
    </row>
    <row r="918" spans="1:19" hidden="1">
      <c r="A918" s="72" t="s">
        <v>2459</v>
      </c>
      <c r="B918" s="138" t="str">
        <f ca="1"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 ca="1">IF(Proc[[#This Row],[type]]="LFF (MDG-F)",MID(Proc[[#This Row],[Obj]],13,10),"")</f>
        <v>2148TQSZ91</v>
      </c>
      <c r="I918" s="72" t="s">
        <v>2474</v>
      </c>
      <c r="J918" s="69" t="b">
        <f ca="1">Proc[[#This Row],[Requested]]=Proc[[#This Row],[CurrentParent]]</f>
        <v>1</v>
      </c>
      <c r="K918" s="69" t="str">
        <f ca="1"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125</v>
      </c>
      <c r="R918" s="70" t="s">
        <v>830</v>
      </c>
      <c r="S918" s="94" t="e">
        <f ca="1">VLOOKUP(Proc[[#This Row],[Obj]],#REF!,2,0)</f>
        <v>#REF!</v>
      </c>
    </row>
    <row r="919" spans="1:19" hidden="1">
      <c r="A919" s="72" t="s">
        <v>2459</v>
      </c>
      <c r="B919" s="138" t="str">
        <f ca="1"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 ca="1">IF(Proc[[#This Row],[type]]="LFF (MDG-F)",MID(Proc[[#This Row],[Obj]],13,10),"")</f>
        <v>2148TQSZ92</v>
      </c>
      <c r="I919" s="72" t="s">
        <v>2474</v>
      </c>
      <c r="J919" s="69" t="b">
        <f ca="1">Proc[[#This Row],[Requested]]=Proc[[#This Row],[CurrentParent]]</f>
        <v>1</v>
      </c>
      <c r="K919" s="69" t="str">
        <f ca="1"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125</v>
      </c>
      <c r="R919" s="70" t="s">
        <v>830</v>
      </c>
      <c r="S919" s="94" t="e">
        <f ca="1">VLOOKUP(Proc[[#This Row],[Obj]],#REF!,2,0)</f>
        <v>#REF!</v>
      </c>
    </row>
    <row r="920" spans="1:19" hidden="1">
      <c r="A920" t="s">
        <v>2460</v>
      </c>
      <c r="B920" s="138" t="str">
        <f ca="1"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 ca="1">IF(Proc[[#This Row],[type]]="LFF (MDG-F)",MID(Proc[[#This Row],[Obj]],13,10),"")</f>
        <v/>
      </c>
      <c r="J920" s="69" t="b">
        <f ca="1">Proc[[#This Row],[Requested]]=Proc[[#This Row],[CurrentParent]]</f>
        <v>1</v>
      </c>
      <c r="K920" s="69" t="str">
        <f ca="1"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38" t="str">
        <f ca="1"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 ca="1">IF(Proc[[#This Row],[type]]="LFF (MDG-F)",MID(Proc[[#This Row],[Obj]],13,10),"")</f>
        <v/>
      </c>
      <c r="J921" s="69" t="b">
        <f ca="1">Proc[[#This Row],[Requested]]=Proc[[#This Row],[CurrentParent]]</f>
        <v>1</v>
      </c>
      <c r="K921" s="69" t="str">
        <f ca="1"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38" t="str">
        <f ca="1"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 ca="1">IF(Proc[[#This Row],[type]]="LFF (MDG-F)",MID(Proc[[#This Row],[Obj]],13,10),"")</f>
        <v>DE10698316</v>
      </c>
      <c r="J922" s="69" t="b">
        <f ca="1">Proc[[#This Row],[Requested]]=Proc[[#This Row],[CurrentParent]]</f>
        <v>1</v>
      </c>
      <c r="K922" s="69" t="str">
        <f ca="1"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38" t="str">
        <f ca="1"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 ca="1">IF(Proc[[#This Row],[type]]="LFF (MDG-F)",MID(Proc[[#This Row],[Obj]],13,10),"")</f>
        <v/>
      </c>
      <c r="J923" s="69" t="b">
        <f ca="1">Proc[[#This Row],[Requested]]=Proc[[#This Row],[CurrentParent]]</f>
        <v>1</v>
      </c>
      <c r="K923" s="69" t="str">
        <f ca="1"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38" t="str">
        <f ca="1"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 ca="1">IF(Proc[[#This Row],[type]]="LFF (MDG-F)",MID(Proc[[#This Row],[Obj]],13,10),"")</f>
        <v/>
      </c>
      <c r="J924" s="69" t="b">
        <f ca="1">Proc[[#This Row],[Requested]]=Proc[[#This Row],[CurrentParent]]</f>
        <v>1</v>
      </c>
      <c r="K924" s="69" t="str">
        <f ca="1"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38" t="str">
        <f ca="1"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 ca="1">IF(Proc[[#This Row],[type]]="LFF (MDG-F)",MID(Proc[[#This Row],[Obj]],13,10),"")</f>
        <v/>
      </c>
      <c r="J925" s="69" t="b">
        <f ca="1">Proc[[#This Row],[Requested]]=Proc[[#This Row],[CurrentParent]]</f>
        <v>1</v>
      </c>
      <c r="K925" s="69" t="str">
        <f ca="1"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38" t="str">
        <f ca="1"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 ca="1">IF(Proc[[#This Row],[type]]="LFF (MDG-F)",MID(Proc[[#This Row],[Obj]],13,10),"")</f>
        <v>US01OF0102</v>
      </c>
      <c r="I926" t="s">
        <v>2483</v>
      </c>
      <c r="J926" s="69" t="b">
        <f ca="1">Proc[[#This Row],[Requested]]=Proc[[#This Row],[CurrentParent]]</f>
        <v>1</v>
      </c>
      <c r="K926" s="69" t="str">
        <f ca="1"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38" t="str">
        <f ca="1"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 ca="1">IF(Proc[[#This Row],[type]]="LFF (MDG-F)",MID(Proc[[#This Row],[Obj]],13,10),"")</f>
        <v/>
      </c>
      <c r="J927" s="69" t="b">
        <f ca="1">Proc[[#This Row],[Requested]]=Proc[[#This Row],[CurrentParent]]</f>
        <v>1</v>
      </c>
      <c r="K927" s="69" t="str">
        <f ca="1"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38" t="str">
        <f ca="1"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 ca="1">IF(Proc[[#This Row],[type]]="LFF (MDG-F)",MID(Proc[[#This Row],[Obj]],13,10),"")</f>
        <v/>
      </c>
      <c r="J928" s="69" t="b">
        <f ca="1">Proc[[#This Row],[Requested]]=Proc[[#This Row],[CurrentParent]]</f>
        <v>1</v>
      </c>
      <c r="K928" s="69" t="str">
        <f ca="1"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38" t="str">
        <f ca="1"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 ca="1">IF(Proc[[#This Row],[type]]="LFF (MDG-F)",MID(Proc[[#This Row],[Obj]],13,10),"")</f>
        <v>CN90GM1271</v>
      </c>
      <c r="J929" s="69" t="b">
        <f ca="1">Proc[[#This Row],[Requested]]=Proc[[#This Row],[CurrentParent]]</f>
        <v>1</v>
      </c>
      <c r="K929" s="69" t="str">
        <f ca="1"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38" t="str">
        <f ca="1"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 ca="1">IF(Proc[[#This Row],[type]]="LFF (MDG-F)",MID(Proc[[#This Row],[Obj]],13,10),"")</f>
        <v>DE10GM2000</v>
      </c>
      <c r="J930" s="69" t="b">
        <f ca="1">Proc[[#This Row],[Requested]]=Proc[[#This Row],[CurrentParent]]</f>
        <v>1</v>
      </c>
      <c r="K930" s="69" t="str">
        <f ca="1"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38" t="str">
        <f ca="1"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 ca="1">IF(Proc[[#This Row],[type]]="LFF (MDG-F)",MID(Proc[[#This Row],[Obj]],13,10),"")</f>
        <v/>
      </c>
      <c r="J931" s="69" t="b">
        <f ca="1">Proc[[#This Row],[Requested]]=Proc[[#This Row],[CurrentParent]]</f>
        <v>1</v>
      </c>
      <c r="K931" s="69" t="str">
        <f ca="1"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38" t="str">
        <f ca="1"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 ca="1">IF(Proc[[#This Row],[type]]="LFF (MDG-F)",MID(Proc[[#This Row],[Obj]],13,10),"")</f>
        <v/>
      </c>
      <c r="J932" s="69" t="b">
        <f ca="1">Proc[[#This Row],[Requested]]=Proc[[#This Row],[CurrentParent]]</f>
        <v>1</v>
      </c>
      <c r="K932" s="69" t="str">
        <f ca="1"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38" t="str">
        <f ca="1"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 ca="1">IF(Proc[[#This Row],[type]]="LFF (MDG-F)",MID(Proc[[#This Row],[Obj]],13,10),"")</f>
        <v/>
      </c>
      <c r="J933" s="69" t="b">
        <f ca="1">Proc[[#This Row],[Requested]]=Proc[[#This Row],[CurrentParent]]</f>
        <v>1</v>
      </c>
      <c r="K933" s="69" t="str">
        <f ca="1"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38" t="str">
        <f ca="1"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 ca="1">IF(Proc[[#This Row],[type]]="LFF (MDG-F)",MID(Proc[[#This Row],[Obj]],13,10),"")</f>
        <v/>
      </c>
      <c r="J934" s="69" t="b">
        <f ca="1">Proc[[#This Row],[Requested]]=Proc[[#This Row],[CurrentParent]]</f>
        <v>1</v>
      </c>
      <c r="K934" s="69" t="str">
        <f ca="1"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38" t="str">
        <f ca="1"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 ca="1">IF(Proc[[#This Row],[type]]="LFF (MDG-F)",MID(Proc[[#This Row],[Obj]],13,10),"")</f>
        <v>1919TQSZ93</v>
      </c>
      <c r="J935" s="69" t="b">
        <f ca="1">Proc[[#This Row],[Requested]]=Proc[[#This Row],[CurrentParent]]</f>
        <v>1</v>
      </c>
      <c r="K935" s="69" t="str">
        <f ca="1"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38" t="str">
        <f ca="1"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 ca="1">IF(Proc[[#This Row],[type]]="LFF (MDG-F)",MID(Proc[[#This Row],[Obj]],13,10),"")</f>
        <v/>
      </c>
      <c r="J936" s="69" t="b">
        <f ca="1">Proc[[#This Row],[Requested]]=Proc[[#This Row],[CurrentParent]]</f>
        <v>1</v>
      </c>
      <c r="K936" s="69" t="str">
        <f ca="1"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38" t="str">
        <f ca="1"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 ca="1">IF(Proc[[#This Row],[type]]="LFF (MDG-F)",MID(Proc[[#This Row],[Obj]],13,10),"")</f>
        <v/>
      </c>
      <c r="J937" s="69" t="b">
        <f ca="1">Proc[[#This Row],[Requested]]=Proc[[#This Row],[CurrentParent]]</f>
        <v>1</v>
      </c>
      <c r="K937" s="69" t="str">
        <f ca="1"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38" t="str">
        <f ca="1"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 ca="1">IF(Proc[[#This Row],[type]]="LFF (MDG-F)",MID(Proc[[#This Row],[Obj]],13,10),"")</f>
        <v>IT50C02000</v>
      </c>
      <c r="J938" s="69" t="b">
        <f ca="1">Proc[[#This Row],[Requested]]=Proc[[#This Row],[CurrentParent]]</f>
        <v>1</v>
      </c>
      <c r="K938" s="69" t="str">
        <f ca="1"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38" t="str">
        <f ca="1"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 ca="1">IF(Proc[[#This Row],[type]]="LFF (MDG-F)",MID(Proc[[#This Row],[Obj]],13,10),"")</f>
        <v>IT50C02004</v>
      </c>
      <c r="J939" s="69" t="b">
        <f ca="1">Proc[[#This Row],[Requested]]=Proc[[#This Row],[CurrentParent]]</f>
        <v>1</v>
      </c>
      <c r="K939" s="69" t="str">
        <f ca="1"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38" t="str">
        <f ca="1"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 ca="1">IF(Proc[[#This Row],[type]]="LFF (MDG-F)",MID(Proc[[#This Row],[Obj]],13,10),"")</f>
        <v>IT50C03005</v>
      </c>
      <c r="J940" s="69" t="b">
        <f ca="1">Proc[[#This Row],[Requested]]=Proc[[#This Row],[CurrentParent]]</f>
        <v>1</v>
      </c>
      <c r="K940" s="69" t="str">
        <f ca="1"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38" t="str">
        <f ca="1"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 ca="1">IF(Proc[[#This Row],[type]]="LFF (MDG-F)",MID(Proc[[#This Row],[Obj]],13,10),"")</f>
        <v>IT50C03004</v>
      </c>
      <c r="J941" s="69" t="b">
        <f ca="1">Proc[[#This Row],[Requested]]=Proc[[#This Row],[CurrentParent]]</f>
        <v>1</v>
      </c>
      <c r="K941" s="69" t="str">
        <f ca="1"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38" t="str">
        <f ca="1"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 ca="1">IF(Proc[[#This Row],[type]]="LFF (MDG-F)",MID(Proc[[#This Row],[Obj]],13,10),"")</f>
        <v>IT50C02009</v>
      </c>
      <c r="J942" s="69" t="b">
        <f ca="1">Proc[[#This Row],[Requested]]=Proc[[#This Row],[CurrentParent]]</f>
        <v>1</v>
      </c>
      <c r="K942" s="69" t="str">
        <f ca="1"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38" t="str">
        <f ca="1"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 ca="1">IF(Proc[[#This Row],[type]]="LFF (MDG-F)",MID(Proc[[#This Row],[Obj]],13,10),"")</f>
        <v>IT50C02010</v>
      </c>
      <c r="J943" s="69" t="b">
        <f ca="1">Proc[[#This Row],[Requested]]=Proc[[#This Row],[CurrentParent]]</f>
        <v>1</v>
      </c>
      <c r="K943" s="69" t="str">
        <f ca="1"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38" t="str">
        <f ca="1"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 ca="1">IF(Proc[[#This Row],[type]]="LFF (MDG-F)",MID(Proc[[#This Row],[Obj]],13,10),"")</f>
        <v>IT50C03007</v>
      </c>
      <c r="J944" s="69" t="b">
        <f ca="1">Proc[[#This Row],[Requested]]=Proc[[#This Row],[CurrentParent]]</f>
        <v>1</v>
      </c>
      <c r="K944" s="69" t="str">
        <f ca="1"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38" t="str">
        <f ca="1"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 ca="1">IF(Proc[[#This Row],[type]]="LFF (MDG-F)",MID(Proc[[#This Row],[Obj]],13,10),"")</f>
        <v>IT50C02011</v>
      </c>
      <c r="J945" s="69" t="b">
        <f ca="1">Proc[[#This Row],[Requested]]=Proc[[#This Row],[CurrentParent]]</f>
        <v>1</v>
      </c>
      <c r="K945" s="69" t="str">
        <f ca="1"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38" t="str">
        <f ca="1"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 ca="1">IF(Proc[[#This Row],[type]]="LFF (MDG-F)",MID(Proc[[#This Row],[Obj]],13,10),"")</f>
        <v>DZ50GM1100</v>
      </c>
      <c r="J946" s="69" t="b">
        <f ca="1">Proc[[#This Row],[Requested]]=Proc[[#This Row],[CurrentParent]]</f>
        <v>1</v>
      </c>
      <c r="K946" s="69" t="str">
        <f ca="1"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38" t="str">
        <f ca="1"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 ca="1">IF(Proc[[#This Row],[type]]="LFF (MDG-F)",MID(Proc[[#This Row],[Obj]],13,10),"")</f>
        <v>2053OF0000</v>
      </c>
      <c r="J947" s="69" t="b">
        <f ca="1">Proc[[#This Row],[Requested]]=Proc[[#This Row],[CurrentParent]]</f>
        <v>1</v>
      </c>
      <c r="K947" s="69" t="str">
        <f ca="1"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38" t="str">
        <f ca="1"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 ca="1">IF(Proc[[#This Row],[type]]="LFF (MDG-F)",MID(Proc[[#This Row],[Obj]],13,10),"")</f>
        <v>DE20569502</v>
      </c>
      <c r="J948" s="69" t="b">
        <f ca="1">Proc[[#This Row],[Requested]]=Proc[[#This Row],[CurrentParent]]</f>
        <v>1</v>
      </c>
      <c r="K948" s="69" t="str">
        <f ca="1"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38" t="str">
        <f ca="1"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 ca="1">IF(Proc[[#This Row],[type]]="LFF (MDG-F)",MID(Proc[[#This Row],[Obj]],13,10),"")</f>
        <v>ZA50GM1000</v>
      </c>
      <c r="J949" s="69" t="b">
        <f ca="1">Proc[[#This Row],[Requested]]=Proc[[#This Row],[CurrentParent]]</f>
        <v>1</v>
      </c>
      <c r="K949" s="69" t="str">
        <f ca="1"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38" t="str">
        <f ca="1"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 ca="1">IF(Proc[[#This Row],[type]]="LFF (MDG-F)",MID(Proc[[#This Row],[Obj]],13,10),"")</f>
        <v>ZA50GIT10D</v>
      </c>
      <c r="J950" s="69" t="b">
        <f ca="1">Proc[[#This Row],[Requested]]=Proc[[#This Row],[CurrentParent]]</f>
        <v>1</v>
      </c>
      <c r="K950" s="69" t="str">
        <f ca="1"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38" t="str">
        <f ca="1"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 ca="1">IF(Proc[[#This Row],[type]]="LFF (MDG-F)",MID(Proc[[#This Row],[Obj]],13,10),"")</f>
        <v>ZA50GHR014</v>
      </c>
      <c r="J951" s="69" t="b">
        <f ca="1">Proc[[#This Row],[Requested]]=Proc[[#This Row],[CurrentParent]]</f>
        <v>1</v>
      </c>
      <c r="K951" s="69" t="str">
        <f ca="1"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38" t="str">
        <f ca="1"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 ca="1">IF(Proc[[#This Row],[type]]="LFF (MDG-F)",MID(Proc[[#This Row],[Obj]],13,10),"")</f>
        <v>KE50GM2100</v>
      </c>
      <c r="J952" s="69" t="b">
        <f ca="1">Proc[[#This Row],[Requested]]=Proc[[#This Row],[CurrentParent]]</f>
        <v>1</v>
      </c>
      <c r="K952" s="69" t="str">
        <f ca="1"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38" t="str">
        <f ca="1"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 ca="1">IF(Proc[[#This Row],[type]]="LFF (MDG-F)",MID(Proc[[#This Row],[Obj]],13,10),"")</f>
        <v>CZ50GM2100</v>
      </c>
      <c r="J953" s="69" t="b">
        <f ca="1">Proc[[#This Row],[Requested]]=Proc[[#This Row],[CurrentParent]]</f>
        <v>1</v>
      </c>
      <c r="K953" s="69" t="str">
        <f ca="1"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38" t="str">
        <f ca="1"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 ca="1">IF(Proc[[#This Row],[type]]="LFF (MDG-F)",MID(Proc[[#This Row],[Obj]],13,10),"")</f>
        <v>CZ50GM2101</v>
      </c>
      <c r="J954" s="69" t="b">
        <f ca="1">Proc[[#This Row],[Requested]]=Proc[[#This Row],[CurrentParent]]</f>
        <v>1</v>
      </c>
      <c r="K954" s="69" t="str">
        <f ca="1"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38" t="str">
        <f ca="1"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 ca="1">IF(Proc[[#This Row],[type]]="LFF (MDG-F)",MID(Proc[[#This Row],[Obj]],13,10),"")</f>
        <v/>
      </c>
      <c r="J955" s="69" t="b">
        <f ca="1">Proc[[#This Row],[Requested]]=Proc[[#This Row],[CurrentParent]]</f>
        <v>1</v>
      </c>
      <c r="K955" s="69" t="str">
        <f ca="1"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38" t="str">
        <f ca="1"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 ca="1">IF(Proc[[#This Row],[type]]="LFF (MDG-F)",MID(Proc[[#This Row],[Obj]],13,10),"")</f>
        <v/>
      </c>
      <c r="J956" s="69" t="b">
        <f ca="1">Proc[[#This Row],[Requested]]=Proc[[#This Row],[CurrentParent]]</f>
        <v>1</v>
      </c>
      <c r="K956" s="69" t="str">
        <f ca="1"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38" t="str">
        <f ca="1"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 ca="1">IF(Proc[[#This Row],[type]]="LFF (MDG-F)",MID(Proc[[#This Row],[Obj]],13,10),"")</f>
        <v/>
      </c>
      <c r="J957" s="69" t="b">
        <f ca="1">Proc[[#This Row],[Requested]]=Proc[[#This Row],[CurrentParent]]</f>
        <v>1</v>
      </c>
      <c r="K957" s="69" t="str">
        <f ca="1"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38" t="str">
        <f ca="1"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 ca="1">IF(Proc[[#This Row],[type]]="LFF (MDG-F)",MID(Proc[[#This Row],[Obj]],13,10),"")</f>
        <v/>
      </c>
      <c r="J958" s="69" t="b">
        <f ca="1">Proc[[#This Row],[Requested]]=Proc[[#This Row],[CurrentParent]]</f>
        <v>1</v>
      </c>
      <c r="K958" s="69" t="str">
        <f ca="1"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38" t="str">
        <f ca="1"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 ca="1">IF(Proc[[#This Row],[type]]="LFF (MDG-F)",MID(Proc[[#This Row],[Obj]],13,10),"")</f>
        <v/>
      </c>
      <c r="J959" s="69" t="b">
        <f ca="1">Proc[[#This Row],[Requested]]=Proc[[#This Row],[CurrentParent]]</f>
        <v>1</v>
      </c>
      <c r="K959" s="69" t="str">
        <f ca="1"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38" t="str">
        <f ca="1"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 ca="1">IF(Proc[[#This Row],[type]]="LFF (MDG-F)",MID(Proc[[#This Row],[Obj]],13,10),"")</f>
        <v/>
      </c>
      <c r="J960" s="69" t="b">
        <f ca="1">Proc[[#This Row],[Requested]]=Proc[[#This Row],[CurrentParent]]</f>
        <v>1</v>
      </c>
      <c r="K960" s="69" t="str">
        <f ca="1"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38" t="str">
        <f ca="1"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 ca="1">IF(Proc[[#This Row],[type]]="LFF (MDG-F)",MID(Proc[[#This Row],[Obj]],13,10),"")</f>
        <v/>
      </c>
      <c r="J961" s="69" t="b">
        <f ca="1">Proc[[#This Row],[Requested]]=Proc[[#This Row],[CurrentParent]]</f>
        <v>1</v>
      </c>
      <c r="K961" s="69" t="str">
        <f ca="1"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38" t="str">
        <f ca="1"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 ca="1">IF(Proc[[#This Row],[type]]="LFF (MDG-F)",MID(Proc[[#This Row],[Obj]],13,10),"")</f>
        <v/>
      </c>
      <c r="J962" s="69" t="b">
        <f ca="1">Proc[[#This Row],[Requested]]=Proc[[#This Row],[CurrentParent]]</f>
        <v>1</v>
      </c>
      <c r="K962" s="69" t="str">
        <f ca="1"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38" t="str">
        <f ca="1"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 ca="1">IF(Proc[[#This Row],[type]]="LFF (MDG-F)",MID(Proc[[#This Row],[Obj]],13,10),"")</f>
        <v/>
      </c>
      <c r="J963" s="69" t="b">
        <f ca="1">Proc[[#This Row],[Requested]]=Proc[[#This Row],[CurrentParent]]</f>
        <v>1</v>
      </c>
      <c r="K963" s="69" t="str">
        <f ca="1"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38" t="str">
        <f ca="1"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 ca="1">IF(Proc[[#This Row],[type]]="LFF (MDG-F)",MID(Proc[[#This Row],[Obj]],13,10),"")</f>
        <v/>
      </c>
      <c r="J964" s="69" t="b">
        <f ca="1">Proc[[#This Row],[Requested]]=Proc[[#This Row],[CurrentParent]]</f>
        <v>1</v>
      </c>
      <c r="K964" s="69" t="str">
        <f ca="1"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38" t="str">
        <f ca="1"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 ca="1">IF(Proc[[#This Row],[type]]="LFF (MDG-F)",MID(Proc[[#This Row],[Obj]],13,10),"")</f>
        <v>GB10GM4002</v>
      </c>
      <c r="J965" s="69" t="b">
        <f ca="1">Proc[[#This Row],[Requested]]=Proc[[#This Row],[CurrentParent]]</f>
        <v>1</v>
      </c>
      <c r="K965" s="69" t="str">
        <f ca="1"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38" t="str">
        <f ca="1"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 ca="1">IF(Proc[[#This Row],[type]]="LFF (MDG-F)",MID(Proc[[#This Row],[Obj]],13,10),"")</f>
        <v>US10GM4058</v>
      </c>
      <c r="I966" t="s">
        <v>2574</v>
      </c>
      <c r="J966" s="69" t="b">
        <f ca="1">Proc[[#This Row],[Requested]]=Proc[[#This Row],[CurrentParent]]</f>
        <v>1</v>
      </c>
      <c r="K966" s="69" t="str">
        <f ca="1"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38" t="str">
        <f ca="1"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 ca="1">IF(Proc[[#This Row],[type]]="LFF (MDG-F)",MID(Proc[[#This Row],[Obj]],13,10),"")</f>
        <v>CN95GM4000</v>
      </c>
      <c r="J967" s="69" t="b">
        <f ca="1">Proc[[#This Row],[Requested]]=Proc[[#This Row],[CurrentParent]]</f>
        <v>1</v>
      </c>
      <c r="K967" s="69" t="str">
        <f ca="1"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38" t="str">
        <f ca="1"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 ca="1">IF(Proc[[#This Row],[type]]="LFF (MDG-F)",MID(Proc[[#This Row],[Obj]],13,10),"")</f>
        <v>CN96GM4002</v>
      </c>
      <c r="J968" s="69" t="b">
        <f ca="1">Proc[[#This Row],[Requested]]=Proc[[#This Row],[CurrentParent]]</f>
        <v>1</v>
      </c>
      <c r="K968" s="69" t="str">
        <f ca="1"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38" t="str">
        <f ca="1"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 ca="1">IF(Proc[[#This Row],[type]]="LFF (MDG-F)",MID(Proc[[#This Row],[Obj]],13,10),"")</f>
        <v/>
      </c>
      <c r="J969" s="69" t="b">
        <f ca="1">Proc[[#This Row],[Requested]]=Proc[[#This Row],[CurrentParent]]</f>
        <v>1</v>
      </c>
      <c r="K969" s="69" t="str">
        <f ca="1"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38" t="str">
        <f ca="1"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 ca="1">IF(Proc[[#This Row],[type]]="LFF (MDG-F)",MID(Proc[[#This Row],[Obj]],13,10),"")</f>
        <v>CH50GM4010</v>
      </c>
      <c r="J970" s="69" t="b">
        <f ca="1">Proc[[#This Row],[Requested]]=Proc[[#This Row],[CurrentParent]]</f>
        <v>1</v>
      </c>
      <c r="K970" s="69" t="str">
        <f ca="1"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38" t="str">
        <f ca="1"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 ca="1">IF(Proc[[#This Row],[type]]="LFF (MDG-F)",MID(Proc[[#This Row],[Obj]],13,10),"")</f>
        <v/>
      </c>
      <c r="J971" s="69" t="b">
        <f ca="1">Proc[[#This Row],[Requested]]=Proc[[#This Row],[CurrentParent]]</f>
        <v>1</v>
      </c>
      <c r="K971" s="69" t="str">
        <f ca="1"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38" t="str">
        <f ca="1"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 ca="1">IF(Proc[[#This Row],[type]]="LFF (MDG-F)",MID(Proc[[#This Row],[Obj]],13,10),"")</f>
        <v/>
      </c>
      <c r="J972" s="69" t="b">
        <f ca="1">Proc[[#This Row],[Requested]]=Proc[[#This Row],[CurrentParent]]</f>
        <v>1</v>
      </c>
      <c r="K972" s="69" t="str">
        <f ca="1"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38" t="str">
        <f ca="1"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 ca="1">IF(Proc[[#This Row],[type]]="LFF (MDG-F)",MID(Proc[[#This Row],[Obj]],13,10),"")</f>
        <v>CH75GM8300</v>
      </c>
      <c r="J973" s="69" t="b">
        <f ca="1">Proc[[#This Row],[Requested]]=Proc[[#This Row],[CurrentParent]]</f>
        <v>1</v>
      </c>
      <c r="K973" s="69" t="str">
        <f ca="1"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38" t="str">
        <f ca="1"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 ca="1">IF(Proc[[#This Row],[type]]="LFF (MDG-F)",MID(Proc[[#This Row],[Obj]],13,10),"")</f>
        <v>ES50GPO794</v>
      </c>
      <c r="J974" s="69" t="b">
        <f ca="1">Proc[[#This Row],[Requested]]=Proc[[#This Row],[CurrentParent]]</f>
        <v>1</v>
      </c>
      <c r="K974" s="69" t="str">
        <f ca="1"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38" t="str">
        <f ca="1"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 ca="1">IF(Proc[[#This Row],[type]]="LFF (MDG-F)",MID(Proc[[#This Row],[Obj]],13,10),"")</f>
        <v/>
      </c>
      <c r="J975" s="69" t="b">
        <f ca="1">Proc[[#This Row],[Requested]]=Proc[[#This Row],[CurrentParent]]</f>
        <v>1</v>
      </c>
      <c r="K975" s="69" t="str">
        <f ca="1"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38" t="str">
        <f ca="1"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 ca="1">IF(Proc[[#This Row],[type]]="LFF (MDG-F)",MID(Proc[[#This Row],[Obj]],13,10),"")</f>
        <v/>
      </c>
      <c r="J976" s="69" t="b">
        <f ca="1">Proc[[#This Row],[Requested]]=Proc[[#This Row],[CurrentParent]]</f>
        <v>1</v>
      </c>
      <c r="K976" s="69" t="str">
        <f ca="1"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38" t="str">
        <f ca="1"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 ca="1">IF(Proc[[#This Row],[type]]="LFF (MDG-F)",MID(Proc[[#This Row],[Obj]],13,10),"")</f>
        <v>CH50GIT032</v>
      </c>
      <c r="I977" s="72" t="s">
        <v>2574</v>
      </c>
      <c r="J977" s="69" t="b">
        <f ca="1">Proc[[#This Row],[Requested]]=Proc[[#This Row],[CurrentParent]]</f>
        <v>1</v>
      </c>
      <c r="K977" s="69" t="str">
        <f ca="1"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38" t="str">
        <f ca="1"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 ca="1">IF(Proc[[#This Row],[type]]="LFF (MDG-F)",MID(Proc[[#This Row],[Obj]],13,10),"")</f>
        <v/>
      </c>
      <c r="I978" s="72"/>
      <c r="J978" s="69" t="b">
        <f ca="1">Proc[[#This Row],[Requested]]=Proc[[#This Row],[CurrentParent]]</f>
        <v>1</v>
      </c>
      <c r="K978" s="69" t="str">
        <f ca="1"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38" t="str">
        <f ca="1"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 ca="1">IF(Proc[[#This Row],[type]]="LFF (MDG-F)",MID(Proc[[#This Row],[Obj]],13,10),"")</f>
        <v/>
      </c>
      <c r="I979" s="72"/>
      <c r="J979" s="69" t="b">
        <f ca="1">Proc[[#This Row],[Requested]]=Proc[[#This Row],[CurrentParent]]</f>
        <v>1</v>
      </c>
      <c r="K979" s="69" t="str">
        <f ca="1"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38" t="str">
        <f ca="1"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 ca="1">IF(Proc[[#This Row],[type]]="LFF (MDG-F)",MID(Proc[[#This Row],[Obj]],13,10),"")</f>
        <v>IT50C02000</v>
      </c>
      <c r="I980" s="72" t="s">
        <v>2574</v>
      </c>
      <c r="J980" s="69" t="b">
        <f ca="1">Proc[[#This Row],[Requested]]=Proc[[#This Row],[CurrentParent]]</f>
        <v>1</v>
      </c>
      <c r="K980" s="69" t="str">
        <f ca="1"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38" t="str">
        <f ca="1"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 ca="1">IF(Proc[[#This Row],[type]]="LFF (MDG-F)",MID(Proc[[#This Row],[Obj]],13,10),"")</f>
        <v>IT50C02004</v>
      </c>
      <c r="I981" s="72" t="s">
        <v>2574</v>
      </c>
      <c r="J981" s="69" t="b">
        <f ca="1">Proc[[#This Row],[Requested]]=Proc[[#This Row],[CurrentParent]]</f>
        <v>1</v>
      </c>
      <c r="K981" s="69" t="str">
        <f ca="1"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38" t="str">
        <f ca="1"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 ca="1">IF(Proc[[#This Row],[type]]="LFF (MDG-F)",MID(Proc[[#This Row],[Obj]],13,10),"")</f>
        <v>IT50C03005</v>
      </c>
      <c r="I982" s="72" t="s">
        <v>2574</v>
      </c>
      <c r="J982" s="69" t="b">
        <f ca="1">Proc[[#This Row],[Requested]]=Proc[[#This Row],[CurrentParent]]</f>
        <v>1</v>
      </c>
      <c r="K982" s="69" t="str">
        <f ca="1"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38" t="str">
        <f ca="1"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 ca="1">IF(Proc[[#This Row],[type]]="LFF (MDG-F)",MID(Proc[[#This Row],[Obj]],13,10),"")</f>
        <v>IT50C03004</v>
      </c>
      <c r="I983" s="72" t="s">
        <v>2574</v>
      </c>
      <c r="J983" s="69" t="b">
        <f ca="1">Proc[[#This Row],[Requested]]=Proc[[#This Row],[CurrentParent]]</f>
        <v>1</v>
      </c>
      <c r="K983" s="69" t="str">
        <f ca="1"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38" t="str">
        <f ca="1"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 ca="1">IF(Proc[[#This Row],[type]]="LFF (MDG-F)",MID(Proc[[#This Row],[Obj]],13,10),"")</f>
        <v>IT50C02009</v>
      </c>
      <c r="I984" s="72" t="s">
        <v>2574</v>
      </c>
      <c r="J984" s="69" t="b">
        <f ca="1">Proc[[#This Row],[Requested]]=Proc[[#This Row],[CurrentParent]]</f>
        <v>1</v>
      </c>
      <c r="K984" s="69" t="str">
        <f ca="1"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38" t="str">
        <f ca="1"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 ca="1">IF(Proc[[#This Row],[type]]="LFF (MDG-F)",MID(Proc[[#This Row],[Obj]],13,10),"")</f>
        <v>IT50C02010</v>
      </c>
      <c r="I985" s="72" t="s">
        <v>2574</v>
      </c>
      <c r="J985" s="69" t="b">
        <f ca="1">Proc[[#This Row],[Requested]]=Proc[[#This Row],[CurrentParent]]</f>
        <v>1</v>
      </c>
      <c r="K985" s="69" t="str">
        <f ca="1"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38" t="str">
        <f ca="1"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 ca="1">IF(Proc[[#This Row],[type]]="LFF (MDG-F)",MID(Proc[[#This Row],[Obj]],13,10),"")</f>
        <v>IT50C03007</v>
      </c>
      <c r="I986" t="s">
        <v>2574</v>
      </c>
      <c r="J986" s="69" t="b">
        <f ca="1">Proc[[#This Row],[Requested]]=Proc[[#This Row],[CurrentParent]]</f>
        <v>1</v>
      </c>
      <c r="K986" s="69" t="str">
        <f ca="1"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38" t="str">
        <f ca="1"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 ca="1">IF(Proc[[#This Row],[type]]="LFF (MDG-F)",MID(Proc[[#This Row],[Obj]],13,10),"")</f>
        <v>IT50C02011</v>
      </c>
      <c r="I987" t="s">
        <v>2574</v>
      </c>
      <c r="J987" s="69" t="b">
        <f ca="1">Proc[[#This Row],[Requested]]=Proc[[#This Row],[CurrentParent]]</f>
        <v>1</v>
      </c>
      <c r="K987" s="69" t="str">
        <f ca="1"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38" t="str">
        <f ca="1"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 ca="1">IF(Proc[[#This Row],[type]]="LFF (MDG-F)",MID(Proc[[#This Row],[Obj]],13,10),"")</f>
        <v/>
      </c>
      <c r="J988" s="69" t="b">
        <f ca="1">Proc[[#This Row],[Requested]]=Proc[[#This Row],[CurrentParent]]</f>
        <v>1</v>
      </c>
      <c r="K988" s="69" t="str">
        <f ca="1"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38" t="str">
        <f ca="1"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 ca="1">IF(Proc[[#This Row],[type]]="LFF (MDG-F)",MID(Proc[[#This Row],[Obj]],13,10),"")</f>
        <v/>
      </c>
      <c r="J989" s="69" t="b">
        <f ca="1">Proc[[#This Row],[Requested]]=Proc[[#This Row],[CurrentParent]]</f>
        <v>1</v>
      </c>
      <c r="K989" s="69" t="str">
        <f ca="1"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38" t="str">
        <f ca="1"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 ca="1">IF(Proc[[#This Row],[type]]="LFF (MDG-F)",MID(Proc[[#This Row],[Obj]],13,10),"")</f>
        <v/>
      </c>
      <c r="J990" s="69" t="b">
        <f ca="1">Proc[[#This Row],[Requested]]=Proc[[#This Row],[CurrentParent]]</f>
        <v>1</v>
      </c>
      <c r="K990" s="69" t="str">
        <f ca="1"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38" t="str">
        <f ca="1"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 ca="1">IF(Proc[[#This Row],[type]]="LFF (MDG-F)",MID(Proc[[#This Row],[Obj]],13,10),"")</f>
        <v/>
      </c>
      <c r="J991" s="69" t="b">
        <f ca="1">Proc[[#This Row],[Requested]]=Proc[[#This Row],[CurrentParent]]</f>
        <v>1</v>
      </c>
      <c r="K991" s="69" t="str">
        <f ca="1"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38" t="str">
        <f ca="1"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 ca="1">IF(Proc[[#This Row],[type]]="LFF (MDG-F)",MID(Proc[[#This Row],[Obj]],13,10),"")</f>
        <v>1937TNCZ90</v>
      </c>
      <c r="J992" s="69" t="b">
        <f ca="1">Proc[[#This Row],[Requested]]=Proc[[#This Row],[CurrentParent]]</f>
        <v>1</v>
      </c>
      <c r="K992" s="69" t="str">
        <f ca="1"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38" t="str">
        <f ca="1"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 ca="1">IF(Proc[[#This Row],[type]]="LFF (MDG-F)",MID(Proc[[#This Row],[Obj]],13,10),"")</f>
        <v/>
      </c>
      <c r="J993" s="69" t="b">
        <f ca="1">Proc[[#This Row],[Requested]]=Proc[[#This Row],[CurrentParent]]</f>
        <v>1</v>
      </c>
      <c r="K993" s="69" t="str">
        <f ca="1"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38" t="str">
        <f ca="1"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 ca="1">IF(Proc[[#This Row],[type]]="LFF (MDG-F)",MID(Proc[[#This Row],[Obj]],13,10),"")</f>
        <v/>
      </c>
      <c r="J994" s="69" t="b">
        <f ca="1">Proc[[#This Row],[Requested]]=Proc[[#This Row],[CurrentParent]]</f>
        <v>1</v>
      </c>
      <c r="K994" s="69" t="str">
        <f ca="1"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38" t="str">
        <f ca="1"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 ca="1">IF(Proc[[#This Row],[type]]="LFF (MDG-F)",MID(Proc[[#This Row],[Obj]],13,10),"")</f>
        <v/>
      </c>
      <c r="J995" s="69" t="b">
        <f ca="1">Proc[[#This Row],[Requested]]=Proc[[#This Row],[CurrentParent]]</f>
        <v>1</v>
      </c>
      <c r="K995" s="69" t="str">
        <f ca="1"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38" t="str">
        <f ca="1"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 ca="1">IF(Proc[[#This Row],[type]]="LFF (MDG-F)",MID(Proc[[#This Row],[Obj]],13,10),"")</f>
        <v/>
      </c>
      <c r="J996" s="69" t="b">
        <f ca="1">Proc[[#This Row],[Requested]]=Proc[[#This Row],[CurrentParent]]</f>
        <v>1</v>
      </c>
      <c r="K996" s="69" t="str">
        <f ca="1"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38" t="str">
        <f ca="1"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 ca="1">IF(Proc[[#This Row],[type]]="LFF (MDG-F)",MID(Proc[[#This Row],[Obj]],13,10),"")</f>
        <v/>
      </c>
      <c r="J997" s="69" t="b">
        <f ca="1">Proc[[#This Row],[Requested]]=Proc[[#This Row],[CurrentParent]]</f>
        <v>1</v>
      </c>
      <c r="K997" s="69" t="str">
        <f ca="1"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38" t="str">
        <f ca="1"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 ca="1">IF(Proc[[#This Row],[type]]="LFF (MDG-F)",MID(Proc[[#This Row],[Obj]],13,10),"")</f>
        <v/>
      </c>
      <c r="J998" s="69" t="b">
        <f ca="1">Proc[[#This Row],[Requested]]=Proc[[#This Row],[CurrentParent]]</f>
        <v>1</v>
      </c>
      <c r="K998" s="69" t="str">
        <f ca="1"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38" t="str">
        <f ca="1"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 ca="1">IF(Proc[[#This Row],[type]]="LFF (MDG-F)",MID(Proc[[#This Row],[Obj]],13,10),"")</f>
        <v/>
      </c>
      <c r="J999" s="69" t="b">
        <f ca="1">Proc[[#This Row],[Requested]]=Proc[[#This Row],[CurrentParent]]</f>
        <v>1</v>
      </c>
      <c r="K999" s="69" t="str">
        <f ca="1"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38" t="str">
        <f ca="1"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 ca="1">IF(Proc[[#This Row],[type]]="LFF (MDG-F)",MID(Proc[[#This Row],[Obj]],13,10),"")</f>
        <v/>
      </c>
      <c r="J1000" s="69" t="b">
        <f ca="1">Proc[[#This Row],[Requested]]=Proc[[#This Row],[CurrentParent]]</f>
        <v>1</v>
      </c>
      <c r="K1000" s="69" t="str">
        <f ca="1"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38" t="str">
        <f ca="1"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 ca="1">IF(Proc[[#This Row],[type]]="LFF (MDG-F)",MID(Proc[[#This Row],[Obj]],13,10),"")</f>
        <v/>
      </c>
      <c r="J1001" s="69" t="b">
        <f ca="1">Proc[[#This Row],[Requested]]=Proc[[#This Row],[CurrentParent]]</f>
        <v>1</v>
      </c>
      <c r="K1001" s="69" t="str">
        <f ca="1"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38" t="str">
        <f ca="1"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 ca="1">IF(Proc[[#This Row],[type]]="LFF (MDG-F)",MID(Proc[[#This Row],[Obj]],13,10),"")</f>
        <v>DE10600470</v>
      </c>
      <c r="I1002" t="s">
        <v>2617</v>
      </c>
      <c r="J1002" s="69" t="b">
        <f ca="1">Proc[[#This Row],[Requested]]=Proc[[#This Row],[CurrentParent]]</f>
        <v>1</v>
      </c>
      <c r="K1002" s="69" t="str">
        <f ca="1"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38" t="str">
        <f ca="1"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 ca="1">IF(Proc[[#This Row],[type]]="LFF (MDG-F)",MID(Proc[[#This Row],[Obj]],13,10),"")</f>
        <v>DE10GIT705</v>
      </c>
      <c r="I1003" t="s">
        <v>2617</v>
      </c>
      <c r="J1003" s="69" t="b">
        <f ca="1">Proc[[#This Row],[Requested]]=Proc[[#This Row],[CurrentParent]]</f>
        <v>1</v>
      </c>
      <c r="K1003" s="69" t="str">
        <f ca="1"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38" t="str">
        <f ca="1"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 ca="1">IF(Proc[[#This Row],[type]]="LFF (MDG-F)",MID(Proc[[#This Row],[Obj]],13,10),"")</f>
        <v/>
      </c>
      <c r="I1004" s="72"/>
      <c r="J1004" s="69" t="b">
        <f ca="1">Proc[[#This Row],[Requested]]=Proc[[#This Row],[CurrentParent]]</f>
        <v>1</v>
      </c>
      <c r="K1004" s="69" t="str">
        <f ca="1"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38" t="str">
        <f ca="1"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 ca="1">IF(Proc[[#This Row],[type]]="LFF (MDG-F)",MID(Proc[[#This Row],[Obj]],13,10),"")</f>
        <v>2123GIT261</v>
      </c>
      <c r="I1005" t="s">
        <v>2617</v>
      </c>
      <c r="J1005" s="69" t="b">
        <f ca="1">Proc[[#This Row],[Requested]]=Proc[[#This Row],[CurrentParent]]</f>
        <v>1</v>
      </c>
      <c r="K1005" s="69" t="str">
        <f ca="1"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38" t="str">
        <f ca="1"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 ca="1">IF(Proc[[#This Row],[type]]="LFF (MDG-F)",MID(Proc[[#This Row],[Obj]],13,10),"")</f>
        <v/>
      </c>
      <c r="I1006" s="72"/>
      <c r="J1006" s="69" t="b">
        <f ca="1">Proc[[#This Row],[Requested]]=Proc[[#This Row],[CurrentParent]]</f>
        <v>1</v>
      </c>
      <c r="K1006" s="69" t="str">
        <f ca="1"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38" t="str">
        <f ca="1"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 ca="1">IF(Proc[[#This Row],[type]]="LFF (MDG-F)",MID(Proc[[#This Row],[Obj]],13,10),"")</f>
        <v/>
      </c>
      <c r="J1007" s="69" t="b">
        <f ca="1">Proc[[#This Row],[Requested]]=Proc[[#This Row],[CurrentParent]]</f>
        <v>1</v>
      </c>
      <c r="K1007" s="69" t="str">
        <f ca="1"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38" t="str">
        <f ca="1"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 ca="1">IF(Proc[[#This Row],[type]]="LFF (MDG-F)",MID(Proc[[#This Row],[Obj]],13,10),"")</f>
        <v/>
      </c>
      <c r="J1008" s="69" t="b">
        <f ca="1">Proc[[#This Row],[Requested]]=Proc[[#This Row],[CurrentParent]]</f>
        <v>1</v>
      </c>
      <c r="K1008" s="69" t="str">
        <f ca="1"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111</v>
      </c>
      <c r="R1008" s="74" t="s">
        <v>972</v>
      </c>
      <c r="S1008" s="69"/>
    </row>
    <row r="1009" spans="1:19" hidden="1">
      <c r="A1009" s="72" t="s">
        <v>2626</v>
      </c>
      <c r="B1009" s="138" t="str">
        <f ca="1"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 ca="1">IF(Proc[[#This Row],[type]]="LFF (MDG-F)",MID(Proc[[#This Row],[Obj]],13,10),"")</f>
        <v/>
      </c>
      <c r="I1009" s="72"/>
      <c r="J1009" s="69" t="b">
        <f ca="1">Proc[[#This Row],[Requested]]=Proc[[#This Row],[CurrentParent]]</f>
        <v>1</v>
      </c>
      <c r="K1009" s="69" t="str">
        <f ca="1"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111</v>
      </c>
      <c r="R1009" s="74" t="s">
        <v>972</v>
      </c>
      <c r="S1009" s="69"/>
    </row>
    <row r="1010" spans="1:19" hidden="1">
      <c r="A1010" t="s">
        <v>2622</v>
      </c>
      <c r="B1010" s="138" t="str">
        <f ca="1"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 ca="1">IF(Proc[[#This Row],[type]]="LFF (MDG-F)",MID(Proc[[#This Row],[Obj]],13,10),"")</f>
        <v/>
      </c>
      <c r="I1010" t="s">
        <v>2684</v>
      </c>
      <c r="J1010" s="69" t="b">
        <f ca="1">Proc[[#This Row],[Requested]]=Proc[[#This Row],[CurrentParent]]</f>
        <v>1</v>
      </c>
      <c r="K1010" s="69" t="str">
        <f ca="1"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38" t="str">
        <f ca="1"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 ca="1">IF(Proc[[#This Row],[type]]="LFF (MDG-F)",MID(Proc[[#This Row],[Obj]],13,10),"")</f>
        <v/>
      </c>
      <c r="J1011" s="69" t="b">
        <f ca="1">Proc[[#This Row],[Requested]]=Proc[[#This Row],[CurrentParent]]</f>
        <v>1</v>
      </c>
      <c r="K1011" s="69" t="str">
        <f ca="1"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38" t="str">
        <f ca="1"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 ca="1">IF(Proc[[#This Row],[type]]="LFF (MDG-F)",MID(Proc[[#This Row],[Obj]],13,10),"")</f>
        <v>DE10566400</v>
      </c>
      <c r="I1012" t="s">
        <v>2629</v>
      </c>
      <c r="J1012" s="69" t="b">
        <f ca="1">Proc[[#This Row],[Requested]]=Proc[[#This Row],[CurrentParent]]</f>
        <v>1</v>
      </c>
      <c r="K1012" s="69" t="str">
        <f ca="1"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38" t="str">
        <f ca="1"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 ca="1">IF(Proc[[#This Row],[type]]="LFF (MDG-F)",MID(Proc[[#This Row],[Obj]],13,10),"")</f>
        <v>DE10566910</v>
      </c>
      <c r="I1013" t="s">
        <v>2629</v>
      </c>
      <c r="J1013" s="69" t="b">
        <f ca="1">Proc[[#This Row],[Requested]]=Proc[[#This Row],[CurrentParent]]</f>
        <v>1</v>
      </c>
      <c r="K1013" s="69" t="str">
        <f ca="1"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38" t="str">
        <f ca="1"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 ca="1">IF(Proc[[#This Row],[type]]="LFF (MDG-F)",MID(Proc[[#This Row],[Obj]],13,10),"")</f>
        <v/>
      </c>
      <c r="J1014" s="69" t="b">
        <f ca="1">Proc[[#This Row],[Requested]]=Proc[[#This Row],[CurrentParent]]</f>
        <v>1</v>
      </c>
      <c r="K1014" s="69" t="str">
        <f ca="1"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38" t="str">
        <f ca="1"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 ca="1">IF(Proc[[#This Row],[type]]="LFF (MDG-F)",MID(Proc[[#This Row],[Obj]],13,10),"")</f>
        <v/>
      </c>
      <c r="I1015" t="s">
        <v>2685</v>
      </c>
      <c r="J1015" s="69" t="b">
        <f ca="1">Proc[[#This Row],[Requested]]=Proc[[#This Row],[CurrentParent]]</f>
        <v>1</v>
      </c>
      <c r="K1015" s="69" t="str">
        <f ca="1"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 ca="1">VLOOKUP(Proc[[#This Row],[Obj]],#REF!,2,0)</f>
        <v>#REF!</v>
      </c>
    </row>
    <row r="1016" spans="1:19" hidden="1">
      <c r="A1016" s="72" t="s">
        <v>2673</v>
      </c>
      <c r="B1016" s="138" t="str">
        <f ca="1"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 ca="1">IF(Proc[[#This Row],[type]]="LFF (MDG-F)",MID(Proc[[#This Row],[Obj]],13,10),"")</f>
        <v/>
      </c>
      <c r="J1016" s="69" t="b">
        <f ca="1">Proc[[#This Row],[Requested]]=Proc[[#This Row],[CurrentParent]]</f>
        <v>1</v>
      </c>
      <c r="K1016" s="69" t="str">
        <f ca="1"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110</v>
      </c>
      <c r="R1016" s="74" t="s">
        <v>489</v>
      </c>
      <c r="S1016" s="69"/>
    </row>
    <row r="1017" spans="1:19" hidden="1">
      <c r="A1017" s="72" t="s">
        <v>2673</v>
      </c>
      <c r="B1017" s="138" t="str">
        <f ca="1"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 ca="1">IF(Proc[[#This Row],[type]]="LFF (MDG-F)",MID(Proc[[#This Row],[Obj]],13,10),"")</f>
        <v/>
      </c>
      <c r="J1017" s="69" t="b">
        <f ca="1">Proc[[#This Row],[Requested]]=Proc[[#This Row],[CurrentParent]]</f>
        <v>1</v>
      </c>
      <c r="K1017" s="69" t="str">
        <f ca="1"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110</v>
      </c>
      <c r="R1017" s="74" t="s">
        <v>489</v>
      </c>
      <c r="S1017" s="69"/>
    </row>
    <row r="1018" spans="1:19" hidden="1">
      <c r="A1018" s="72" t="s">
        <v>2673</v>
      </c>
      <c r="B1018" s="138" t="str">
        <f ca="1"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 ca="1">IF(Proc[[#This Row],[type]]="LFF (MDG-F)",MID(Proc[[#This Row],[Obj]],13,10),"")</f>
        <v/>
      </c>
      <c r="J1018" s="69" t="b">
        <f ca="1">Proc[[#This Row],[Requested]]=Proc[[#This Row],[CurrentParent]]</f>
        <v>1</v>
      </c>
      <c r="K1018" s="69" t="str">
        <f ca="1"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110</v>
      </c>
      <c r="R1018" s="74" t="s">
        <v>489</v>
      </c>
      <c r="S1018" s="69"/>
    </row>
    <row r="1019" spans="1:19" hidden="1">
      <c r="A1019" s="72" t="s">
        <v>2667</v>
      </c>
      <c r="B1019" s="138" t="str">
        <f ca="1"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 ca="1">IF(Proc[[#This Row],[type]]="LFF (MDG-F)",MID(Proc[[#This Row],[Obj]],13,10),"")</f>
        <v/>
      </c>
      <c r="J1019" s="69" t="b">
        <f ca="1">Proc[[#This Row],[Requested]]=Proc[[#This Row],[CurrentParent]]</f>
        <v>1</v>
      </c>
      <c r="K1019" s="69" t="str">
        <f ca="1"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38" t="str">
        <f ca="1"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 ca="1">IF(Proc[[#This Row],[type]]="LFF (MDG-F)",MID(Proc[[#This Row],[Obj]],13,10),"")</f>
        <v/>
      </c>
      <c r="J1020" s="69" t="b">
        <f ca="1">Proc[[#This Row],[Requested]]=Proc[[#This Row],[CurrentParent]]</f>
        <v>1</v>
      </c>
      <c r="K1020" s="69" t="str">
        <f ca="1"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38" t="str">
        <f ca="1"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 ca="1">IF(Proc[[#This Row],[type]]="LFF (MDG-F)",MID(Proc[[#This Row],[Obj]],13,10),"")</f>
        <v/>
      </c>
      <c r="J1021" s="69" t="b">
        <f ca="1">Proc[[#This Row],[Requested]]=Proc[[#This Row],[CurrentParent]]</f>
        <v>1</v>
      </c>
      <c r="K1021" s="69" t="str">
        <f ca="1"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38" t="str">
        <f ca="1"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 ca="1">IF(Proc[[#This Row],[type]]="LFF (MDG-F)",MID(Proc[[#This Row],[Obj]],13,10),"")</f>
        <v/>
      </c>
      <c r="J1022" s="69" t="b">
        <f ca="1">Proc[[#This Row],[Requested]]=Proc[[#This Row],[CurrentParent]]</f>
        <v>1</v>
      </c>
      <c r="K1022" s="69" t="str">
        <f ca="1"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38" t="str">
        <f ca="1"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 ca="1">IF(Proc[[#This Row],[type]]="LFF (MDG-F)",MID(Proc[[#This Row],[Obj]],13,10),"")</f>
        <v>1919O05003</v>
      </c>
      <c r="J1023" s="69" t="b">
        <f ca="1">Proc[[#This Row],[Requested]]=Proc[[#This Row],[CurrentParent]]</f>
        <v>1</v>
      </c>
      <c r="K1023" s="69" t="str">
        <f ca="1"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38" t="str">
        <f ca="1"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 ca="1">IF(Proc[[#This Row],[type]]="LFF (MDG-F)",MID(Proc[[#This Row],[Obj]],13,10),"")</f>
        <v/>
      </c>
      <c r="J1024" s="69" t="b">
        <f ca="1">Proc[[#This Row],[Requested]]=Proc[[#This Row],[CurrentParent]]</f>
        <v>1</v>
      </c>
      <c r="K1024" s="69" t="str">
        <f ca="1"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38" t="str">
        <f ca="1"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 ca="1">IF(Proc[[#This Row],[type]]="LFF (MDG-F)",MID(Proc[[#This Row],[Obj]],13,10),"")</f>
        <v/>
      </c>
      <c r="J1025" s="69" t="b">
        <f ca="1">Proc[[#This Row],[Requested]]=Proc[[#This Row],[CurrentParent]]</f>
        <v>1</v>
      </c>
      <c r="K1025" s="69" t="str">
        <f ca="1"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38" t="str">
        <f ca="1"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 ca="1">IF(Proc[[#This Row],[type]]="LFF (MDG-F)",MID(Proc[[#This Row],[Obj]],13,10),"")</f>
        <v/>
      </c>
      <c r="J1026" s="69" t="b">
        <f ca="1">Proc[[#This Row],[Requested]]=Proc[[#This Row],[CurrentParent]]</f>
        <v>1</v>
      </c>
      <c r="K1026" s="69" t="str">
        <f ca="1"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38" t="str">
        <f ca="1"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 ca="1">IF(Proc[[#This Row],[type]]="LFF (MDG-F)",MID(Proc[[#This Row],[Obj]],13,10),"")</f>
        <v/>
      </c>
      <c r="J1027" s="69" t="b">
        <f ca="1">Proc[[#This Row],[Requested]]=Proc[[#This Row],[CurrentParent]]</f>
        <v>1</v>
      </c>
      <c r="K1027" s="69" t="str">
        <f ca="1"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38" t="str">
        <f ca="1"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 ca="1">IF(Proc[[#This Row],[type]]="LFF (MDG-F)",MID(Proc[[#This Row],[Obj]],13,10),"")</f>
        <v/>
      </c>
      <c r="J1028" s="69" t="b">
        <f ca="1">Proc[[#This Row],[Requested]]=Proc[[#This Row],[CurrentParent]]</f>
        <v>1</v>
      </c>
      <c r="K1028" s="69" t="str">
        <f ca="1"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38" t="str">
        <f ca="1"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 ca="1">IF(Proc[[#This Row],[type]]="LFF (MDG-F)",MID(Proc[[#This Row],[Obj]],13,10),"")</f>
        <v/>
      </c>
      <c r="J1029" s="69" t="b">
        <f ca="1">Proc[[#This Row],[Requested]]=Proc[[#This Row],[CurrentParent]]</f>
        <v>1</v>
      </c>
      <c r="K1029" s="69" t="str">
        <f ca="1"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38" t="str">
        <f ca="1"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 ca="1">IF(Proc[[#This Row],[type]]="LFF (MDG-F)",MID(Proc[[#This Row],[Obj]],13,10),"")</f>
        <v/>
      </c>
      <c r="J1030" s="69" t="b">
        <f ca="1">Proc[[#This Row],[Requested]]=Proc[[#This Row],[CurrentParent]]</f>
        <v>1</v>
      </c>
      <c r="K1030" s="69" t="str">
        <f ca="1"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38" t="str">
        <f ca="1"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 ca="1">IF(Proc[[#This Row],[type]]="LFF (MDG-F)",MID(Proc[[#This Row],[Obj]],13,10),"")</f>
        <v/>
      </c>
      <c r="J1031" s="69" t="b">
        <f ca="1">Proc[[#This Row],[Requested]]=Proc[[#This Row],[CurrentParent]]</f>
        <v>1</v>
      </c>
      <c r="K1031" s="69" t="str">
        <f ca="1"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38" t="str">
        <f ca="1"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 ca="1">IF(Proc[[#This Row],[type]]="LFF (MDG-F)",MID(Proc[[#This Row],[Obj]],13,10),"")</f>
        <v/>
      </c>
      <c r="J1032" s="69" t="b">
        <f ca="1">Proc[[#This Row],[Requested]]=Proc[[#This Row],[CurrentParent]]</f>
        <v>1</v>
      </c>
      <c r="K1032" s="69" t="str">
        <f ca="1"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38" t="str">
        <f ca="1"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 ca="1">IF(Proc[[#This Row],[type]]="LFF (MDG-F)",MID(Proc[[#This Row],[Obj]],13,10),"")</f>
        <v/>
      </c>
      <c r="J1033" s="69" t="b">
        <f ca="1">Proc[[#This Row],[Requested]]=Proc[[#This Row],[CurrentParent]]</f>
        <v>1</v>
      </c>
      <c r="K1033" s="69" t="str">
        <f ca="1"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38" t="str">
        <f ca="1"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 ca="1">IF(Proc[[#This Row],[type]]="LFF (MDG-F)",MID(Proc[[#This Row],[Obj]],13,10),"")</f>
        <v/>
      </c>
      <c r="J1034" s="69" t="b">
        <f ca="1">Proc[[#This Row],[Requested]]=Proc[[#This Row],[CurrentParent]]</f>
        <v>1</v>
      </c>
      <c r="K1034" s="69" t="str">
        <f ca="1"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38" t="str">
        <f ca="1"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 ca="1">IF(Proc[[#This Row],[type]]="LFF (MDG-F)",MID(Proc[[#This Row],[Obj]],13,10),"")</f>
        <v/>
      </c>
      <c r="J1035" s="69" t="b">
        <f ca="1">Proc[[#This Row],[Requested]]=Proc[[#This Row],[CurrentParent]]</f>
        <v>1</v>
      </c>
      <c r="K1035" s="69" t="str">
        <f ca="1"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38" t="str">
        <f ca="1"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 ca="1">IF(Proc[[#This Row],[type]]="LFF (MDG-F)",MID(Proc[[#This Row],[Obj]],13,10),"")</f>
        <v/>
      </c>
      <c r="J1036" s="69" t="b">
        <f ca="1">Proc[[#This Row],[Requested]]=Proc[[#This Row],[CurrentParent]]</f>
        <v>1</v>
      </c>
      <c r="K1036" s="69" t="str">
        <f ca="1"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38" t="str">
        <f ca="1"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 ca="1">IF(Proc[[#This Row],[type]]="LFF (MDG-F)",MID(Proc[[#This Row],[Obj]],13,10),"")</f>
        <v/>
      </c>
      <c r="J1037" s="69" t="b">
        <f ca="1">Proc[[#This Row],[Requested]]=Proc[[#This Row],[CurrentParent]]</f>
        <v>1</v>
      </c>
      <c r="K1037" s="69" t="str">
        <f ca="1"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38" t="str">
        <f ca="1"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 ca="1">IF(Proc[[#This Row],[type]]="LFF (MDG-F)",MID(Proc[[#This Row],[Obj]],13,10),"")</f>
        <v/>
      </c>
      <c r="J1038" s="69" t="b">
        <f ca="1">Proc[[#This Row],[Requested]]=Proc[[#This Row],[CurrentParent]]</f>
        <v>1</v>
      </c>
      <c r="K1038" s="69" t="str">
        <f ca="1"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38" t="str">
        <f ca="1"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 ca="1">IF(Proc[[#This Row],[type]]="LFF (MDG-F)",MID(Proc[[#This Row],[Obj]],13,10),"")</f>
        <v/>
      </c>
      <c r="J1039" s="69" t="b">
        <f ca="1">Proc[[#This Row],[Requested]]=Proc[[#This Row],[CurrentParent]]</f>
        <v>1</v>
      </c>
      <c r="K1039" s="69" t="str">
        <f ca="1"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38" t="str">
        <f ca="1"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 ca="1">IF(Proc[[#This Row],[type]]="LFF (MDG-F)",MID(Proc[[#This Row],[Obj]],13,10),"")</f>
        <v/>
      </c>
      <c r="J1040" s="69" t="b">
        <f ca="1">Proc[[#This Row],[Requested]]=Proc[[#This Row],[CurrentParent]]</f>
        <v>1</v>
      </c>
      <c r="K1040" s="69" t="str">
        <f ca="1"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38" t="str">
        <f ca="1"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 ca="1">IF(Proc[[#This Row],[type]]="LFF (MDG-F)",MID(Proc[[#This Row],[Obj]],13,10),"")</f>
        <v/>
      </c>
      <c r="J1041" s="69" t="b">
        <f ca="1">Proc[[#This Row],[Requested]]=Proc[[#This Row],[CurrentParent]]</f>
        <v>1</v>
      </c>
      <c r="K1041" s="69" t="str">
        <f ca="1"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38" t="str">
        <f ca="1"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 ca="1">IF(Proc[[#This Row],[type]]="LFF (MDG-F)",MID(Proc[[#This Row],[Obj]],13,10),"")</f>
        <v/>
      </c>
      <c r="J1042" s="69" t="b">
        <f ca="1">Proc[[#This Row],[Requested]]=Proc[[#This Row],[CurrentParent]]</f>
        <v>1</v>
      </c>
      <c r="K1042" s="69" t="str">
        <f ca="1"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38" t="str">
        <f ca="1"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 ca="1">IF(Proc[[#This Row],[type]]="LFF (MDG-F)",MID(Proc[[#This Row],[Obj]],13,10),"")</f>
        <v/>
      </c>
      <c r="J1043" s="69" t="b">
        <f ca="1">Proc[[#This Row],[Requested]]=Proc[[#This Row],[CurrentParent]]</f>
        <v>1</v>
      </c>
      <c r="K1043" s="69" t="str">
        <f ca="1"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38" t="str">
        <f ca="1"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 ca="1">IF(Proc[[#This Row],[type]]="LFF (MDG-F)",MID(Proc[[#This Row],[Obj]],13,10),"")</f>
        <v/>
      </c>
      <c r="J1044" s="69" t="b">
        <f ca="1">Proc[[#This Row],[Requested]]=Proc[[#This Row],[CurrentParent]]</f>
        <v>1</v>
      </c>
      <c r="K1044" s="69" t="str">
        <f ca="1"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38" t="str">
        <f ca="1"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 ca="1">IF(Proc[[#This Row],[type]]="LFF (MDG-F)",MID(Proc[[#This Row],[Obj]],13,10),"")</f>
        <v/>
      </c>
      <c r="J1045" s="69" t="b">
        <f ca="1">Proc[[#This Row],[Requested]]=Proc[[#This Row],[CurrentParent]]</f>
        <v>1</v>
      </c>
      <c r="K1045" s="69" t="str">
        <f ca="1"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38" t="str">
        <f ca="1"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 ca="1">IF(Proc[[#This Row],[type]]="LFF (MDG-F)",MID(Proc[[#This Row],[Obj]],13,10),"")</f>
        <v/>
      </c>
      <c r="J1046" s="69" t="b">
        <f ca="1">Proc[[#This Row],[Requested]]=Proc[[#This Row],[CurrentParent]]</f>
        <v>1</v>
      </c>
      <c r="K1046" s="69" t="str">
        <f ca="1"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38" t="str">
        <f ca="1"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 ca="1">IF(Proc[[#This Row],[type]]="LFF (MDG-F)",MID(Proc[[#This Row],[Obj]],13,10),"")</f>
        <v/>
      </c>
      <c r="J1047" s="69" t="b">
        <f ca="1">Proc[[#This Row],[Requested]]=Proc[[#This Row],[CurrentParent]]</f>
        <v>1</v>
      </c>
      <c r="K1047" s="69" t="str">
        <f ca="1"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38" t="str">
        <f ca="1"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 ca="1">IF(Proc[[#This Row],[type]]="LFF (MDG-F)",MID(Proc[[#This Row],[Obj]],13,10),"")</f>
        <v/>
      </c>
      <c r="J1048" s="69" t="b">
        <f ca="1">Proc[[#This Row],[Requested]]=Proc[[#This Row],[CurrentParent]]</f>
        <v>1</v>
      </c>
      <c r="K1048" s="69" t="str">
        <f ca="1"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38" t="str">
        <f ca="1"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 ca="1">IF(Proc[[#This Row],[type]]="LFF (MDG-F)",MID(Proc[[#This Row],[Obj]],13,10),"")</f>
        <v/>
      </c>
      <c r="J1049" s="69" t="b">
        <f ca="1">Proc[[#This Row],[Requested]]=Proc[[#This Row],[CurrentParent]]</f>
        <v>1</v>
      </c>
      <c r="K1049" s="69" t="str">
        <f ca="1"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38" t="str">
        <f ca="1"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 ca="1">IF(Proc[[#This Row],[type]]="LFF (MDG-F)",MID(Proc[[#This Row],[Obj]],13,10),"")</f>
        <v/>
      </c>
      <c r="J1050" s="69" t="b">
        <f ca="1">Proc[[#This Row],[Requested]]=Proc[[#This Row],[CurrentParent]]</f>
        <v>1</v>
      </c>
      <c r="K1050" s="69" t="str">
        <f ca="1"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38" t="str">
        <f ca="1"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 ca="1">IF(Proc[[#This Row],[type]]="LFF (MDG-F)",MID(Proc[[#This Row],[Obj]],13,10),"")</f>
        <v/>
      </c>
      <c r="J1051" s="69" t="b">
        <f ca="1">Proc[[#This Row],[Requested]]=Proc[[#This Row],[CurrentParent]]</f>
        <v>1</v>
      </c>
      <c r="K1051" s="69" t="str">
        <f ca="1"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38" t="str">
        <f ca="1"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 ca="1">IF(Proc[[#This Row],[type]]="LFF (MDG-F)",MID(Proc[[#This Row],[Obj]],13,10),"")</f>
        <v/>
      </c>
      <c r="J1052" s="69" t="b">
        <f ca="1">Proc[[#This Row],[Requested]]=Proc[[#This Row],[CurrentParent]]</f>
        <v>1</v>
      </c>
      <c r="K1052" s="69" t="str">
        <f ca="1"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38" t="str">
        <f ca="1"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 ca="1">IF(Proc[[#This Row],[type]]="LFF (MDG-F)",MID(Proc[[#This Row],[Obj]],13,10),"")</f>
        <v>2029C01022</v>
      </c>
      <c r="I1053" t="s">
        <v>2672</v>
      </c>
      <c r="J1053" s="69" t="b">
        <f ca="1">Proc[[#This Row],[Requested]]=Proc[[#This Row],[CurrentParent]]</f>
        <v>1</v>
      </c>
      <c r="K1053" s="69" t="str">
        <f ca="1"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38" t="str">
        <f ca="1"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 ca="1">IF(Proc[[#This Row],[type]]="LFF (MDG-F)",MID(Proc[[#This Row],[Obj]],13,10),"")</f>
        <v/>
      </c>
      <c r="J1054" s="69" t="b">
        <f ca="1">Proc[[#This Row],[Requested]]=Proc[[#This Row],[CurrentParent]]</f>
        <v>1</v>
      </c>
      <c r="K1054" s="69" t="str">
        <f ca="1"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38" t="str">
        <f ca="1"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 ca="1">IF(Proc[[#This Row],[type]]="LFF (MDG-F)",MID(Proc[[#This Row],[Obj]],13,10),"")</f>
        <v/>
      </c>
      <c r="J1055" s="69" t="b">
        <f ca="1">Proc[[#This Row],[Requested]]=Proc[[#This Row],[CurrentParent]]</f>
        <v>1</v>
      </c>
      <c r="K1055" s="69" t="str">
        <f ca="1"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38" t="str">
        <f ca="1"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 ca="1">IF(Proc[[#This Row],[type]]="LFF (MDG-F)",MID(Proc[[#This Row],[Obj]],13,10),"")</f>
        <v/>
      </c>
      <c r="J1056" s="69" t="b">
        <f ca="1">Proc[[#This Row],[Requested]]=Proc[[#This Row],[CurrentParent]]</f>
        <v>1</v>
      </c>
      <c r="K1056" s="69" t="str">
        <f ca="1"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38" t="str">
        <f ca="1"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 ca="1">IF(Proc[[#This Row],[type]]="LFF (MDG-F)",MID(Proc[[#This Row],[Obj]],13,10),"")</f>
        <v>DE10N12380</v>
      </c>
      <c r="I1057" t="s">
        <v>2714</v>
      </c>
      <c r="J1057" s="69" t="b">
        <f ca="1">Proc[[#This Row],[Requested]]=Proc[[#This Row],[CurrentParent]]</f>
        <v>1</v>
      </c>
      <c r="K1057" s="69" t="str">
        <f ca="1"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38" t="str">
        <f ca="1"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 ca="1">IF(Proc[[#This Row],[type]]="LFF (MDG-F)",MID(Proc[[#This Row],[Obj]],13,10),"")</f>
        <v>DE10N12340</v>
      </c>
      <c r="I1058" s="72" t="s">
        <v>2714</v>
      </c>
      <c r="J1058" s="69" t="b">
        <f ca="1">Proc[[#This Row],[Requested]]=Proc[[#This Row],[CurrentParent]]</f>
        <v>1</v>
      </c>
      <c r="K1058" s="69" t="str">
        <f ca="1"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38" t="str">
        <f ca="1"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 ca="1">IF(Proc[[#This Row],[type]]="LFF (MDG-F)",MID(Proc[[#This Row],[Obj]],13,10),"")</f>
        <v>DE10N11170</v>
      </c>
      <c r="I1059" s="72" t="s">
        <v>2714</v>
      </c>
      <c r="J1059" s="69" t="b">
        <f ca="1">Proc[[#This Row],[Requested]]=Proc[[#This Row],[CurrentParent]]</f>
        <v>1</v>
      </c>
      <c r="K1059" s="69" t="str">
        <f ca="1"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38" t="str">
        <f ca="1"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 ca="1">IF(Proc[[#This Row],[type]]="LFF (MDG-F)",MID(Proc[[#This Row],[Obj]],13,10),"")</f>
        <v>DE10N11115</v>
      </c>
      <c r="I1060" s="72" t="s">
        <v>2714</v>
      </c>
      <c r="J1060" s="69" t="b">
        <f ca="1">Proc[[#This Row],[Requested]]=Proc[[#This Row],[CurrentParent]]</f>
        <v>1</v>
      </c>
      <c r="K1060" s="69" t="str">
        <f ca="1"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38" t="str">
        <f ca="1"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 ca="1">IF(Proc[[#This Row],[type]]="LFF (MDG-F)",MID(Proc[[#This Row],[Obj]],13,10),"")</f>
        <v>DE10N11181</v>
      </c>
      <c r="I1061" s="72" t="s">
        <v>2714</v>
      </c>
      <c r="J1061" s="69" t="b">
        <f ca="1">Proc[[#This Row],[Requested]]=Proc[[#This Row],[CurrentParent]]</f>
        <v>1</v>
      </c>
      <c r="K1061" s="69" t="str">
        <f ca="1"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38" t="str">
        <f ca="1"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 ca="1">IF(Proc[[#This Row],[type]]="LFF (MDG-F)",MID(Proc[[#This Row],[Obj]],13,10),"")</f>
        <v>DE10N11160</v>
      </c>
      <c r="I1062" s="72" t="s">
        <v>2714</v>
      </c>
      <c r="J1062" s="69" t="b">
        <f ca="1">Proc[[#This Row],[Requested]]=Proc[[#This Row],[CurrentParent]]</f>
        <v>1</v>
      </c>
      <c r="K1062" s="69" t="str">
        <f ca="1"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38" t="str">
        <f ca="1"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 ca="1">IF(Proc[[#This Row],[type]]="LFF (MDG-F)",MID(Proc[[#This Row],[Obj]],13,10),"")</f>
        <v>DE10N11180</v>
      </c>
      <c r="I1063" s="72" t="s">
        <v>2714</v>
      </c>
      <c r="J1063" s="69" t="b">
        <f ca="1">Proc[[#This Row],[Requested]]=Proc[[#This Row],[CurrentParent]]</f>
        <v>1</v>
      </c>
      <c r="K1063" s="69" t="str">
        <f ca="1"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38" t="str">
        <f ca="1"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 ca="1">IF(Proc[[#This Row],[type]]="LFF (MDG-F)",MID(Proc[[#This Row],[Obj]],13,10),"")</f>
        <v>DE10N11131</v>
      </c>
      <c r="I1064" s="72" t="s">
        <v>2714</v>
      </c>
      <c r="J1064" s="69" t="b">
        <f ca="1">Proc[[#This Row],[Requested]]=Proc[[#This Row],[CurrentParent]]</f>
        <v>1</v>
      </c>
      <c r="K1064" s="69" t="str">
        <f ca="1"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38" t="str">
        <f ca="1"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 ca="1">IF(Proc[[#This Row],[type]]="LFF (MDG-F)",MID(Proc[[#This Row],[Obj]],13,10),"")</f>
        <v>DE10N11116</v>
      </c>
      <c r="I1065" s="72" t="s">
        <v>2714</v>
      </c>
      <c r="J1065" s="69" t="b">
        <f ca="1">Proc[[#This Row],[Requested]]=Proc[[#This Row],[CurrentParent]]</f>
        <v>1</v>
      </c>
      <c r="K1065" s="69" t="str">
        <f ca="1"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38" t="str">
        <f ca="1"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 ca="1">IF(Proc[[#This Row],[type]]="LFF (MDG-F)",MID(Proc[[#This Row],[Obj]],13,10),"")</f>
        <v>DE10N12312</v>
      </c>
      <c r="I1066" s="72" t="s">
        <v>2714</v>
      </c>
      <c r="J1066" s="69" t="b">
        <f ca="1">Proc[[#This Row],[Requested]]=Proc[[#This Row],[CurrentParent]]</f>
        <v>1</v>
      </c>
      <c r="K1066" s="69" t="str">
        <f ca="1"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38" t="str">
        <f ca="1"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 ca="1">IF(Proc[[#This Row],[type]]="LFF (MDG-F)",MID(Proc[[#This Row],[Obj]],13,10),"")</f>
        <v>DE10N12313</v>
      </c>
      <c r="I1067" s="72" t="s">
        <v>2714</v>
      </c>
      <c r="J1067" s="69" t="b">
        <f ca="1">Proc[[#This Row],[Requested]]=Proc[[#This Row],[CurrentParent]]</f>
        <v>1</v>
      </c>
      <c r="K1067" s="69" t="str">
        <f ca="1"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38" t="str">
        <f ca="1"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 ca="1">IF(Proc[[#This Row],[type]]="LFF (MDG-F)",MID(Proc[[#This Row],[Obj]],13,10),"")</f>
        <v>DE10N12321</v>
      </c>
      <c r="I1068" s="72" t="s">
        <v>2714</v>
      </c>
      <c r="J1068" s="69" t="b">
        <f ca="1">Proc[[#This Row],[Requested]]=Proc[[#This Row],[CurrentParent]]</f>
        <v>1</v>
      </c>
      <c r="K1068" s="69" t="str">
        <f ca="1"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38" t="str">
        <f ca="1"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 ca="1">IF(Proc[[#This Row],[type]]="LFF (MDG-F)",MID(Proc[[#This Row],[Obj]],13,10),"")</f>
        <v>DE10N12323</v>
      </c>
      <c r="I1069" s="72" t="s">
        <v>2714</v>
      </c>
      <c r="J1069" s="69" t="b">
        <f ca="1">Proc[[#This Row],[Requested]]=Proc[[#This Row],[CurrentParent]]</f>
        <v>1</v>
      </c>
      <c r="K1069" s="69" t="str">
        <f ca="1"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38" t="str">
        <f ca="1"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 ca="1">IF(Proc[[#This Row],[type]]="LFF (MDG-F)",MID(Proc[[#This Row],[Obj]],13,10),"")</f>
        <v>DE10N12395</v>
      </c>
      <c r="I1070" s="72" t="s">
        <v>2714</v>
      </c>
      <c r="J1070" s="69" t="b">
        <f ca="1">Proc[[#This Row],[Requested]]=Proc[[#This Row],[CurrentParent]]</f>
        <v>1</v>
      </c>
      <c r="K1070" s="69" t="str">
        <f ca="1"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38" t="str">
        <f ca="1"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 ca="1">IF(Proc[[#This Row],[type]]="LFF (MDG-F)",MID(Proc[[#This Row],[Obj]],13,10),"")</f>
        <v>DE10N11195</v>
      </c>
      <c r="I1071" s="72" t="s">
        <v>2714</v>
      </c>
      <c r="J1071" s="69" t="b">
        <f ca="1">Proc[[#This Row],[Requested]]=Proc[[#This Row],[CurrentParent]]</f>
        <v>1</v>
      </c>
      <c r="K1071" s="69" t="str">
        <f ca="1"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38" t="str">
        <f ca="1"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 ca="1">IF(Proc[[#This Row],[type]]="LFF (MDG-F)",MID(Proc[[#This Row],[Obj]],13,10),"")</f>
        <v/>
      </c>
      <c r="J1072" s="69" t="b">
        <f ca="1">Proc[[#This Row],[Requested]]=Proc[[#This Row],[CurrentParent]]</f>
        <v>1</v>
      </c>
      <c r="K1072" s="69" t="str">
        <f ca="1"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38" t="str">
        <f ca="1"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 ca="1">IF(Proc[[#This Row],[type]]="LFF (MDG-F)",MID(Proc[[#This Row],[Obj]],13,10),"")</f>
        <v/>
      </c>
      <c r="J1073" s="69" t="b">
        <f ca="1">Proc[[#This Row],[Requested]]=Proc[[#This Row],[CurrentParent]]</f>
        <v>1</v>
      </c>
      <c r="K1073" s="69" t="str">
        <f ca="1"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38" t="str">
        <f ca="1"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 ca="1">IF(Proc[[#This Row],[type]]="LFF (MDG-F)",MID(Proc[[#This Row],[Obj]],13,10),"")</f>
        <v/>
      </c>
      <c r="J1074" s="69" t="b">
        <f ca="1">Proc[[#This Row],[Requested]]=Proc[[#This Row],[CurrentParent]]</f>
        <v>1</v>
      </c>
      <c r="K1074" s="69" t="str">
        <f ca="1"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38" t="str">
        <f ca="1"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 ca="1">IF(Proc[[#This Row],[type]]="LFF (MDG-F)",MID(Proc[[#This Row],[Obj]],13,10),"")</f>
        <v/>
      </c>
      <c r="J1075" s="69" t="b">
        <f ca="1">Proc[[#This Row],[Requested]]=Proc[[#This Row],[CurrentParent]]</f>
        <v>1</v>
      </c>
      <c r="K1075" s="69" t="str">
        <f ca="1"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38" t="str">
        <f ca="1"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 ca="1">IF(Proc[[#This Row],[type]]="LFF (MDG-F)",MID(Proc[[#This Row],[Obj]],13,10),"")</f>
        <v/>
      </c>
      <c r="J1076" s="69" t="b">
        <f ca="1">Proc[[#This Row],[Requested]]=Proc[[#This Row],[CurrentParent]]</f>
        <v>1</v>
      </c>
      <c r="K1076" s="69" t="str">
        <f ca="1"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38" t="str">
        <f ca="1"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 ca="1">IF(Proc[[#This Row],[type]]="LFF (MDG-F)",MID(Proc[[#This Row],[Obj]],13,10),"")</f>
        <v/>
      </c>
      <c r="J1077" s="69" t="b">
        <f ca="1">Proc[[#This Row],[Requested]]=Proc[[#This Row],[CurrentParent]]</f>
        <v>1</v>
      </c>
      <c r="K1077" s="69" t="str">
        <f ca="1"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38" t="str">
        <f ca="1"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 ca="1">IF(Proc[[#This Row],[type]]="LFF (MDG-F)",MID(Proc[[#This Row],[Obj]],13,10),"")</f>
        <v>KE50C0FF11</v>
      </c>
      <c r="I1078" t="s">
        <v>2816</v>
      </c>
      <c r="J1078" s="69" t="b">
        <f ca="1">Proc[[#This Row],[Requested]]=Proc[[#This Row],[CurrentParent]]</f>
        <v>1</v>
      </c>
      <c r="K1078" s="69" t="str">
        <f ca="1"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38" t="str">
        <f ca="1"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 ca="1">IF(Proc[[#This Row],[type]]="LFF (MDG-F)",MID(Proc[[#This Row],[Obj]],13,10),"")</f>
        <v>KE50C0IM11</v>
      </c>
      <c r="I1079" s="72" t="s">
        <v>2816</v>
      </c>
      <c r="J1079" s="69" t="b">
        <f ca="1">Proc[[#This Row],[Requested]]=Proc[[#This Row],[CurrentParent]]</f>
        <v>1</v>
      </c>
      <c r="K1079" s="69" t="str">
        <f ca="1"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38" t="str">
        <f ca="1"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 ca="1">IF(Proc[[#This Row],[type]]="LFF (MDG-F)",MID(Proc[[#This Row],[Obj]],13,10),"")</f>
        <v>2029C00004</v>
      </c>
      <c r="I1080" s="72" t="s">
        <v>2816</v>
      </c>
      <c r="J1080" s="69" t="b">
        <f ca="1">Proc[[#This Row],[Requested]]=Proc[[#This Row],[CurrentParent]]</f>
        <v>1</v>
      </c>
      <c r="K1080" s="69" t="str">
        <f ca="1"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38" t="str">
        <f ca="1"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 ca="1">IF(Proc[[#This Row],[type]]="LFF (MDG-F)",MID(Proc[[#This Row],[Obj]],13,10),"")</f>
        <v>2031C00005</v>
      </c>
      <c r="I1081" s="72" t="s">
        <v>2816</v>
      </c>
      <c r="J1081" s="69" t="b">
        <f ca="1">Proc[[#This Row],[Requested]]=Proc[[#This Row],[CurrentParent]]</f>
        <v>1</v>
      </c>
      <c r="K1081" s="69" t="str">
        <f ca="1"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38" t="str">
        <f ca="1"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 ca="1">IF(Proc[[#This Row],[type]]="LFF (MDG-F)",MID(Proc[[#This Row],[Obj]],13,10),"")</f>
        <v>2034C00012</v>
      </c>
      <c r="I1082" s="72" t="s">
        <v>2816</v>
      </c>
      <c r="J1082" s="69" t="b">
        <f ca="1">Proc[[#This Row],[Requested]]=Proc[[#This Row],[CurrentParent]]</f>
        <v>1</v>
      </c>
      <c r="K1082" s="69" t="str">
        <f ca="1"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38" t="str">
        <f ca="1"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 ca="1">IF(Proc[[#This Row],[type]]="LFF (MDG-F)",MID(Proc[[#This Row],[Obj]],13,10),"")</f>
        <v/>
      </c>
      <c r="J1083" s="69" t="b">
        <f ca="1">Proc[[#This Row],[Requested]]=Proc[[#This Row],[CurrentParent]]</f>
        <v>1</v>
      </c>
      <c r="K1083" s="69" t="str">
        <f ca="1"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38" t="str">
        <f ca="1"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 ca="1">IF(Proc[[#This Row],[type]]="LFF (MDG-F)",MID(Proc[[#This Row],[Obj]],13,10),"")</f>
        <v/>
      </c>
      <c r="J1084" s="69" t="b">
        <f ca="1">Proc[[#This Row],[Requested]]=Proc[[#This Row],[CurrentParent]]</f>
        <v>1</v>
      </c>
      <c r="K1084" s="69" t="str">
        <f ca="1"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38" t="str">
        <f ca="1"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 ca="1">IF(Proc[[#This Row],[type]]="LFF (MDG-F)",MID(Proc[[#This Row],[Obj]],13,10),"")</f>
        <v/>
      </c>
      <c r="J1085" s="69" t="b">
        <f ca="1">Proc[[#This Row],[Requested]]=Proc[[#This Row],[CurrentParent]]</f>
        <v>1</v>
      </c>
      <c r="K1085" s="69" t="str">
        <f ca="1"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38" t="str">
        <f ca="1"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 ca="1">IF(Proc[[#This Row],[type]]="LFF (MDG-F)",MID(Proc[[#This Row],[Obj]],13,10),"")</f>
        <v/>
      </c>
      <c r="J1086" s="69" t="b">
        <f ca="1">Proc[[#This Row],[Requested]]=Proc[[#This Row],[CurrentParent]]</f>
        <v>1</v>
      </c>
      <c r="K1086" s="69" t="str">
        <f ca="1"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38" t="str">
        <f ca="1"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 ca="1">IF(Proc[[#This Row],[type]]="LFF (MDG-F)",MID(Proc[[#This Row],[Obj]],13,10),"")</f>
        <v/>
      </c>
      <c r="J1087" s="69" t="b">
        <f ca="1">Proc[[#This Row],[Requested]]=Proc[[#This Row],[CurrentParent]]</f>
        <v>1</v>
      </c>
      <c r="K1087" s="69" t="str">
        <f ca="1"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38" t="str">
        <f ca="1"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 ca="1">IF(Proc[[#This Row],[type]]="LFF (MDG-F)",MID(Proc[[#This Row],[Obj]],13,10),"")</f>
        <v/>
      </c>
      <c r="J1088" s="69" t="b">
        <f ca="1">Proc[[#This Row],[Requested]]=Proc[[#This Row],[CurrentParent]]</f>
        <v>1</v>
      </c>
      <c r="K1088" s="69" t="str">
        <f ca="1"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38" t="str">
        <f ca="1"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 ca="1">IF(Proc[[#This Row],[type]]="LFF (MDG-F)",MID(Proc[[#This Row],[Obj]],13,10),"")</f>
        <v/>
      </c>
      <c r="J1089" s="69" t="b">
        <f ca="1">Proc[[#This Row],[Requested]]=Proc[[#This Row],[CurrentParent]]</f>
        <v>1</v>
      </c>
      <c r="K1089" s="69" t="str">
        <f ca="1"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38" t="str">
        <f ca="1"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 ca="1">IF(Proc[[#This Row],[type]]="LFF (MDG-F)",MID(Proc[[#This Row],[Obj]],13,10),"")</f>
        <v/>
      </c>
      <c r="J1090" s="69" t="b">
        <f ca="1">Proc[[#This Row],[Requested]]=Proc[[#This Row],[CurrentParent]]</f>
        <v>1</v>
      </c>
      <c r="K1090" s="69" t="str">
        <f ca="1"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38" t="str">
        <f ca="1"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 ca="1">IF(Proc[[#This Row],[type]]="LFF (MDG-F)",MID(Proc[[#This Row],[Obj]],13,10),"")</f>
        <v/>
      </c>
      <c r="J1091" s="69" t="b">
        <f ca="1">Proc[[#This Row],[Requested]]=Proc[[#This Row],[CurrentParent]]</f>
        <v>1</v>
      </c>
      <c r="K1091" s="69" t="str">
        <f ca="1"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38" t="str">
        <f ca="1"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 ca="1">IF(Proc[[#This Row],[type]]="LFF (MDG-F)",MID(Proc[[#This Row],[Obj]],13,10),"")</f>
        <v/>
      </c>
      <c r="J1092" s="69" t="b">
        <f ca="1">Proc[[#This Row],[Requested]]=Proc[[#This Row],[CurrentParent]]</f>
        <v>1</v>
      </c>
      <c r="K1092" s="69" t="str">
        <f ca="1"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38" t="str">
        <f ca="1"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 ca="1">IF(Proc[[#This Row],[type]]="LFF (MDG-F)",MID(Proc[[#This Row],[Obj]],13,10),"")</f>
        <v/>
      </c>
      <c r="J1093" s="69" t="b">
        <f ca="1">Proc[[#This Row],[Requested]]=Proc[[#This Row],[CurrentParent]]</f>
        <v>1</v>
      </c>
      <c r="K1093" s="69" t="str">
        <f ca="1"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38" t="str">
        <f ca="1"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 ca="1">IF(Proc[[#This Row],[type]]="LFF (MDG-F)",MID(Proc[[#This Row],[Obj]],13,10),"")</f>
        <v/>
      </c>
      <c r="J1094" s="69" t="b">
        <f ca="1">Proc[[#This Row],[Requested]]=Proc[[#This Row],[CurrentParent]]</f>
        <v>1</v>
      </c>
      <c r="K1094" s="69" t="str">
        <f ca="1"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38" t="str">
        <f ca="1"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 ca="1">IF(Proc[[#This Row],[type]]="LFF (MDG-F)",MID(Proc[[#This Row],[Obj]],13,10),"")</f>
        <v/>
      </c>
      <c r="J1095" s="69" t="b">
        <f ca="1">Proc[[#This Row],[Requested]]=Proc[[#This Row],[CurrentParent]]</f>
        <v>1</v>
      </c>
      <c r="K1095" s="69" t="str">
        <f ca="1"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38" t="str">
        <f ca="1"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 ca="1">IF(Proc[[#This Row],[type]]="LFF (MDG-F)",MID(Proc[[#This Row],[Obj]],13,10),"")</f>
        <v/>
      </c>
      <c r="J1096" s="69" t="b">
        <f ca="1">Proc[[#This Row],[Requested]]=Proc[[#This Row],[CurrentParent]]</f>
        <v>1</v>
      </c>
      <c r="K1096" s="69" t="str">
        <f ca="1"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38" t="str">
        <f ca="1"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 ca="1">IF(Proc[[#This Row],[type]]="LFF (MDG-F)",MID(Proc[[#This Row],[Obj]],13,10),"")</f>
        <v/>
      </c>
      <c r="J1097" s="69" t="b">
        <f ca="1">Proc[[#This Row],[Requested]]=Proc[[#This Row],[CurrentParent]]</f>
        <v>1</v>
      </c>
      <c r="K1097" s="69" t="str">
        <f ca="1"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38" t="str">
        <f ca="1"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 ca="1">IF(Proc[[#This Row],[type]]="LFF (MDG-F)",MID(Proc[[#This Row],[Obj]],13,10),"")</f>
        <v/>
      </c>
      <c r="J1098" s="69" t="b">
        <f ca="1">Proc[[#This Row],[Requested]]=Proc[[#This Row],[CurrentParent]]</f>
        <v>1</v>
      </c>
      <c r="K1098" s="69" t="str">
        <f ca="1"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38" t="str">
        <f ca="1"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 ca="1">IF(Proc[[#This Row],[type]]="LFF (MDG-F)",MID(Proc[[#This Row],[Obj]],13,10),"")</f>
        <v/>
      </c>
      <c r="J1099" s="69" t="b">
        <f ca="1">Proc[[#This Row],[Requested]]=Proc[[#This Row],[CurrentParent]]</f>
        <v>1</v>
      </c>
      <c r="K1099" s="69" t="str">
        <f ca="1"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38" t="str">
        <f ca="1"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 ca="1">IF(Proc[[#This Row],[type]]="LFF (MDG-F)",MID(Proc[[#This Row],[Obj]],13,10),"")</f>
        <v/>
      </c>
      <c r="J1100" s="69" t="b">
        <f ca="1">Proc[[#This Row],[Requested]]=Proc[[#This Row],[CurrentParent]]</f>
        <v>1</v>
      </c>
      <c r="K1100" s="69" t="str">
        <f ca="1"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38" t="str">
        <f ca="1"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 ca="1">IF(Proc[[#This Row],[type]]="LFF (MDG-F)",MID(Proc[[#This Row],[Obj]],13,10),"")</f>
        <v/>
      </c>
      <c r="J1101" s="69" t="b">
        <f ca="1">Proc[[#This Row],[Requested]]=Proc[[#This Row],[CurrentParent]]</f>
        <v>1</v>
      </c>
      <c r="K1101" s="69" t="str">
        <f ca="1"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38" t="str">
        <f ca="1"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 ca="1">IF(Proc[[#This Row],[type]]="LFF (MDG-F)",MID(Proc[[#This Row],[Obj]],13,10),"")</f>
        <v/>
      </c>
      <c r="J1102" s="69" t="b">
        <f ca="1">Proc[[#This Row],[Requested]]=Proc[[#This Row],[CurrentParent]]</f>
        <v>1</v>
      </c>
      <c r="K1102" s="69" t="str">
        <f ca="1"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38" t="str">
        <f ca="1"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 ca="1">IF(Proc[[#This Row],[type]]="LFF (MDG-F)",MID(Proc[[#This Row],[Obj]],13,10),"")</f>
        <v/>
      </c>
      <c r="J1103" s="69" t="b">
        <f ca="1">Proc[[#This Row],[Requested]]=Proc[[#This Row],[CurrentParent]]</f>
        <v>1</v>
      </c>
      <c r="K1103" s="69" t="str">
        <f ca="1"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38" t="str">
        <f ca="1"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 ca="1">IF(Proc[[#This Row],[type]]="LFF (MDG-F)",MID(Proc[[#This Row],[Obj]],13,10),"")</f>
        <v/>
      </c>
      <c r="J1104" s="69" t="b">
        <f ca="1">Proc[[#This Row],[Requested]]=Proc[[#This Row],[CurrentParent]]</f>
        <v>1</v>
      </c>
      <c r="K1104" s="69" t="str">
        <f ca="1"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38" t="str">
        <f ca="1"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 ca="1">IF(Proc[[#This Row],[type]]="LFF (MDG-F)",MID(Proc[[#This Row],[Obj]],13,10),"")</f>
        <v/>
      </c>
      <c r="J1105" s="69" t="b">
        <f ca="1">Proc[[#This Row],[Requested]]=Proc[[#This Row],[CurrentParent]]</f>
        <v>1</v>
      </c>
      <c r="K1105" s="69" t="str">
        <f ca="1"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38" t="str">
        <f ca="1"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 ca="1">IF(Proc[[#This Row],[type]]="LFF (MDG-F)",MID(Proc[[#This Row],[Obj]],13,10),"")</f>
        <v/>
      </c>
      <c r="J1106" s="69" t="b">
        <f ca="1">Proc[[#This Row],[Requested]]=Proc[[#This Row],[CurrentParent]]</f>
        <v>1</v>
      </c>
      <c r="K1106" s="69" t="str">
        <f ca="1"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38" t="str">
        <f ca="1"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 ca="1">IF(Proc[[#This Row],[type]]="LFF (MDG-F)",MID(Proc[[#This Row],[Obj]],13,10),"")</f>
        <v/>
      </c>
      <c r="J1107" s="69" t="b">
        <f ca="1">Proc[[#This Row],[Requested]]=Proc[[#This Row],[CurrentParent]]</f>
        <v>1</v>
      </c>
      <c r="K1107" s="69" t="str">
        <f ca="1"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38" t="str">
        <f ca="1"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 ca="1">IF(Proc[[#This Row],[type]]="LFF (MDG-F)",MID(Proc[[#This Row],[Obj]],13,10),"")</f>
        <v/>
      </c>
      <c r="J1108" s="69" t="b">
        <f ca="1">Proc[[#This Row],[Requested]]=Proc[[#This Row],[CurrentParent]]</f>
        <v>1</v>
      </c>
      <c r="K1108" s="69" t="str">
        <f ca="1"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38" t="str">
        <f ca="1"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 ca="1">IF(Proc[[#This Row],[type]]="LFF (MDG-F)",MID(Proc[[#This Row],[Obj]],13,10),"")</f>
        <v/>
      </c>
      <c r="J1109" s="69" t="b">
        <f ca="1">Proc[[#This Row],[Requested]]=Proc[[#This Row],[CurrentParent]]</f>
        <v>1</v>
      </c>
      <c r="K1109" s="69" t="str">
        <f ca="1"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38" t="str">
        <f ca="1"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 ca="1">IF(Proc[[#This Row],[type]]="LFF (MDG-F)",MID(Proc[[#This Row],[Obj]],13,10),"")</f>
        <v/>
      </c>
      <c r="J1110" s="69" t="b">
        <f ca="1">Proc[[#This Row],[Requested]]=Proc[[#This Row],[CurrentParent]]</f>
        <v>1</v>
      </c>
      <c r="K1110" s="69" t="str">
        <f ca="1"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38" t="str">
        <f ca="1"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 ca="1">IF(Proc[[#This Row],[type]]="LFF (MDG-F)",MID(Proc[[#This Row],[Obj]],13,10),"")</f>
        <v/>
      </c>
      <c r="J1111" s="69" t="b">
        <f ca="1">Proc[[#This Row],[Requested]]=Proc[[#This Row],[CurrentParent]]</f>
        <v>1</v>
      </c>
      <c r="K1111" s="69" t="str">
        <f ca="1"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38" t="str">
        <f ca="1"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 ca="1">IF(Proc[[#This Row],[type]]="LFF (MDG-F)",MID(Proc[[#This Row],[Obj]],13,10),"")</f>
        <v/>
      </c>
      <c r="J1112" s="69" t="b">
        <f ca="1">Proc[[#This Row],[Requested]]=Proc[[#This Row],[CurrentParent]]</f>
        <v>1</v>
      </c>
      <c r="K1112" s="69" t="str">
        <f ca="1"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38" t="str">
        <f ca="1"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 ca="1">IF(Proc[[#This Row],[type]]="LFF (MDG-F)",MID(Proc[[#This Row],[Obj]],13,10),"")</f>
        <v/>
      </c>
      <c r="J1113" s="69" t="b">
        <f ca="1">Proc[[#This Row],[Requested]]=Proc[[#This Row],[CurrentParent]]</f>
        <v>1</v>
      </c>
      <c r="K1113" s="69" t="str">
        <f ca="1"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38" t="str">
        <f ca="1"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 ca="1">IF(Proc[[#This Row],[type]]="LFF (MDG-F)",MID(Proc[[#This Row],[Obj]],13,10),"")</f>
        <v/>
      </c>
      <c r="J1114" s="69" t="b">
        <f ca="1">Proc[[#This Row],[Requested]]=Proc[[#This Row],[CurrentParent]]</f>
        <v>1</v>
      </c>
      <c r="K1114" s="69" t="str">
        <f ca="1"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38" t="str">
        <f ca="1"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 ca="1">IF(Proc[[#This Row],[type]]="LFF (MDG-F)",MID(Proc[[#This Row],[Obj]],13,10),"")</f>
        <v/>
      </c>
      <c r="J1115" s="69" t="b">
        <f ca="1">Proc[[#This Row],[Requested]]=Proc[[#This Row],[CurrentParent]]</f>
        <v>1</v>
      </c>
      <c r="K1115" s="69" t="str">
        <f ca="1"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38" t="str">
        <f ca="1"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 ca="1">IF(Proc[[#This Row],[type]]="LFF (MDG-F)",MID(Proc[[#This Row],[Obj]],13,10),"")</f>
        <v/>
      </c>
      <c r="J1116" s="69" t="b">
        <f ca="1">Proc[[#This Row],[Requested]]=Proc[[#This Row],[CurrentParent]]</f>
        <v>1</v>
      </c>
      <c r="K1116" s="69" t="str">
        <f ca="1"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38" t="str">
        <f ca="1"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 ca="1">IF(Proc[[#This Row],[type]]="LFF (MDG-F)",MID(Proc[[#This Row],[Obj]],13,10),"")</f>
        <v/>
      </c>
      <c r="J1117" s="69" t="b">
        <f ca="1">Proc[[#This Row],[Requested]]=Proc[[#This Row],[CurrentParent]]</f>
        <v>1</v>
      </c>
      <c r="K1117" s="69" t="str">
        <f ca="1"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38" t="str">
        <f ca="1"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 ca="1">IF(Proc[[#This Row],[type]]="LFF (MDG-F)",MID(Proc[[#This Row],[Obj]],13,10),"")</f>
        <v/>
      </c>
      <c r="J1118" s="69" t="b">
        <f ca="1">Proc[[#This Row],[Requested]]=Proc[[#This Row],[CurrentParent]]</f>
        <v>1</v>
      </c>
      <c r="K1118" s="69" t="str">
        <f ca="1"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38" t="str">
        <f ca="1"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 ca="1">IF(Proc[[#This Row],[type]]="LFF (MDG-F)",MID(Proc[[#This Row],[Obj]],13,10),"")</f>
        <v/>
      </c>
      <c r="J1119" s="69" t="b">
        <f ca="1">Proc[[#This Row],[Requested]]=Proc[[#This Row],[CurrentParent]]</f>
        <v>1</v>
      </c>
      <c r="K1119" s="69" t="str">
        <f ca="1"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38" t="str">
        <f ca="1"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 ca="1">IF(Proc[[#This Row],[type]]="LFF (MDG-F)",MID(Proc[[#This Row],[Obj]],13,10),"")</f>
        <v/>
      </c>
      <c r="J1120" s="69" t="b">
        <f ca="1">Proc[[#This Row],[Requested]]=Proc[[#This Row],[CurrentParent]]</f>
        <v>1</v>
      </c>
      <c r="K1120" s="69" t="str">
        <f ca="1"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38" t="str">
        <f ca="1"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 ca="1">IF(Proc[[#This Row],[type]]="LFF (MDG-F)",MID(Proc[[#This Row],[Obj]],13,10),"")</f>
        <v/>
      </c>
      <c r="J1121" s="69" t="b">
        <f ca="1">Proc[[#This Row],[Requested]]=Proc[[#This Row],[CurrentParent]]</f>
        <v>1</v>
      </c>
      <c r="K1121" s="69" t="str">
        <f ca="1"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38" t="str">
        <f ca="1"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 ca="1">IF(Proc[[#This Row],[type]]="LFF (MDG-F)",MID(Proc[[#This Row],[Obj]],13,10),"")</f>
        <v/>
      </c>
      <c r="J1122" s="69" t="b">
        <f ca="1">Proc[[#This Row],[Requested]]=Proc[[#This Row],[CurrentParent]]</f>
        <v>1</v>
      </c>
      <c r="K1122" s="69" t="str">
        <f ca="1"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38" t="str">
        <f ca="1"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 ca="1">IF(Proc[[#This Row],[type]]="LFF (MDG-F)",MID(Proc[[#This Row],[Obj]],13,10),"")</f>
        <v/>
      </c>
      <c r="J1123" s="69" t="b">
        <f ca="1">Proc[[#This Row],[Requested]]=Proc[[#This Row],[CurrentParent]]</f>
        <v>1</v>
      </c>
      <c r="K1123" s="69" t="str">
        <f ca="1"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38" t="str">
        <f ca="1"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 ca="1">IF(Proc[[#This Row],[type]]="LFF (MDG-F)",MID(Proc[[#This Row],[Obj]],13,10),"")</f>
        <v/>
      </c>
      <c r="J1124" s="69" t="b">
        <f ca="1">Proc[[#This Row],[Requested]]=Proc[[#This Row],[CurrentParent]]</f>
        <v>1</v>
      </c>
      <c r="K1124" s="69" t="str">
        <f ca="1"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38" t="str">
        <f ca="1"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 ca="1">IF(Proc[[#This Row],[type]]="LFF (MDG-F)",MID(Proc[[#This Row],[Obj]],13,10),"")</f>
        <v/>
      </c>
      <c r="J1125" s="69" t="b">
        <f ca="1">Proc[[#This Row],[Requested]]=Proc[[#This Row],[CurrentParent]]</f>
        <v>1</v>
      </c>
      <c r="K1125" s="69" t="str">
        <f ca="1"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38" t="str">
        <f ca="1"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 ca="1">IF(Proc[[#This Row],[type]]="LFF (MDG-F)",MID(Proc[[#This Row],[Obj]],13,10),"")</f>
        <v/>
      </c>
      <c r="J1126" s="69" t="b">
        <f ca="1">Proc[[#This Row],[Requested]]=Proc[[#This Row],[CurrentParent]]</f>
        <v>1</v>
      </c>
      <c r="K1126" s="69" t="str">
        <f ca="1"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38" t="str">
        <f ca="1"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 ca="1">IF(Proc[[#This Row],[type]]="LFF (MDG-F)",MID(Proc[[#This Row],[Obj]],13,10),"")</f>
        <v/>
      </c>
      <c r="J1127" s="69" t="b">
        <f ca="1">Proc[[#This Row],[Requested]]=Proc[[#This Row],[CurrentParent]]</f>
        <v>1</v>
      </c>
      <c r="K1127" s="69" t="str">
        <f ca="1"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38" t="str">
        <f ca="1"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 ca="1">IF(Proc[[#This Row],[type]]="LFF (MDG-F)",MID(Proc[[#This Row],[Obj]],13,10),"")</f>
        <v/>
      </c>
      <c r="J1128" s="69" t="b">
        <f ca="1">Proc[[#This Row],[Requested]]=Proc[[#This Row],[CurrentParent]]</f>
        <v>1</v>
      </c>
      <c r="K1128" s="69" t="str">
        <f ca="1"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 ca="1">VLOOKUP(Proc[[#This Row],[Obj]],#REF!,2,0)</f>
        <v>#REF!</v>
      </c>
    </row>
    <row r="1129" spans="1:19" hidden="1">
      <c r="A1129" s="72" t="s">
        <v>2780</v>
      </c>
      <c r="B1129" s="138" t="str">
        <f ca="1"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 ca="1">IF(Proc[[#This Row],[type]]="LFF (MDG-F)",MID(Proc[[#This Row],[Obj]],13,10),"")</f>
        <v/>
      </c>
      <c r="J1129" s="69" t="b">
        <f ca="1">Proc[[#This Row],[Requested]]=Proc[[#This Row],[CurrentParent]]</f>
        <v>1</v>
      </c>
      <c r="K1129" s="69" t="str">
        <f ca="1"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 ca="1">VLOOKUP(Proc[[#This Row],[Obj]],#REF!,2,0)</f>
        <v>#REF!</v>
      </c>
    </row>
    <row r="1130" spans="1:19" hidden="1">
      <c r="A1130" s="72" t="s">
        <v>2780</v>
      </c>
      <c r="B1130" s="138" t="str">
        <f ca="1"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 ca="1">IF(Proc[[#This Row],[type]]="LFF (MDG-F)",MID(Proc[[#This Row],[Obj]],13,10),"")</f>
        <v/>
      </c>
      <c r="J1130" s="69" t="b">
        <f ca="1">Proc[[#This Row],[Requested]]=Proc[[#This Row],[CurrentParent]]</f>
        <v>1</v>
      </c>
      <c r="K1130" s="69" t="str">
        <f ca="1"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 ca="1">VLOOKUP(Proc[[#This Row],[Obj]],#REF!,2,0)</f>
        <v>#REF!</v>
      </c>
    </row>
    <row r="1131" spans="1:19" hidden="1">
      <c r="A1131" s="72" t="s">
        <v>2780</v>
      </c>
      <c r="B1131" s="138" t="str">
        <f ca="1"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 ca="1">IF(Proc[[#This Row],[type]]="LFF (MDG-F)",MID(Proc[[#This Row],[Obj]],13,10),"")</f>
        <v/>
      </c>
      <c r="J1131" s="69" t="b">
        <f ca="1">Proc[[#This Row],[Requested]]=Proc[[#This Row],[CurrentParent]]</f>
        <v>1</v>
      </c>
      <c r="K1131" s="69" t="str">
        <f ca="1"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 ca="1">VLOOKUP(Proc[[#This Row],[Obj]],#REF!,2,0)</f>
        <v>#REF!</v>
      </c>
    </row>
    <row r="1132" spans="1:19" hidden="1">
      <c r="A1132" t="s">
        <v>2789</v>
      </c>
      <c r="B1132" s="138" t="str">
        <f ca="1"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 ca="1">IF(Proc[[#This Row],[type]]="LFF (MDG-F)",MID(Proc[[#This Row],[Obj]],13,10),"")</f>
        <v>2123OF0027</v>
      </c>
      <c r="I1132" t="s">
        <v>2792</v>
      </c>
      <c r="J1132" s="69" t="b">
        <f ca="1">Proc[[#This Row],[Requested]]=Proc[[#This Row],[CurrentParent]]</f>
        <v>1</v>
      </c>
      <c r="K1132" s="69" t="str">
        <f ca="1"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38" t="str">
        <f ca="1"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 ca="1">IF(Proc[[#This Row],[type]]="LFF (MDG-F)",MID(Proc[[#This Row],[Obj]],13,10),"")</f>
        <v/>
      </c>
      <c r="J1133" s="69" t="b">
        <f ca="1">Proc[[#This Row],[Requested]]=Proc[[#This Row],[CurrentParent]]</f>
        <v>1</v>
      </c>
      <c r="K1133" s="69" t="str">
        <f ca="1"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38" t="str">
        <f ca="1"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 ca="1">IF(Proc[[#This Row],[type]]="LFF (MDG-F)",MID(Proc[[#This Row],[Obj]],13,10),"")</f>
        <v/>
      </c>
      <c r="J1134" s="69" t="b">
        <f ca="1">Proc[[#This Row],[Requested]]=Proc[[#This Row],[CurrentParent]]</f>
        <v>1</v>
      </c>
      <c r="K1134" s="69" t="str">
        <f ca="1"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38" t="str">
        <f ca="1"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 ca="1">IF(Proc[[#This Row],[type]]="LFF (MDG-F)",MID(Proc[[#This Row],[Obj]],13,10),"")</f>
        <v/>
      </c>
      <c r="J1135" s="69" t="b">
        <f ca="1">Proc[[#This Row],[Requested]]=Proc[[#This Row],[CurrentParent]]</f>
        <v>1</v>
      </c>
      <c r="K1135" s="69" t="str">
        <f ca="1"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38" t="str">
        <f ca="1"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 ca="1">IF(Proc[[#This Row],[type]]="LFF (MDG-F)",MID(Proc[[#This Row],[Obj]],13,10),"")</f>
        <v/>
      </c>
      <c r="J1136" s="69" t="b">
        <f ca="1">Proc[[#This Row],[Requested]]=Proc[[#This Row],[CurrentParent]]</f>
        <v>1</v>
      </c>
      <c r="K1136" s="69" t="str">
        <f ca="1"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38" t="str">
        <f ca="1"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 ca="1">IF(Proc[[#This Row],[type]]="LFF (MDG-F)",MID(Proc[[#This Row],[Obj]],13,10),"")</f>
        <v/>
      </c>
      <c r="J1137" s="69" t="b">
        <f ca="1">Proc[[#This Row],[Requested]]=Proc[[#This Row],[CurrentParent]]</f>
        <v>1</v>
      </c>
      <c r="K1137" s="69" t="str">
        <f ca="1"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38" t="str">
        <f ca="1"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 ca="1">IF(Proc[[#This Row],[type]]="LFF (MDG-F)",MID(Proc[[#This Row],[Obj]],13,10),"")</f>
        <v>2102TPSZ93</v>
      </c>
      <c r="I1138" t="s">
        <v>822</v>
      </c>
      <c r="J1138" s="69" t="b">
        <f ca="1">Proc[[#This Row],[Requested]]=Proc[[#This Row],[CurrentParent]]</f>
        <v>1</v>
      </c>
      <c r="K1138" s="69" t="str">
        <f ca="1"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 ca="1">VLOOKUP(Proc[[#This Row],[Obj]],#REF!,2,0)</f>
        <v>#REF!</v>
      </c>
    </row>
    <row r="1139" spans="1:19" hidden="1">
      <c r="A1139" s="72" t="s">
        <v>2801</v>
      </c>
      <c r="B1139" s="138" t="str">
        <f ca="1"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 ca="1">IF(Proc[[#This Row],[type]]="LFF (MDG-F)",MID(Proc[[#This Row],[Obj]],13,10),"")</f>
        <v/>
      </c>
      <c r="J1139" s="69" t="b">
        <f ca="1">Proc[[#This Row],[Requested]]=Proc[[#This Row],[CurrentParent]]</f>
        <v>1</v>
      </c>
      <c r="K1139" s="69" t="str">
        <f ca="1"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38" t="str">
        <f ca="1"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 ca="1">IF(Proc[[#This Row],[type]]="LFF (MDG-F)",MID(Proc[[#This Row],[Obj]],13,10),"")</f>
        <v/>
      </c>
      <c r="J1140" s="69" t="b">
        <f ca="1">Proc[[#This Row],[Requested]]=Proc[[#This Row],[CurrentParent]]</f>
        <v>1</v>
      </c>
      <c r="K1140" s="69" t="str">
        <f ca="1"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38" t="str">
        <f ca="1"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 ca="1">IF(Proc[[#This Row],[type]]="LFF (MDG-F)",MID(Proc[[#This Row],[Obj]],13,10),"")</f>
        <v/>
      </c>
      <c r="J1141" s="69" t="b">
        <f ca="1">Proc[[#This Row],[Requested]]=Proc[[#This Row],[CurrentParent]]</f>
        <v>1</v>
      </c>
      <c r="K1141" s="69" t="str">
        <f ca="1"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38" t="str">
        <f ca="1"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 ca="1">IF(Proc[[#This Row],[type]]="LFF (MDG-F)",MID(Proc[[#This Row],[Obj]],13,10),"")</f>
        <v/>
      </c>
      <c r="J1142" s="69" t="b">
        <f ca="1">Proc[[#This Row],[Requested]]=Proc[[#This Row],[CurrentParent]]</f>
        <v>1</v>
      </c>
      <c r="K1142" s="69" t="str">
        <f ca="1"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38" t="str">
        <f ca="1"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 ca="1">IF(Proc[[#This Row],[type]]="LFF (MDG-F)",MID(Proc[[#This Row],[Obj]],13,10),"")</f>
        <v/>
      </c>
      <c r="J1143" s="69" t="b">
        <f ca="1">Proc[[#This Row],[Requested]]=Proc[[#This Row],[CurrentParent]]</f>
        <v>1</v>
      </c>
      <c r="K1143" s="69" t="str">
        <f ca="1"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38" t="str">
        <f ca="1"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 ca="1">IF(Proc[[#This Row],[type]]="LFF (MDG-F)",MID(Proc[[#This Row],[Obj]],13,10),"")</f>
        <v/>
      </c>
      <c r="J1144" s="69" t="b">
        <f ca="1">Proc[[#This Row],[Requested]]=Proc[[#This Row],[CurrentParent]]</f>
        <v>1</v>
      </c>
      <c r="K1144" s="69" t="str">
        <f ca="1"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38" t="str">
        <f ca="1"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 ca="1">IF(Proc[[#This Row],[type]]="LFF (MDG-F)",MID(Proc[[#This Row],[Obj]],13,10),"")</f>
        <v/>
      </c>
      <c r="J1145" s="69" t="b">
        <f ca="1">Proc[[#This Row],[Requested]]=Proc[[#This Row],[CurrentParent]]</f>
        <v>1</v>
      </c>
      <c r="K1145" s="69" t="str">
        <f ca="1"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38" t="str">
        <f ca="1"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 ca="1">IF(Proc[[#This Row],[type]]="LFF (MDG-F)",MID(Proc[[#This Row],[Obj]],13,10),"")</f>
        <v/>
      </c>
      <c r="J1146" s="69" t="b">
        <f ca="1">Proc[[#This Row],[Requested]]=Proc[[#This Row],[CurrentParent]]</f>
        <v>1</v>
      </c>
      <c r="K1146" s="69" t="str">
        <f ca="1"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138" t="str">
        <f ca="1"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 ca="1">IF(Proc[[#This Row],[type]]="LFF (MDG-F)",MID(Proc[[#This Row],[Obj]],13,10),"")</f>
        <v/>
      </c>
      <c r="J1147" s="69" t="b">
        <f ca="1">Proc[[#This Row],[Requested]]=Proc[[#This Row],[CurrentParent]]</f>
        <v>1</v>
      </c>
      <c r="K1147" s="69" t="str">
        <f ca="1"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138" t="str">
        <f ca="1"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 ca="1">IF(Proc[[#This Row],[type]]="LFF (MDG-F)",MID(Proc[[#This Row],[Obj]],13,10),"")</f>
        <v>AE50R0GR11</v>
      </c>
      <c r="I1148" t="s">
        <v>2831</v>
      </c>
      <c r="J1148" s="69" t="b">
        <f ca="1">Proc[[#This Row],[Requested]]=Proc[[#This Row],[CurrentParent]]</f>
        <v>1</v>
      </c>
      <c r="K1148" s="69" t="str">
        <f ca="1"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138" t="str">
        <f ca="1"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 ca="1">IF(Proc[[#This Row],[type]]="LFF (MDG-F)",MID(Proc[[#This Row],[Obj]],13,10),"")</f>
        <v/>
      </c>
      <c r="J1149" s="69" t="b">
        <f ca="1">Proc[[#This Row],[Requested]]=Proc[[#This Row],[CurrentParent]]</f>
        <v>1</v>
      </c>
      <c r="K1149" s="69" t="str">
        <f ca="1"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138" t="str">
        <f ca="1"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 ca="1">IF(Proc[[#This Row],[type]]="LFF (MDG-F)",MID(Proc[[#This Row],[Obj]],13,10),"")</f>
        <v/>
      </c>
      <c r="J1150" s="69" t="b">
        <f ca="1">Proc[[#This Row],[Requested]]=Proc[[#This Row],[CurrentParent]]</f>
        <v>1</v>
      </c>
      <c r="K1150" s="69" t="str">
        <f ca="1"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138" t="str">
        <f ca="1"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 ca="1">IF(Proc[[#This Row],[type]]="LFF (MDG-F)",MID(Proc[[#This Row],[Obj]],13,10),"")</f>
        <v/>
      </c>
      <c r="J1151" s="69" t="b">
        <f ca="1">Proc[[#This Row],[Requested]]=Proc[[#This Row],[CurrentParent]]</f>
        <v>1</v>
      </c>
      <c r="K1151" s="69" t="str">
        <f ca="1"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138" t="str">
        <f ca="1"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 ca="1">IF(Proc[[#This Row],[type]]="LFF (MDG-F)",MID(Proc[[#This Row],[Obj]],13,10),"")</f>
        <v/>
      </c>
      <c r="I1152" t="s">
        <v>1198</v>
      </c>
      <c r="J1152" s="69" t="b">
        <f ca="1">Proc[[#This Row],[Requested]]=Proc[[#This Row],[CurrentParent]]</f>
        <v>1</v>
      </c>
      <c r="K1152" s="69" t="str">
        <f ca="1"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100</v>
      </c>
      <c r="R1152" s="80" t="s">
        <v>515</v>
      </c>
      <c r="S1152" s="69"/>
    </row>
    <row r="1153" spans="1:19" hidden="1">
      <c r="A1153" s="72" t="s">
        <v>2830</v>
      </c>
      <c r="B1153" s="138" t="str">
        <f ca="1"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 ca="1">IF(Proc[[#This Row],[type]]="LFF (MDG-F)",MID(Proc[[#This Row],[Obj]],13,10),"")</f>
        <v/>
      </c>
      <c r="J1153" s="69" t="b">
        <f ca="1">Proc[[#This Row],[Requested]]=Proc[[#This Row],[CurrentParent]]</f>
        <v>1</v>
      </c>
      <c r="K1153" s="69" t="str">
        <f ca="1"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138" t="str">
        <f ca="1"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 ca="1">IF(Proc[[#This Row],[type]]="LFF (MDG-F)",MID(Proc[[#This Row],[Obj]],13,10),"")</f>
        <v/>
      </c>
      <c r="J1154" s="69" t="b">
        <f ca="1">Proc[[#This Row],[Requested]]=Proc[[#This Row],[CurrentParent]]</f>
        <v>1</v>
      </c>
      <c r="K1154" s="69" t="str">
        <f ca="1"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138" t="str">
        <f ca="1"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 ca="1">IF(Proc[[#This Row],[type]]="LFF (MDG-F)",MID(Proc[[#This Row],[Obj]],13,10),"")</f>
        <v/>
      </c>
      <c r="J1155" s="69" t="b">
        <f ca="1">Proc[[#This Row],[Requested]]=Proc[[#This Row],[CurrentParent]]</f>
        <v>1</v>
      </c>
      <c r="K1155" s="69" t="str">
        <f ca="1"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138" t="str">
        <f ca="1"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 ca="1">IF(Proc[[#This Row],[type]]="LFF (MDG-F)",MID(Proc[[#This Row],[Obj]],13,10),"")</f>
        <v/>
      </c>
      <c r="J1156" s="69" t="b">
        <f ca="1">Proc[[#This Row],[Requested]]=Proc[[#This Row],[CurrentParent]]</f>
        <v>1</v>
      </c>
      <c r="K1156" s="69" t="str">
        <f ca="1"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138" t="str">
        <f ca="1"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 ca="1">IF(Proc[[#This Row],[type]]="LFF (MDG-F)",MID(Proc[[#This Row],[Obj]],13,10),"")</f>
        <v/>
      </c>
      <c r="J1157" s="69" t="b">
        <f ca="1">Proc[[#This Row],[Requested]]=Proc[[#This Row],[CurrentParent]]</f>
        <v>1</v>
      </c>
      <c r="K1157" s="69" t="str">
        <f ca="1"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138" t="str">
        <f ca="1"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 ca="1">IF(Proc[[#This Row],[type]]="LFF (MDG-F)",MID(Proc[[#This Row],[Obj]],13,10),"")</f>
        <v/>
      </c>
      <c r="J1158" s="69" t="b">
        <f ca="1">Proc[[#This Row],[Requested]]=Proc[[#This Row],[CurrentParent]]</f>
        <v>1</v>
      </c>
      <c r="K1158" s="69" t="str">
        <f ca="1"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138" t="str">
        <f ca="1"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 ca="1">IF(Proc[[#This Row],[type]]="LFF (MDG-F)",MID(Proc[[#This Row],[Obj]],13,10),"")</f>
        <v/>
      </c>
      <c r="J1159" s="69" t="b">
        <f ca="1">Proc[[#This Row],[Requested]]=Proc[[#This Row],[CurrentParent]]</f>
        <v>1</v>
      </c>
      <c r="K1159" s="69" t="str">
        <f ca="1"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138" t="str">
        <f ca="1"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 ca="1">IF(Proc[[#This Row],[type]]="LFF (MDG-F)",MID(Proc[[#This Row],[Obj]],13,10),"")</f>
        <v/>
      </c>
      <c r="J1160" s="69" t="b">
        <f ca="1">Proc[[#This Row],[Requested]]=Proc[[#This Row],[CurrentParent]]</f>
        <v>1</v>
      </c>
      <c r="K1160" s="69" t="str">
        <f ca="1"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138" t="str">
        <f ca="1"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 ca="1">IF(Proc[[#This Row],[type]]="LFF (MDG-F)",MID(Proc[[#This Row],[Obj]],13,10),"")</f>
        <v/>
      </c>
      <c r="J1161" s="69" t="b">
        <f ca="1">Proc[[#This Row],[Requested]]=Proc[[#This Row],[CurrentParent]]</f>
        <v>1</v>
      </c>
      <c r="K1161" s="69" t="str">
        <f ca="1"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138" t="str">
        <f ca="1"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 ca="1">IF(Proc[[#This Row],[type]]="LFF (MDG-F)",MID(Proc[[#This Row],[Obj]],13,10),"")</f>
        <v/>
      </c>
      <c r="J1162" s="69" t="b">
        <f ca="1">Proc[[#This Row],[Requested]]=Proc[[#This Row],[CurrentParent]]</f>
        <v>1</v>
      </c>
      <c r="K1162" s="69" t="str">
        <f ca="1"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138" t="str">
        <f ca="1"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 ca="1">IF(Proc[[#This Row],[type]]="LFF (MDG-F)",MID(Proc[[#This Row],[Obj]],13,10),"")</f>
        <v>CH65R00020</v>
      </c>
      <c r="I1163" t="s">
        <v>2855</v>
      </c>
      <c r="J1163" s="69" t="b">
        <f ca="1">Proc[[#This Row],[Requested]]=Proc[[#This Row],[CurrentParent]]</f>
        <v>1</v>
      </c>
      <c r="K1163" s="69" t="str">
        <f ca="1"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138" t="str">
        <f ca="1"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 ca="1">IF(Proc[[#This Row],[type]]="LFF (MDG-F)",MID(Proc[[#This Row],[Obj]],13,10),"")</f>
        <v>CH65R00048</v>
      </c>
      <c r="I1164" s="72" t="s">
        <v>2855</v>
      </c>
      <c r="J1164" s="69" t="b">
        <f ca="1">Proc[[#This Row],[Requested]]=Proc[[#This Row],[CurrentParent]]</f>
        <v>1</v>
      </c>
      <c r="K1164" s="69" t="str">
        <f ca="1"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138" t="str">
        <f ca="1"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 ca="1">IF(Proc[[#This Row],[type]]="LFF (MDG-F)",MID(Proc[[#This Row],[Obj]],13,10),"")</f>
        <v>CH65R00050</v>
      </c>
      <c r="I1165" s="72" t="s">
        <v>2855</v>
      </c>
      <c r="J1165" s="69" t="b">
        <f ca="1">Proc[[#This Row],[Requested]]=Proc[[#This Row],[CurrentParent]]</f>
        <v>1</v>
      </c>
      <c r="K1165" s="69" t="str">
        <f ca="1"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138" t="str">
        <f ca="1"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 ca="1">IF(Proc[[#This Row],[type]]="LFF (MDG-F)",MID(Proc[[#This Row],[Obj]],13,10),"")</f>
        <v>CH65R00052</v>
      </c>
      <c r="I1166" s="72" t="s">
        <v>2855</v>
      </c>
      <c r="J1166" s="69" t="b">
        <f ca="1">Proc[[#This Row],[Requested]]=Proc[[#This Row],[CurrentParent]]</f>
        <v>1</v>
      </c>
      <c r="K1166" s="69" t="str">
        <f ca="1"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138" t="str">
        <f ca="1"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 ca="1">IF(Proc[[#This Row],[type]]="LFF (MDG-F)",MID(Proc[[#This Row],[Obj]],13,10),"")</f>
        <v/>
      </c>
      <c r="J1167" s="69" t="b">
        <f ca="1">Proc[[#This Row],[Requested]]=Proc[[#This Row],[CurrentParent]]</f>
        <v>1</v>
      </c>
      <c r="K1167" s="69" t="str">
        <f ca="1"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138" t="str">
        <f ca="1"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 ca="1">IF(Proc[[#This Row],[type]]="LFF (MDG-F)",MID(Proc[[#This Row],[Obj]],13,10),"")</f>
        <v/>
      </c>
      <c r="J1168" s="69" t="b">
        <f ca="1">Proc[[#This Row],[Requested]]=Proc[[#This Row],[CurrentParent]]</f>
        <v>1</v>
      </c>
      <c r="K1168" s="69" t="str">
        <f ca="1"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138" t="str">
        <f ca="1"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 ca="1">IF(Proc[[#This Row],[type]]="LFF (MDG-F)",MID(Proc[[#This Row],[Obj]],13,10),"")</f>
        <v/>
      </c>
      <c r="J1169" s="69" t="b">
        <f ca="1">Proc[[#This Row],[Requested]]=Proc[[#This Row],[CurrentParent]]</f>
        <v>1</v>
      </c>
      <c r="K1169" s="69" t="str">
        <f ca="1"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138" t="str">
        <f ca="1"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 ca="1">IF(Proc[[#This Row],[type]]="LFF (MDG-F)",MID(Proc[[#This Row],[Obj]],13,10),"")</f>
        <v/>
      </c>
      <c r="J1170" s="69" t="b">
        <f ca="1">Proc[[#This Row],[Requested]]=Proc[[#This Row],[CurrentParent]]</f>
        <v>1</v>
      </c>
      <c r="K1170" s="69" t="str">
        <f ca="1"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138" t="str">
        <f ca="1"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 ca="1">IF(Proc[[#This Row],[type]]="LFF (MDG-F)",MID(Proc[[#This Row],[Obj]],13,10),"")</f>
        <v/>
      </c>
      <c r="J1171" s="69" t="b">
        <f ca="1">Proc[[#This Row],[Requested]]=Proc[[#This Row],[CurrentParent]]</f>
        <v>1</v>
      </c>
      <c r="K1171" s="69" t="str">
        <f ca="1"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138" t="str">
        <f ca="1"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 ca="1">IF(Proc[[#This Row],[type]]="LFF (MDG-F)",MID(Proc[[#This Row],[Obj]],13,10),"")</f>
        <v/>
      </c>
      <c r="J1172" s="69" t="b">
        <f ca="1">Proc[[#This Row],[Requested]]=Proc[[#This Row],[CurrentParent]]</f>
        <v>1</v>
      </c>
      <c r="K1172" s="69" t="str">
        <f ca="1"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138" t="str">
        <f ca="1"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 ca="1">IF(Proc[[#This Row],[type]]="LFF (MDG-F)",MID(Proc[[#This Row],[Obj]],13,10),"")</f>
        <v/>
      </c>
      <c r="J1173" s="69" t="b">
        <f ca="1">Proc[[#This Row],[Requested]]=Proc[[#This Row],[CurrentParent]]</f>
        <v>1</v>
      </c>
      <c r="K1173" s="69" t="str">
        <f ca="1"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138" t="str">
        <f ca="1"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 ca="1">IF(Proc[[#This Row],[type]]="LFF (MDG-F)",MID(Proc[[#This Row],[Obj]],13,10),"")</f>
        <v>DE20675106</v>
      </c>
      <c r="I1174" t="s">
        <v>2871</v>
      </c>
      <c r="J1174" s="69" t="b">
        <f ca="1">Proc[[#This Row],[Requested]]=Proc[[#This Row],[CurrentParent]]</f>
        <v>1</v>
      </c>
      <c r="K1174" s="69" t="str">
        <f ca="1"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138" t="str">
        <f ca="1"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 ca="1">IF(Proc[[#This Row],[type]]="LFF (MDG-F)",MID(Proc[[#This Row],[Obj]],13,10),"")</f>
        <v/>
      </c>
      <c r="J1175" s="69" t="b">
        <f ca="1">Proc[[#This Row],[Requested]]=Proc[[#This Row],[CurrentParent]]</f>
        <v>1</v>
      </c>
      <c r="K1175" s="69" t="str">
        <f ca="1"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138" t="str">
        <f ca="1"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 ca="1">IF(Proc[[#This Row],[type]]="LFF (MDG-F)",MID(Proc[[#This Row],[Obj]],13,10),"")</f>
        <v>CN50R03152</v>
      </c>
      <c r="I1176" t="s">
        <v>2886</v>
      </c>
      <c r="J1176" s="69" t="b">
        <f ca="1">Proc[[#This Row],[Requested]]=Proc[[#This Row],[CurrentParent]]</f>
        <v>1</v>
      </c>
      <c r="K1176" s="69" t="str">
        <f ca="1"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138" t="str">
        <f ca="1"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 ca="1">IF(Proc[[#This Row],[type]]="LFF (MDG-F)",MID(Proc[[#This Row],[Obj]],13,10),"")</f>
        <v/>
      </c>
      <c r="I1177" t="s">
        <v>2887</v>
      </c>
      <c r="J1177" s="69" t="b">
        <f ca="1">Proc[[#This Row],[Requested]]=Proc[[#This Row],[CurrentParent]]</f>
        <v>1</v>
      </c>
      <c r="K1177" s="69" t="str">
        <f ca="1"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 ca="1">VLOOKUP(Proc[[#This Row],[Obj]],#REF!,2,0)</f>
        <v>#REF!</v>
      </c>
    </row>
    <row r="1178" spans="1:19" hidden="1">
      <c r="A1178" s="72" t="s">
        <v>2885</v>
      </c>
      <c r="B1178" s="138" t="str">
        <f ca="1"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 ca="1">IF(Proc[[#This Row],[type]]="LFF (MDG-F)",MID(Proc[[#This Row],[Obj]],13,10),"")</f>
        <v/>
      </c>
      <c r="I1178" s="72" t="s">
        <v>2887</v>
      </c>
      <c r="J1178" s="69" t="b">
        <f ca="1">Proc[[#This Row],[Requested]]=Proc[[#This Row],[CurrentParent]]</f>
        <v>1</v>
      </c>
      <c r="K1178" s="69" t="str">
        <f ca="1"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 ca="1">VLOOKUP(Proc[[#This Row],[Obj]],#REF!,2,0)</f>
        <v>#REF!</v>
      </c>
    </row>
    <row r="1179" spans="1:19" hidden="1">
      <c r="A1179" s="72" t="s">
        <v>2885</v>
      </c>
      <c r="B1179" s="138" t="str">
        <f ca="1"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 ca="1">IF(Proc[[#This Row],[type]]="LFF (MDG-F)",MID(Proc[[#This Row],[Obj]],13,10),"")</f>
        <v/>
      </c>
      <c r="I1179" s="72" t="s">
        <v>2887</v>
      </c>
      <c r="J1179" s="69" t="b">
        <f ca="1">Proc[[#This Row],[Requested]]=Proc[[#This Row],[CurrentParent]]</f>
        <v>1</v>
      </c>
      <c r="K1179" s="69" t="str">
        <f ca="1"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 ca="1">VLOOKUP(Proc[[#This Row],[Obj]],#REF!,2,0)</f>
        <v>#REF!</v>
      </c>
    </row>
    <row r="1180" spans="1:19" hidden="1">
      <c r="A1180" s="72" t="s">
        <v>2885</v>
      </c>
      <c r="B1180" s="138" t="str">
        <f ca="1"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 ca="1">IF(Proc[[#This Row],[type]]="LFF (MDG-F)",MID(Proc[[#This Row],[Obj]],13,10),"")</f>
        <v/>
      </c>
      <c r="I1180" s="72" t="s">
        <v>2887</v>
      </c>
      <c r="J1180" s="69" t="b">
        <f ca="1">Proc[[#This Row],[Requested]]=Proc[[#This Row],[CurrentParent]]</f>
        <v>1</v>
      </c>
      <c r="K1180" s="69" t="str">
        <f ca="1"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 ca="1">VLOOKUP(Proc[[#This Row],[Obj]],#REF!,2,0)</f>
        <v>#REF!</v>
      </c>
    </row>
    <row r="1181" spans="1:19" hidden="1">
      <c r="A1181" s="72" t="s">
        <v>2885</v>
      </c>
      <c r="B1181" s="138" t="str">
        <f ca="1"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 ca="1">IF(Proc[[#This Row],[type]]="LFF (MDG-F)",MID(Proc[[#This Row],[Obj]],13,10),"")</f>
        <v/>
      </c>
      <c r="I1181" s="72" t="s">
        <v>2887</v>
      </c>
      <c r="J1181" s="69" t="b">
        <f ca="1">Proc[[#This Row],[Requested]]=Proc[[#This Row],[CurrentParent]]</f>
        <v>1</v>
      </c>
      <c r="K1181" s="69" t="str">
        <f ca="1"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 ca="1">VLOOKUP(Proc[[#This Row],[Obj]],#REF!,2,0)</f>
        <v>#REF!</v>
      </c>
    </row>
    <row r="1182" spans="1:19" hidden="1">
      <c r="A1182" s="72" t="s">
        <v>2885</v>
      </c>
      <c r="B1182" s="138" t="str">
        <f ca="1"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 ca="1">IF(Proc[[#This Row],[type]]="LFF (MDG-F)",MID(Proc[[#This Row],[Obj]],13,10),"")</f>
        <v/>
      </c>
      <c r="I1182" s="72" t="s">
        <v>2887</v>
      </c>
      <c r="J1182" s="69" t="b">
        <f ca="1">Proc[[#This Row],[Requested]]=Proc[[#This Row],[CurrentParent]]</f>
        <v>1</v>
      </c>
      <c r="K1182" s="69" t="str">
        <f ca="1"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 ca="1">VLOOKUP(Proc[[#This Row],[Obj]],#REF!,2,0)</f>
        <v>#REF!</v>
      </c>
    </row>
    <row r="1183" spans="1:19" hidden="1">
      <c r="A1183" s="72" t="s">
        <v>2885</v>
      </c>
      <c r="B1183" s="138" t="str">
        <f ca="1"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 ca="1">IF(Proc[[#This Row],[type]]="LFF (MDG-F)",MID(Proc[[#This Row],[Obj]],13,10),"")</f>
        <v/>
      </c>
      <c r="I1183" s="72" t="s">
        <v>2887</v>
      </c>
      <c r="J1183" s="69" t="b">
        <f ca="1">Proc[[#This Row],[Requested]]=Proc[[#This Row],[CurrentParent]]</f>
        <v>1</v>
      </c>
      <c r="K1183" s="69" t="str">
        <f ca="1"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 ca="1">VLOOKUP(Proc[[#This Row],[Obj]],#REF!,2,0)</f>
        <v>#REF!</v>
      </c>
    </row>
    <row r="1184" spans="1:19" hidden="1">
      <c r="A1184" s="72" t="s">
        <v>2885</v>
      </c>
      <c r="B1184" s="138" t="str">
        <f ca="1"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 ca="1">IF(Proc[[#This Row],[type]]="LFF (MDG-F)",MID(Proc[[#This Row],[Obj]],13,10),"")</f>
        <v/>
      </c>
      <c r="I1184" s="72" t="s">
        <v>2887</v>
      </c>
      <c r="J1184" s="69" t="b">
        <f ca="1">Proc[[#This Row],[Requested]]=Proc[[#This Row],[CurrentParent]]</f>
        <v>1</v>
      </c>
      <c r="K1184" s="69" t="str">
        <f ca="1"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 ca="1">VLOOKUP(Proc[[#This Row],[Obj]],#REF!,2,0)</f>
        <v>#REF!</v>
      </c>
    </row>
    <row r="1185" spans="1:19" hidden="1">
      <c r="A1185" t="s">
        <v>2888</v>
      </c>
      <c r="B1185" s="138" t="str">
        <f ca="1"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 ca="1">IF(Proc[[#This Row],[type]]="LFF (MDG-F)",MID(Proc[[#This Row],[Obj]],13,10),"")</f>
        <v/>
      </c>
      <c r="J1185" s="69" t="b">
        <f ca="1">Proc[[#This Row],[Requested]]=Proc[[#This Row],[CurrentParent]]</f>
        <v>1</v>
      </c>
      <c r="K1185" s="69" t="str">
        <f ca="1"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138" t="str">
        <f ca="1"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 ca="1">IF(Proc[[#This Row],[type]]="LFF (MDG-F)",MID(Proc[[#This Row],[Obj]],13,10),"")</f>
        <v/>
      </c>
      <c r="J1186" s="69" t="b">
        <f ca="1">Proc[[#This Row],[Requested]]=Proc[[#This Row],[CurrentParent]]</f>
        <v>1</v>
      </c>
      <c r="K1186" s="69" t="str">
        <f ca="1"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138" t="str">
        <f ca="1"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 ca="1">IF(Proc[[#This Row],[type]]="LFF (MDG-F)",MID(Proc[[#This Row],[Obj]],13,10),"")</f>
        <v>2123GIT02F</v>
      </c>
      <c r="I1187" t="s">
        <v>3015</v>
      </c>
      <c r="J1187" s="69" t="b">
        <f ca="1">Proc[[#This Row],[Requested]]=Proc[[#This Row],[CurrentParent]]</f>
        <v>1</v>
      </c>
      <c r="K1187" s="69" t="str">
        <f ca="1"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138" t="str">
        <f ca="1"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 ca="1">IF(Proc[[#This Row],[type]]="LFF (MDG-F)",MID(Proc[[#This Row],[Obj]],13,10),"")</f>
        <v>2123GIT01F</v>
      </c>
      <c r="I1188" s="72" t="s">
        <v>3015</v>
      </c>
      <c r="J1188" s="69" t="b">
        <f ca="1">Proc[[#This Row],[Requested]]=Proc[[#This Row],[CurrentParent]]</f>
        <v>1</v>
      </c>
      <c r="K1188" s="69" t="str">
        <f ca="1"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138" t="str">
        <f ca="1"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 ca="1">IF(Proc[[#This Row],[type]]="LFF (MDG-F)",MID(Proc[[#This Row],[Obj]],13,10),"")</f>
        <v>US10GIT01F</v>
      </c>
      <c r="I1189" s="72" t="s">
        <v>3015</v>
      </c>
      <c r="J1189" s="69" t="b">
        <f ca="1">Proc[[#This Row],[Requested]]=Proc[[#This Row],[CurrentParent]]</f>
        <v>1</v>
      </c>
      <c r="K1189" s="69" t="str">
        <f ca="1"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138" t="str">
        <f ca="1"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 ca="1">IF(Proc[[#This Row],[type]]="LFF (MDG-F)",MID(Proc[[#This Row],[Obj]],13,10),"")</f>
        <v/>
      </c>
      <c r="J1190" s="69" t="b">
        <f ca="1">Proc[[#This Row],[Requested]]=Proc[[#This Row],[CurrentParent]]</f>
        <v>1</v>
      </c>
      <c r="K1190" s="69" t="str">
        <f ca="1"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138" t="str">
        <f ca="1"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 ca="1">IF(Proc[[#This Row],[type]]="LFF (MDG-F)",MID(Proc[[#This Row],[Obj]],13,10),"")</f>
        <v/>
      </c>
      <c r="J1191" s="69" t="b">
        <f ca="1">Proc[[#This Row],[Requested]]=Proc[[#This Row],[CurrentParent]]</f>
        <v>1</v>
      </c>
      <c r="K1191" s="69" t="str">
        <f ca="1"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138" t="str">
        <f ca="1"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 ca="1">IF(Proc[[#This Row],[type]]="LFF (MDG-F)",MID(Proc[[#This Row],[Obj]],13,10),"")</f>
        <v/>
      </c>
      <c r="J1192" s="69" t="b">
        <f ca="1">Proc[[#This Row],[Requested]]=Proc[[#This Row],[CurrentParent]]</f>
        <v>1</v>
      </c>
      <c r="K1192" s="69" t="str">
        <f ca="1"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138" t="str">
        <f ca="1"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 ca="1">IF(Proc[[#This Row],[type]]="LFF (MDG-F)",MID(Proc[[#This Row],[Obj]],13,10),"")</f>
        <v/>
      </c>
      <c r="J1193" s="69" t="b">
        <f ca="1">Proc[[#This Row],[Requested]]=Proc[[#This Row],[CurrentParent]]</f>
        <v>1</v>
      </c>
      <c r="K1193" s="69" t="str">
        <f ca="1"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138" t="str">
        <f ca="1"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 ca="1">IF(Proc[[#This Row],[type]]="LFF (MDG-F)",MID(Proc[[#This Row],[Obj]],13,10),"")</f>
        <v/>
      </c>
      <c r="J1194" s="69" t="b">
        <f ca="1">Proc[[#This Row],[Requested]]=Proc[[#This Row],[CurrentParent]]</f>
        <v>1</v>
      </c>
      <c r="K1194" s="69" t="str">
        <f ca="1"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138" t="str">
        <f ca="1"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 ca="1">IF(Proc[[#This Row],[type]]="LFF (MDG-F)",MID(Proc[[#This Row],[Obj]],13,10),"")</f>
        <v/>
      </c>
      <c r="J1195" s="69" t="b">
        <f ca="1">Proc[[#This Row],[Requested]]=Proc[[#This Row],[CurrentParent]]</f>
        <v>1</v>
      </c>
      <c r="K1195" s="69" t="str">
        <f ca="1"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138" t="str">
        <f ca="1"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 ca="1">IF(Proc[[#This Row],[type]]="LFF (MDG-F)",MID(Proc[[#This Row],[Obj]],13,10),"")</f>
        <v/>
      </c>
      <c r="J1196" s="69" t="b">
        <f ca="1">Proc[[#This Row],[Requested]]=Proc[[#This Row],[CurrentParent]]</f>
        <v>1</v>
      </c>
      <c r="K1196" s="69" t="str">
        <f ca="1"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138" t="str">
        <f ca="1"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 ca="1">IF(Proc[[#This Row],[type]]="LFF (MDG-F)",MID(Proc[[#This Row],[Obj]],13,10),"")</f>
        <v/>
      </c>
      <c r="J1197" s="69" t="b">
        <f ca="1">Proc[[#This Row],[Requested]]=Proc[[#This Row],[CurrentParent]]</f>
        <v>1</v>
      </c>
      <c r="K1197" s="69" t="str">
        <f ca="1"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138" t="str">
        <f ca="1"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 ca="1">IF(Proc[[#This Row],[type]]="LFF (MDG-F)",MID(Proc[[#This Row],[Obj]],13,10),"")</f>
        <v/>
      </c>
      <c r="J1198" s="69" t="b">
        <f ca="1">Proc[[#This Row],[Requested]]=Proc[[#This Row],[CurrentParent]]</f>
        <v>1</v>
      </c>
      <c r="K1198" s="69" t="str">
        <f ca="1"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138" t="str">
        <f ca="1"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 ca="1">IF(Proc[[#This Row],[type]]="LFF (MDG-F)",MID(Proc[[#This Row],[Obj]],13,10),"")</f>
        <v/>
      </c>
      <c r="J1199" s="69" t="b">
        <f ca="1">Proc[[#This Row],[Requested]]=Proc[[#This Row],[CurrentParent]]</f>
        <v>1</v>
      </c>
      <c r="K1199" s="69" t="str">
        <f ca="1"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138" t="str">
        <f ca="1"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 ca="1">IF(Proc[[#This Row],[type]]="LFF (MDG-F)",MID(Proc[[#This Row],[Obj]],13,10),"")</f>
        <v/>
      </c>
      <c r="J1200" s="69" t="b">
        <f ca="1">Proc[[#This Row],[Requested]]=Proc[[#This Row],[CurrentParent]]</f>
        <v>1</v>
      </c>
      <c r="K1200" s="69" t="str">
        <f ca="1"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138" t="str">
        <f ca="1"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 ca="1">IF(Proc[[#This Row],[type]]="LFF (MDG-F)",MID(Proc[[#This Row],[Obj]],13,10),"")</f>
        <v/>
      </c>
      <c r="J1201" s="69" t="b">
        <f ca="1">Proc[[#This Row],[Requested]]=Proc[[#This Row],[CurrentParent]]</f>
        <v>1</v>
      </c>
      <c r="K1201" s="69" t="str">
        <f ca="1"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138" t="str">
        <f ca="1"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 ca="1">IF(Proc[[#This Row],[type]]="LFF (MDG-F)",MID(Proc[[#This Row],[Obj]],13,10),"")</f>
        <v/>
      </c>
      <c r="J1202" s="69" t="b">
        <f ca="1">Proc[[#This Row],[Requested]]=Proc[[#This Row],[CurrentParent]]</f>
        <v>1</v>
      </c>
      <c r="K1202" s="69" t="str">
        <f ca="1"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138" t="str">
        <f ca="1"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 ca="1">IF(Proc[[#This Row],[type]]="LFF (MDG-F)",MID(Proc[[#This Row],[Obj]],13,10),"")</f>
        <v/>
      </c>
      <c r="J1203" s="69" t="b">
        <f ca="1">Proc[[#This Row],[Requested]]=Proc[[#This Row],[CurrentParent]]</f>
        <v>1</v>
      </c>
      <c r="K1203" s="69" t="str">
        <f ca="1"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138" t="str">
        <f ca="1"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 ca="1">IF(Proc[[#This Row],[type]]="LFF (MDG-F)",MID(Proc[[#This Row],[Obj]],13,10),"")</f>
        <v/>
      </c>
      <c r="J1204" s="69" t="b">
        <f ca="1">Proc[[#This Row],[Requested]]=Proc[[#This Row],[CurrentParent]]</f>
        <v>1</v>
      </c>
      <c r="K1204" s="69" t="str">
        <f ca="1"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138" t="str">
        <f ca="1"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 ca="1">IF(Proc[[#This Row],[type]]="LFF (MDG-F)",MID(Proc[[#This Row],[Obj]],13,10),"")</f>
        <v/>
      </c>
      <c r="J1205" s="69" t="b">
        <f ca="1">Proc[[#This Row],[Requested]]=Proc[[#This Row],[CurrentParent]]</f>
        <v>1</v>
      </c>
      <c r="K1205" s="69" t="str">
        <f ca="1"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138" t="str">
        <f ca="1"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 ca="1">IF(Proc[[#This Row],[type]]="LFF (MDG-F)",MID(Proc[[#This Row],[Obj]],13,10),"")</f>
        <v/>
      </c>
      <c r="J1206" s="69" t="b">
        <f ca="1">Proc[[#This Row],[Requested]]=Proc[[#This Row],[CurrentParent]]</f>
        <v>1</v>
      </c>
      <c r="K1206" s="69" t="str">
        <f ca="1"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138" t="str">
        <f ca="1"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 ca="1">IF(Proc[[#This Row],[type]]="LFF (MDG-F)",MID(Proc[[#This Row],[Obj]],13,10),"")</f>
        <v/>
      </c>
      <c r="J1207" s="69" t="b">
        <f ca="1">Proc[[#This Row],[Requested]]=Proc[[#This Row],[CurrentParent]]</f>
        <v>1</v>
      </c>
      <c r="K1207" s="69" t="str">
        <f ca="1"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138" t="str">
        <f ca="1"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 ca="1">IF(Proc[[#This Row],[type]]="LFF (MDG-F)",MID(Proc[[#This Row],[Obj]],13,10),"")</f>
        <v/>
      </c>
      <c r="J1208" s="69" t="b">
        <f ca="1">Proc[[#This Row],[Requested]]=Proc[[#This Row],[CurrentParent]]</f>
        <v>1</v>
      </c>
      <c r="K1208" s="69" t="str">
        <f ca="1"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138" t="str">
        <f ca="1"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 ca="1">IF(Proc[[#This Row],[type]]="LFF (MDG-F)",MID(Proc[[#This Row],[Obj]],13,10),"")</f>
        <v/>
      </c>
      <c r="J1209" s="69" t="b">
        <f ca="1">Proc[[#This Row],[Requested]]=Proc[[#This Row],[CurrentParent]]</f>
        <v>1</v>
      </c>
      <c r="K1209" s="69" t="str">
        <f ca="1"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138" t="str">
        <f ca="1"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 ca="1">IF(Proc[[#This Row],[type]]="LFF (MDG-F)",MID(Proc[[#This Row],[Obj]],13,10),"")</f>
        <v/>
      </c>
      <c r="J1210" s="69" t="b">
        <f ca="1">Proc[[#This Row],[Requested]]=Proc[[#This Row],[CurrentParent]]</f>
        <v>1</v>
      </c>
      <c r="K1210" s="69" t="str">
        <f ca="1"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138" t="str">
        <f ca="1"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 ca="1">IF(Proc[[#This Row],[type]]="LFF (MDG-F)",MID(Proc[[#This Row],[Obj]],13,10),"")</f>
        <v/>
      </c>
      <c r="J1211" s="69" t="b">
        <f ca="1">Proc[[#This Row],[Requested]]=Proc[[#This Row],[CurrentParent]]</f>
        <v>1</v>
      </c>
      <c r="K1211" s="69" t="str">
        <f ca="1"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138" t="str">
        <f ca="1"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 ca="1">IF(Proc[[#This Row],[type]]="LFF (MDG-F)",MID(Proc[[#This Row],[Obj]],13,10),"")</f>
        <v/>
      </c>
      <c r="J1212" s="69" t="b">
        <f ca="1">Proc[[#This Row],[Requested]]=Proc[[#This Row],[CurrentParent]]</f>
        <v>1</v>
      </c>
      <c r="K1212" s="69" t="str">
        <f ca="1"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138" t="str">
        <f ca="1"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 ca="1">IF(Proc[[#This Row],[type]]="LFF (MDG-F)",MID(Proc[[#This Row],[Obj]],13,10),"")</f>
        <v/>
      </c>
      <c r="J1213" s="69" t="b">
        <f ca="1">Proc[[#This Row],[Requested]]=Proc[[#This Row],[CurrentParent]]</f>
        <v>1</v>
      </c>
      <c r="K1213" s="69" t="str">
        <f ca="1"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138" t="str">
        <f ca="1"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 ca="1">IF(Proc[[#This Row],[type]]="LFF (MDG-F)",MID(Proc[[#This Row],[Obj]],13,10),"")</f>
        <v/>
      </c>
      <c r="J1214" s="69" t="b">
        <f ca="1">Proc[[#This Row],[Requested]]=Proc[[#This Row],[CurrentParent]]</f>
        <v>1</v>
      </c>
      <c r="K1214" s="69" t="str">
        <f ca="1"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138" t="str">
        <f ca="1"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 ca="1">IF(Proc[[#This Row],[type]]="LFF (MDG-F)",MID(Proc[[#This Row],[Obj]],13,10),"")</f>
        <v/>
      </c>
      <c r="J1215" s="69" t="b">
        <f ca="1">Proc[[#This Row],[Requested]]=Proc[[#This Row],[CurrentParent]]</f>
        <v>1</v>
      </c>
      <c r="K1215" s="69" t="str">
        <f ca="1"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138" t="str">
        <f ca="1"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 ca="1">IF(Proc[[#This Row],[type]]="LFF (MDG-F)",MID(Proc[[#This Row],[Obj]],13,10),"")</f>
        <v/>
      </c>
      <c r="J1216" s="69" t="b">
        <f ca="1">Proc[[#This Row],[Requested]]=Proc[[#This Row],[CurrentParent]]</f>
        <v>1</v>
      </c>
      <c r="K1216" s="69" t="str">
        <f ca="1"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138" t="str">
        <f ca="1"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 ca="1">IF(Proc[[#This Row],[type]]="LFF (MDG-F)",MID(Proc[[#This Row],[Obj]],13,10),"")</f>
        <v/>
      </c>
      <c r="J1217" s="69" t="b">
        <f ca="1">Proc[[#This Row],[Requested]]=Proc[[#This Row],[CurrentParent]]</f>
        <v>1</v>
      </c>
      <c r="K1217" s="69" t="str">
        <f ca="1"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138" t="str">
        <f ca="1"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 ca="1">IF(Proc[[#This Row],[type]]="LFF (MDG-F)",MID(Proc[[#This Row],[Obj]],13,10),"")</f>
        <v/>
      </c>
      <c r="J1218" s="69" t="b">
        <f ca="1">Proc[[#This Row],[Requested]]=Proc[[#This Row],[CurrentParent]]</f>
        <v>1</v>
      </c>
      <c r="K1218" s="69" t="str">
        <f ca="1"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138" t="str">
        <f ca="1"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 ca="1">IF(Proc[[#This Row],[type]]="LFF (MDG-F)",MID(Proc[[#This Row],[Obj]],13,10),"")</f>
        <v/>
      </c>
      <c r="J1219" s="69" t="b">
        <f ca="1">Proc[[#This Row],[Requested]]=Proc[[#This Row],[CurrentParent]]</f>
        <v>1</v>
      </c>
      <c r="K1219" s="69" t="str">
        <f ca="1"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138" t="str">
        <f ca="1"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 ca="1">IF(Proc[[#This Row],[type]]="LFF (MDG-F)",MID(Proc[[#This Row],[Obj]],13,10),"")</f>
        <v/>
      </c>
      <c r="J1220" s="69" t="b">
        <f ca="1">Proc[[#This Row],[Requested]]=Proc[[#This Row],[CurrentParent]]</f>
        <v>1</v>
      </c>
      <c r="K1220" s="69" t="str">
        <f ca="1"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138" t="str">
        <f ca="1"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 ca="1">IF(Proc[[#This Row],[type]]="LFF (MDG-F)",MID(Proc[[#This Row],[Obj]],13,10),"")</f>
        <v/>
      </c>
      <c r="J1221" s="69" t="b">
        <f ca="1">Proc[[#This Row],[Requested]]=Proc[[#This Row],[CurrentParent]]</f>
        <v>1</v>
      </c>
      <c r="K1221" s="69" t="str">
        <f ca="1"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138" t="str">
        <f ca="1"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 ca="1">IF(Proc[[#This Row],[type]]="LFF (MDG-F)",MID(Proc[[#This Row],[Obj]],13,10),"")</f>
        <v/>
      </c>
      <c r="J1222" s="69" t="b">
        <f ca="1">Proc[[#This Row],[Requested]]=Proc[[#This Row],[CurrentParent]]</f>
        <v>1</v>
      </c>
      <c r="K1222" s="69" t="str">
        <f ca="1"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138" t="str">
        <f ca="1"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 ca="1">IF(Proc[[#This Row],[type]]="LFF (MDG-F)",MID(Proc[[#This Row],[Obj]],13,10),"")</f>
        <v/>
      </c>
      <c r="J1223" s="69" t="b">
        <f ca="1">Proc[[#This Row],[Requested]]=Proc[[#This Row],[CurrentParent]]</f>
        <v>1</v>
      </c>
      <c r="K1223" s="69" t="str">
        <f ca="1"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138" t="str">
        <f ca="1"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 ca="1">IF(Proc[[#This Row],[type]]="LFF (MDG-F)",MID(Proc[[#This Row],[Obj]],13,10),"")</f>
        <v/>
      </c>
      <c r="J1224" s="69" t="b">
        <f ca="1">Proc[[#This Row],[Requested]]=Proc[[#This Row],[CurrentParent]]</f>
        <v>1</v>
      </c>
      <c r="K1224" s="69" t="str">
        <f ca="1"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138" t="str">
        <f ca="1"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 ca="1">IF(Proc[[#This Row],[type]]="LFF (MDG-F)",MID(Proc[[#This Row],[Obj]],13,10),"")</f>
        <v/>
      </c>
      <c r="J1225" s="69" t="b">
        <f ca="1">Proc[[#This Row],[Requested]]=Proc[[#This Row],[CurrentParent]]</f>
        <v>1</v>
      </c>
      <c r="K1225" s="69" t="str">
        <f ca="1"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138" t="str">
        <f ca="1"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 ca="1">IF(Proc[[#This Row],[type]]="LFF (MDG-F)",MID(Proc[[#This Row],[Obj]],13,10),"")</f>
        <v/>
      </c>
      <c r="J1226" s="69" t="b">
        <f ca="1">Proc[[#This Row],[Requested]]=Proc[[#This Row],[CurrentParent]]</f>
        <v>1</v>
      </c>
      <c r="K1226" s="69" t="str">
        <f ca="1"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138" t="str">
        <f ca="1"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 ca="1">IF(Proc[[#This Row],[type]]="LFF (MDG-F)",MID(Proc[[#This Row],[Obj]],13,10),"")</f>
        <v/>
      </c>
      <c r="J1227" s="69" t="b">
        <f ca="1">Proc[[#This Row],[Requested]]=Proc[[#This Row],[CurrentParent]]</f>
        <v>1</v>
      </c>
      <c r="K1227" s="69" t="str">
        <f ca="1"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138" t="str">
        <f ca="1"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 ca="1">IF(Proc[[#This Row],[type]]="LFF (MDG-F)",MID(Proc[[#This Row],[Obj]],13,10),"")</f>
        <v/>
      </c>
      <c r="J1228" s="69" t="b">
        <f ca="1">Proc[[#This Row],[Requested]]=Proc[[#This Row],[CurrentParent]]</f>
        <v>1</v>
      </c>
      <c r="K1228" s="69" t="str">
        <f ca="1"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138" t="str">
        <f ca="1"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 ca="1">IF(Proc[[#This Row],[type]]="LFF (MDG-F)",MID(Proc[[#This Row],[Obj]],13,10),"")</f>
        <v/>
      </c>
      <c r="J1229" s="69" t="b">
        <f ca="1">Proc[[#This Row],[Requested]]=Proc[[#This Row],[CurrentParent]]</f>
        <v>1</v>
      </c>
      <c r="K1229" s="69" t="str">
        <f ca="1"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138" t="str">
        <f ca="1"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 ca="1">IF(Proc[[#This Row],[type]]="LFF (MDG-F)",MID(Proc[[#This Row],[Obj]],13,10),"")</f>
        <v/>
      </c>
      <c r="J1230" s="69" t="b">
        <f ca="1">Proc[[#This Row],[Requested]]=Proc[[#This Row],[CurrentParent]]</f>
        <v>1</v>
      </c>
      <c r="K1230" s="69" t="str">
        <f ca="1"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138" t="str">
        <f ca="1"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 ca="1">IF(Proc[[#This Row],[type]]="LFF (MDG-F)",MID(Proc[[#This Row],[Obj]],13,10),"")</f>
        <v/>
      </c>
      <c r="J1231" s="69" t="b">
        <f ca="1">Proc[[#This Row],[Requested]]=Proc[[#This Row],[CurrentParent]]</f>
        <v>1</v>
      </c>
      <c r="K1231" s="69" t="str">
        <f ca="1"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138" t="str">
        <f ca="1"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 ca="1">IF(Proc[[#This Row],[type]]="LFF (MDG-F)",MID(Proc[[#This Row],[Obj]],13,10),"")</f>
        <v/>
      </c>
      <c r="J1232" s="69" t="b">
        <f ca="1">Proc[[#This Row],[Requested]]=Proc[[#This Row],[CurrentParent]]</f>
        <v>1</v>
      </c>
      <c r="K1232" s="69" t="str">
        <f ca="1"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138" t="str">
        <f ca="1"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 ca="1">IF(Proc[[#This Row],[type]]="LFF (MDG-F)",MID(Proc[[#This Row],[Obj]],13,10),"")</f>
        <v/>
      </c>
      <c r="J1233" s="69" t="b">
        <f ca="1">Proc[[#This Row],[Requested]]=Proc[[#This Row],[CurrentParent]]</f>
        <v>1</v>
      </c>
      <c r="K1233" s="69" t="str">
        <f ca="1"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138" t="str">
        <f ca="1"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 ca="1">IF(Proc[[#This Row],[type]]="LFF (MDG-F)",MID(Proc[[#This Row],[Obj]],13,10),"")</f>
        <v/>
      </c>
      <c r="J1234" s="69" t="b">
        <f ca="1">Proc[[#This Row],[Requested]]=Proc[[#This Row],[CurrentParent]]</f>
        <v>1</v>
      </c>
      <c r="K1234" s="69" t="str">
        <f ca="1"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138" t="str">
        <f ca="1"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 ca="1">IF(Proc[[#This Row],[type]]="LFF (MDG-F)",MID(Proc[[#This Row],[Obj]],13,10),"")</f>
        <v/>
      </c>
      <c r="J1235" s="69" t="b">
        <f ca="1">Proc[[#This Row],[Requested]]=Proc[[#This Row],[CurrentParent]]</f>
        <v>1</v>
      </c>
      <c r="K1235" s="69" t="str">
        <f ca="1"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138" t="str">
        <f ca="1"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 ca="1">IF(Proc[[#This Row],[type]]="LFF (MDG-F)",MID(Proc[[#This Row],[Obj]],13,10),"")</f>
        <v/>
      </c>
      <c r="J1236" s="69" t="b">
        <f ca="1">Proc[[#This Row],[Requested]]=Proc[[#This Row],[CurrentParent]]</f>
        <v>1</v>
      </c>
      <c r="K1236" s="69" t="str">
        <f ca="1"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138" t="str">
        <f ca="1"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 ca="1">IF(Proc[[#This Row],[type]]="LFF (MDG-F)",MID(Proc[[#This Row],[Obj]],13,10),"")</f>
        <v/>
      </c>
      <c r="J1237" s="69" t="b">
        <f ca="1">Proc[[#This Row],[Requested]]=Proc[[#This Row],[CurrentParent]]</f>
        <v>1</v>
      </c>
      <c r="K1237" s="69" t="str">
        <f ca="1"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138" t="str">
        <f ca="1"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 ca="1">IF(Proc[[#This Row],[type]]="LFF (MDG-F)",MID(Proc[[#This Row],[Obj]],13,10),"")</f>
        <v/>
      </c>
      <c r="J1238" s="69" t="b">
        <f ca="1">Proc[[#This Row],[Requested]]=Proc[[#This Row],[CurrentParent]]</f>
        <v>1</v>
      </c>
      <c r="K1238" s="69" t="str">
        <f ca="1"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138" t="str">
        <f ca="1"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 ca="1">IF(Proc[[#This Row],[type]]="LFF (MDG-F)",MID(Proc[[#This Row],[Obj]],13,10),"")</f>
        <v/>
      </c>
      <c r="J1239" s="69" t="b">
        <f ca="1">Proc[[#This Row],[Requested]]=Proc[[#This Row],[CurrentParent]]</f>
        <v>1</v>
      </c>
      <c r="K1239" s="69" t="str">
        <f ca="1"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138" t="str">
        <f ca="1"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 ca="1">IF(Proc[[#This Row],[type]]="LFF (MDG-F)",MID(Proc[[#This Row],[Obj]],13,10),"")</f>
        <v/>
      </c>
      <c r="J1240" s="69" t="b">
        <f ca="1">Proc[[#This Row],[Requested]]=Proc[[#This Row],[CurrentParent]]</f>
        <v>1</v>
      </c>
      <c r="K1240" s="69" t="str">
        <f ca="1"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138" t="str">
        <f ca="1"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 ca="1">IF(Proc[[#This Row],[type]]="LFF (MDG-F)",MID(Proc[[#This Row],[Obj]],13,10),"")</f>
        <v/>
      </c>
      <c r="J1241" s="69" t="b">
        <f ca="1">Proc[[#This Row],[Requested]]=Proc[[#This Row],[CurrentParent]]</f>
        <v>1</v>
      </c>
      <c r="K1241" s="69" t="str">
        <f ca="1"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138" t="str">
        <f ca="1"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 ca="1">IF(Proc[[#This Row],[type]]="LFF (MDG-F)",MID(Proc[[#This Row],[Obj]],13,10),"")</f>
        <v/>
      </c>
      <c r="J1242" s="69" t="b">
        <f ca="1">Proc[[#This Row],[Requested]]=Proc[[#This Row],[CurrentParent]]</f>
        <v>1</v>
      </c>
      <c r="K1242" s="69" t="str">
        <f ca="1"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138" t="str">
        <f ca="1"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 ca="1">IF(Proc[[#This Row],[type]]="LFF (MDG-F)",MID(Proc[[#This Row],[Obj]],13,10),"")</f>
        <v/>
      </c>
      <c r="J1243" s="69" t="b">
        <f ca="1">Proc[[#This Row],[Requested]]=Proc[[#This Row],[CurrentParent]]</f>
        <v>1</v>
      </c>
      <c r="K1243" s="69" t="str">
        <f ca="1"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138" t="str">
        <f ca="1"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 ca="1">IF(Proc[[#This Row],[type]]="LFF (MDG-F)",MID(Proc[[#This Row],[Obj]],13,10),"")</f>
        <v/>
      </c>
      <c r="J1244" s="69" t="b">
        <f ca="1">Proc[[#This Row],[Requested]]=Proc[[#This Row],[CurrentParent]]</f>
        <v>1</v>
      </c>
      <c r="K1244" s="69" t="str">
        <f ca="1"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138" t="str">
        <f ca="1"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 ca="1">IF(Proc[[#This Row],[type]]="LFF (MDG-F)",MID(Proc[[#This Row],[Obj]],13,10),"")</f>
        <v/>
      </c>
      <c r="J1245" s="69" t="b">
        <f ca="1">Proc[[#This Row],[Requested]]=Proc[[#This Row],[CurrentParent]]</f>
        <v>1</v>
      </c>
      <c r="K1245" s="69" t="str">
        <f ca="1"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138" t="str">
        <f ca="1"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 ca="1">IF(Proc[[#This Row],[type]]="LFF (MDG-F)",MID(Proc[[#This Row],[Obj]],13,10),"")</f>
        <v/>
      </c>
      <c r="J1246" s="69" t="b">
        <f ca="1">Proc[[#This Row],[Requested]]=Proc[[#This Row],[CurrentParent]]</f>
        <v>1</v>
      </c>
      <c r="K1246" s="69" t="str">
        <f ca="1"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138" t="str">
        <f ca="1"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 ca="1">IF(Proc[[#This Row],[type]]="LFF (MDG-F)",MID(Proc[[#This Row],[Obj]],13,10),"")</f>
        <v/>
      </c>
      <c r="J1247" s="69" t="b">
        <f ca="1">Proc[[#This Row],[Requested]]=Proc[[#This Row],[CurrentParent]]</f>
        <v>1</v>
      </c>
      <c r="K1247" s="69" t="str">
        <f ca="1"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138" t="str">
        <f ca="1"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 ca="1">IF(Proc[[#This Row],[type]]="LFF (MDG-F)",MID(Proc[[#This Row],[Obj]],13,10),"")</f>
        <v/>
      </c>
      <c r="J1248" s="69" t="b">
        <f ca="1">Proc[[#This Row],[Requested]]=Proc[[#This Row],[CurrentParent]]</f>
        <v>1</v>
      </c>
      <c r="K1248" s="69" t="str">
        <f ca="1"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138" t="str">
        <f ca="1"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 ca="1">IF(Proc[[#This Row],[type]]="LFF (MDG-F)",MID(Proc[[#This Row],[Obj]],13,10),"")</f>
        <v/>
      </c>
      <c r="J1249" s="69" t="b">
        <f ca="1">Proc[[#This Row],[Requested]]=Proc[[#This Row],[CurrentParent]]</f>
        <v>1</v>
      </c>
      <c r="K1249" s="69" t="str">
        <f ca="1"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138" t="str">
        <f ca="1"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 ca="1">IF(Proc[[#This Row],[type]]="LFF (MDG-F)",MID(Proc[[#This Row],[Obj]],13,10),"")</f>
        <v/>
      </c>
      <c r="J1250" s="69" t="b">
        <f ca="1">Proc[[#This Row],[Requested]]=Proc[[#This Row],[CurrentParent]]</f>
        <v>1</v>
      </c>
      <c r="K1250" s="69" t="str">
        <f ca="1"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138" t="str">
        <f ca="1"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 ca="1">IF(Proc[[#This Row],[type]]="LFF (MDG-F)",MID(Proc[[#This Row],[Obj]],13,10),"")</f>
        <v/>
      </c>
      <c r="J1251" s="69" t="b">
        <f ca="1">Proc[[#This Row],[Requested]]=Proc[[#This Row],[CurrentParent]]</f>
        <v>1</v>
      </c>
      <c r="K1251" s="69" t="str">
        <f ca="1"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138" t="str">
        <f ca="1"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 ca="1">IF(Proc[[#This Row],[type]]="LFF (MDG-F)",MID(Proc[[#This Row],[Obj]],13,10),"")</f>
        <v/>
      </c>
      <c r="J1252" s="69" t="b">
        <f ca="1">Proc[[#This Row],[Requested]]=Proc[[#This Row],[CurrentParent]]</f>
        <v>1</v>
      </c>
      <c r="K1252" s="69" t="str">
        <f ca="1"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138" t="str">
        <f ca="1"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 ca="1">IF(Proc[[#This Row],[type]]="LFF (MDG-F)",MID(Proc[[#This Row],[Obj]],13,10),"")</f>
        <v/>
      </c>
      <c r="J1253" s="69" t="b">
        <f ca="1">Proc[[#This Row],[Requested]]=Proc[[#This Row],[CurrentParent]]</f>
        <v>1</v>
      </c>
      <c r="K1253" s="69" t="str">
        <f ca="1"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138" t="str">
        <f ca="1"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 ca="1">IF(Proc[[#This Row],[type]]="LFF (MDG-F)",MID(Proc[[#This Row],[Obj]],13,10),"")</f>
        <v/>
      </c>
      <c r="J1254" s="69" t="b">
        <f ca="1">Proc[[#This Row],[Requested]]=Proc[[#This Row],[CurrentParent]]</f>
        <v>1</v>
      </c>
      <c r="K1254" s="69" t="str">
        <f ca="1"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138" t="str">
        <f ca="1"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 ca="1">IF(Proc[[#This Row],[type]]="LFF (MDG-F)",MID(Proc[[#This Row],[Obj]],13,10),"")</f>
        <v/>
      </c>
      <c r="J1255" s="69" t="b">
        <f ca="1">Proc[[#This Row],[Requested]]=Proc[[#This Row],[CurrentParent]]</f>
        <v>1</v>
      </c>
      <c r="K1255" s="69" t="str">
        <f ca="1"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138" t="str">
        <f ca="1"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 ca="1">IF(Proc[[#This Row],[type]]="LFF (MDG-F)",MID(Proc[[#This Row],[Obj]],13,10),"")</f>
        <v/>
      </c>
      <c r="J1256" s="69" t="b">
        <f ca="1">Proc[[#This Row],[Requested]]=Proc[[#This Row],[CurrentParent]]</f>
        <v>1</v>
      </c>
      <c r="K1256" s="69" t="str">
        <f ca="1"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138" t="str">
        <f ca="1"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 ca="1">IF(Proc[[#This Row],[type]]="LFF (MDG-F)",MID(Proc[[#This Row],[Obj]],13,10),"")</f>
        <v/>
      </c>
      <c r="J1257" s="69" t="b">
        <f ca="1">Proc[[#This Row],[Requested]]=Proc[[#This Row],[CurrentParent]]</f>
        <v>1</v>
      </c>
      <c r="K1257" s="69" t="str">
        <f ca="1"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138" t="str">
        <f ca="1"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 ca="1">IF(Proc[[#This Row],[type]]="LFF (MDG-F)",MID(Proc[[#This Row],[Obj]],13,10),"")</f>
        <v/>
      </c>
      <c r="J1258" s="69" t="b">
        <f ca="1">Proc[[#This Row],[Requested]]=Proc[[#This Row],[CurrentParent]]</f>
        <v>1</v>
      </c>
      <c r="K1258" s="69" t="str">
        <f ca="1"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138" t="str">
        <f ca="1"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 ca="1">IF(Proc[[#This Row],[type]]="LFF (MDG-F)",MID(Proc[[#This Row],[Obj]],13,10),"")</f>
        <v/>
      </c>
      <c r="J1259" s="69" t="b">
        <f ca="1">Proc[[#This Row],[Requested]]=Proc[[#This Row],[CurrentParent]]</f>
        <v>1</v>
      </c>
      <c r="K1259" s="69" t="str">
        <f ca="1"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138" t="str">
        <f ca="1"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 ca="1">IF(Proc[[#This Row],[type]]="LFF (MDG-F)",MID(Proc[[#This Row],[Obj]],13,10),"")</f>
        <v/>
      </c>
      <c r="J1260" s="69" t="b">
        <f ca="1">Proc[[#This Row],[Requested]]=Proc[[#This Row],[CurrentParent]]</f>
        <v>1</v>
      </c>
      <c r="K1260" s="69" t="str">
        <f ca="1"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138" t="str">
        <f ca="1"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 ca="1">IF(Proc[[#This Row],[type]]="LFF (MDG-F)",MID(Proc[[#This Row],[Obj]],13,10),"")</f>
        <v/>
      </c>
      <c r="J1261" s="69" t="b">
        <f ca="1">Proc[[#This Row],[Requested]]=Proc[[#This Row],[CurrentParent]]</f>
        <v>1</v>
      </c>
      <c r="K1261" s="69" t="str">
        <f ca="1"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138" t="str">
        <f ca="1"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 ca="1">IF(Proc[[#This Row],[type]]="LFF (MDG-F)",MID(Proc[[#This Row],[Obj]],13,10),"")</f>
        <v/>
      </c>
      <c r="J1262" s="69" t="b">
        <f ca="1">Proc[[#This Row],[Requested]]=Proc[[#This Row],[CurrentParent]]</f>
        <v>1</v>
      </c>
      <c r="K1262" s="69" t="str">
        <f ca="1"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138" t="str">
        <f ca="1"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 ca="1">IF(Proc[[#This Row],[type]]="LFF (MDG-F)",MID(Proc[[#This Row],[Obj]],13,10),"")</f>
        <v/>
      </c>
      <c r="J1263" s="69" t="b">
        <f ca="1">Proc[[#This Row],[Requested]]=Proc[[#This Row],[CurrentParent]]</f>
        <v>1</v>
      </c>
      <c r="K1263" s="69" t="str">
        <f ca="1"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138" t="str">
        <f ca="1"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 ca="1">IF(Proc[[#This Row],[type]]="LFF (MDG-F)",MID(Proc[[#This Row],[Obj]],13,10),"")</f>
        <v/>
      </c>
      <c r="J1264" s="69" t="b">
        <f ca="1">Proc[[#This Row],[Requested]]=Proc[[#This Row],[CurrentParent]]</f>
        <v>1</v>
      </c>
      <c r="K1264" s="69" t="str">
        <f ca="1"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138" t="str">
        <f ca="1"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 ca="1">IF(Proc[[#This Row],[type]]="LFF (MDG-F)",MID(Proc[[#This Row],[Obj]],13,10),"")</f>
        <v/>
      </c>
      <c r="J1265" s="69" t="b">
        <f ca="1">Proc[[#This Row],[Requested]]=Proc[[#This Row],[CurrentParent]]</f>
        <v>1</v>
      </c>
      <c r="K1265" s="69" t="str">
        <f ca="1"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138" t="str">
        <f ca="1"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 ca="1">IF(Proc[[#This Row],[type]]="LFF (MDG-F)",MID(Proc[[#This Row],[Obj]],13,10),"")</f>
        <v/>
      </c>
      <c r="J1266" s="69" t="b">
        <f ca="1">Proc[[#This Row],[Requested]]=Proc[[#This Row],[CurrentParent]]</f>
        <v>1</v>
      </c>
      <c r="K1266" s="69" t="str">
        <f ca="1"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138" t="str">
        <f ca="1"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 ca="1">IF(Proc[[#This Row],[type]]="LFF (MDG-F)",MID(Proc[[#This Row],[Obj]],13,10),"")</f>
        <v/>
      </c>
      <c r="J1267" s="69" t="b">
        <f ca="1">Proc[[#This Row],[Requested]]=Proc[[#This Row],[CurrentParent]]</f>
        <v>1</v>
      </c>
      <c r="K1267" s="69" t="str">
        <f ca="1"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138" t="str">
        <f ca="1"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 ca="1">IF(Proc[[#This Row],[type]]="LFF (MDG-F)",MID(Proc[[#This Row],[Obj]],13,10),"")</f>
        <v/>
      </c>
      <c r="J1268" s="69" t="b">
        <f ca="1">Proc[[#This Row],[Requested]]=Proc[[#This Row],[CurrentParent]]</f>
        <v>1</v>
      </c>
      <c r="K1268" s="69" t="str">
        <f ca="1"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138" t="str">
        <f ca="1"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 ca="1">IF(Proc[[#This Row],[type]]="LFF (MDG-F)",MID(Proc[[#This Row],[Obj]],13,10),"")</f>
        <v/>
      </c>
      <c r="J1269" s="69" t="b">
        <f ca="1">Proc[[#This Row],[Requested]]=Proc[[#This Row],[CurrentParent]]</f>
        <v>1</v>
      </c>
      <c r="K1269" s="69" t="str">
        <f ca="1"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138" t="str">
        <f ca="1"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 ca="1">IF(Proc[[#This Row],[type]]="LFF (MDG-F)",MID(Proc[[#This Row],[Obj]],13,10),"")</f>
        <v/>
      </c>
      <c r="J1270" s="69" t="b">
        <f ca="1">Proc[[#This Row],[Requested]]=Proc[[#This Row],[CurrentParent]]</f>
        <v>1</v>
      </c>
      <c r="K1270" s="69" t="str">
        <f ca="1"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138" t="str">
        <f ca="1"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 ca="1">IF(Proc[[#This Row],[type]]="LFF (MDG-F)",MID(Proc[[#This Row],[Obj]],13,10),"")</f>
        <v/>
      </c>
      <c r="J1271" s="69" t="b">
        <f ca="1">Proc[[#This Row],[Requested]]=Proc[[#This Row],[CurrentParent]]</f>
        <v>1</v>
      </c>
      <c r="K1271" s="69" t="str">
        <f ca="1"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138" t="str">
        <f ca="1"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 ca="1">IF(Proc[[#This Row],[type]]="LFF (MDG-F)",MID(Proc[[#This Row],[Obj]],13,10),"")</f>
        <v/>
      </c>
      <c r="J1272" s="69" t="b">
        <f ca="1">Proc[[#This Row],[Requested]]=Proc[[#This Row],[CurrentParent]]</f>
        <v>1</v>
      </c>
      <c r="K1272" s="69" t="str">
        <f ca="1"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138" t="str">
        <f ca="1"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 ca="1">IF(Proc[[#This Row],[type]]="LFF (MDG-F)",MID(Proc[[#This Row],[Obj]],13,10),"")</f>
        <v/>
      </c>
      <c r="J1273" s="69" t="b">
        <f ca="1">Proc[[#This Row],[Requested]]=Proc[[#This Row],[CurrentParent]]</f>
        <v>1</v>
      </c>
      <c r="K1273" s="69" t="str">
        <f ca="1"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138" t="str">
        <f ca="1"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 ca="1">IF(Proc[[#This Row],[type]]="LFF (MDG-F)",MID(Proc[[#This Row],[Obj]],13,10),"")</f>
        <v/>
      </c>
      <c r="J1274" s="69" t="b">
        <f ca="1">Proc[[#This Row],[Requested]]=Proc[[#This Row],[CurrentParent]]</f>
        <v>1</v>
      </c>
      <c r="K1274" s="69" t="str">
        <f ca="1"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138" t="str">
        <f ca="1"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 ca="1">IF(Proc[[#This Row],[type]]="LFF (MDG-F)",MID(Proc[[#This Row],[Obj]],13,10),"")</f>
        <v/>
      </c>
      <c r="J1275" s="69" t="b">
        <f ca="1">Proc[[#This Row],[Requested]]=Proc[[#This Row],[CurrentParent]]</f>
        <v>1</v>
      </c>
      <c r="K1275" s="69" t="str">
        <f ca="1"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138" t="str">
        <f ca="1"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 ca="1">IF(Proc[[#This Row],[type]]="LFF (MDG-F)",MID(Proc[[#This Row],[Obj]],13,10),"")</f>
        <v/>
      </c>
      <c r="J1276" s="69" t="b">
        <f ca="1">Proc[[#This Row],[Requested]]=Proc[[#This Row],[CurrentParent]]</f>
        <v>1</v>
      </c>
      <c r="K1276" s="69" t="str">
        <f ca="1"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138" t="str">
        <f ca="1"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 ca="1">IF(Proc[[#This Row],[type]]="LFF (MDG-F)",MID(Proc[[#This Row],[Obj]],13,10),"")</f>
        <v/>
      </c>
      <c r="J1277" s="69" t="b">
        <f ca="1">Proc[[#This Row],[Requested]]=Proc[[#This Row],[CurrentParent]]</f>
        <v>1</v>
      </c>
      <c r="K1277" s="69" t="str">
        <f ca="1"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138" t="str">
        <f ca="1"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 ca="1">IF(Proc[[#This Row],[type]]="LFF (MDG-F)",MID(Proc[[#This Row],[Obj]],13,10),"")</f>
        <v/>
      </c>
      <c r="J1278" s="69" t="b">
        <f ca="1">Proc[[#This Row],[Requested]]=Proc[[#This Row],[CurrentParent]]</f>
        <v>1</v>
      </c>
      <c r="K1278" s="69" t="str">
        <f ca="1"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138" t="str">
        <f ca="1"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 ca="1">IF(Proc[[#This Row],[type]]="LFF (MDG-F)",MID(Proc[[#This Row],[Obj]],13,10),"")</f>
        <v/>
      </c>
      <c r="J1279" s="69" t="b">
        <f ca="1">Proc[[#This Row],[Requested]]=Proc[[#This Row],[CurrentParent]]</f>
        <v>1</v>
      </c>
      <c r="K1279" s="69" t="str">
        <f ca="1"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138" t="str">
        <f ca="1"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 ca="1">IF(Proc[[#This Row],[type]]="LFF (MDG-F)",MID(Proc[[#This Row],[Obj]],13,10),"")</f>
        <v/>
      </c>
      <c r="J1280" s="69" t="b">
        <f ca="1">Proc[[#This Row],[Requested]]=Proc[[#This Row],[CurrentParent]]</f>
        <v>1</v>
      </c>
      <c r="K1280" s="69" t="str">
        <f ca="1"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138" t="str">
        <f ca="1"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 ca="1">IF(Proc[[#This Row],[type]]="LFF (MDG-F)",MID(Proc[[#This Row],[Obj]],13,10),"")</f>
        <v/>
      </c>
      <c r="J1281" s="69" t="b">
        <f ca="1">Proc[[#This Row],[Requested]]=Proc[[#This Row],[CurrentParent]]</f>
        <v>1</v>
      </c>
      <c r="K1281" s="69" t="str">
        <f ca="1"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138" t="str">
        <f ca="1"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 ca="1">IF(Proc[[#This Row],[type]]="LFF (MDG-F)",MID(Proc[[#This Row],[Obj]],13,10),"")</f>
        <v/>
      </c>
      <c r="J1282" s="69" t="b">
        <f ca="1">Proc[[#This Row],[Requested]]=Proc[[#This Row],[CurrentParent]]</f>
        <v>1</v>
      </c>
      <c r="K1282" s="69" t="str">
        <f ca="1"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138" t="str">
        <f ca="1"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 ca="1">IF(Proc[[#This Row],[type]]="LFF (MDG-F)",MID(Proc[[#This Row],[Obj]],13,10),"")</f>
        <v/>
      </c>
      <c r="J1283" s="69" t="b">
        <f ca="1">Proc[[#This Row],[Requested]]=Proc[[#This Row],[CurrentParent]]</f>
        <v>1</v>
      </c>
      <c r="K1283" s="69" t="str">
        <f ca="1"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138" t="str">
        <f ca="1"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 ca="1">IF(Proc[[#This Row],[type]]="LFF (MDG-F)",MID(Proc[[#This Row],[Obj]],13,10),"")</f>
        <v/>
      </c>
      <c r="J1284" s="69" t="b">
        <f ca="1">Proc[[#This Row],[Requested]]=Proc[[#This Row],[CurrentParent]]</f>
        <v>1</v>
      </c>
      <c r="K1284" s="69" t="str">
        <f ca="1"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138" t="str">
        <f ca="1"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 ca="1">IF(Proc[[#This Row],[type]]="LFF (MDG-F)",MID(Proc[[#This Row],[Obj]],13,10),"")</f>
        <v/>
      </c>
      <c r="J1285" s="69" t="b">
        <f ca="1">Proc[[#This Row],[Requested]]=Proc[[#This Row],[CurrentParent]]</f>
        <v>1</v>
      </c>
      <c r="K1285" s="69" t="str">
        <f ca="1"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138" t="str">
        <f ca="1"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 ca="1">IF(Proc[[#This Row],[type]]="LFF (MDG-F)",MID(Proc[[#This Row],[Obj]],13,10),"")</f>
        <v/>
      </c>
      <c r="J1286" s="69" t="b">
        <f ca="1">Proc[[#This Row],[Requested]]=Proc[[#This Row],[CurrentParent]]</f>
        <v>1</v>
      </c>
      <c r="K1286" s="69" t="str">
        <f ca="1"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138" t="str">
        <f ca="1"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 ca="1">IF(Proc[[#This Row],[type]]="LFF (MDG-F)",MID(Proc[[#This Row],[Obj]],13,10),"")</f>
        <v/>
      </c>
      <c r="J1287" s="69" t="b">
        <f ca="1">Proc[[#This Row],[Requested]]=Proc[[#This Row],[CurrentParent]]</f>
        <v>1</v>
      </c>
      <c r="K1287" s="69" t="str">
        <f ca="1"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138" t="str">
        <f ca="1"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 ca="1">IF(Proc[[#This Row],[type]]="LFF (MDG-F)",MID(Proc[[#This Row],[Obj]],13,10),"")</f>
        <v/>
      </c>
      <c r="J1288" s="69" t="b">
        <f ca="1">Proc[[#This Row],[Requested]]=Proc[[#This Row],[CurrentParent]]</f>
        <v>1</v>
      </c>
      <c r="K1288" s="69" t="str">
        <f ca="1"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138" t="str">
        <f ca="1"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 ca="1">IF(Proc[[#This Row],[type]]="LFF (MDG-F)",MID(Proc[[#This Row],[Obj]],13,10),"")</f>
        <v/>
      </c>
      <c r="J1289" s="69" t="b">
        <f ca="1">Proc[[#This Row],[Requested]]=Proc[[#This Row],[CurrentParent]]</f>
        <v>1</v>
      </c>
      <c r="K1289" s="69" t="str">
        <f ca="1"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138" t="str">
        <f ca="1"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 ca="1">IF(Proc[[#This Row],[type]]="LFF (MDG-F)",MID(Proc[[#This Row],[Obj]],13,10),"")</f>
        <v/>
      </c>
      <c r="J1290" s="69" t="b">
        <f ca="1">Proc[[#This Row],[Requested]]=Proc[[#This Row],[CurrentParent]]</f>
        <v>1</v>
      </c>
      <c r="K1290" s="69" t="str">
        <f ca="1"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138" t="str">
        <f ca="1"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 ca="1">IF(Proc[[#This Row],[type]]="LFF (MDG-F)",MID(Proc[[#This Row],[Obj]],13,10),"")</f>
        <v/>
      </c>
      <c r="J1291" s="69" t="b">
        <f ca="1">Proc[[#This Row],[Requested]]=Proc[[#This Row],[CurrentParent]]</f>
        <v>1</v>
      </c>
      <c r="K1291" s="69" t="str">
        <f ca="1"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138" t="str">
        <f ca="1"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 ca="1">IF(Proc[[#This Row],[type]]="LFF (MDG-F)",MID(Proc[[#This Row],[Obj]],13,10),"")</f>
        <v/>
      </c>
      <c r="J1292" s="69" t="b">
        <f ca="1">Proc[[#This Row],[Requested]]=Proc[[#This Row],[CurrentParent]]</f>
        <v>1</v>
      </c>
      <c r="K1292" s="69" t="str">
        <f ca="1"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138" t="str">
        <f ca="1"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 ca="1">IF(Proc[[#This Row],[type]]="LFF (MDG-F)",MID(Proc[[#This Row],[Obj]],13,10),"")</f>
        <v/>
      </c>
      <c r="J1293" s="69" t="b">
        <f ca="1">Proc[[#This Row],[Requested]]=Proc[[#This Row],[CurrentParent]]</f>
        <v>1</v>
      </c>
      <c r="K1293" s="69" t="str">
        <f ca="1"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138" t="str">
        <f ca="1"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 ca="1">IF(Proc[[#This Row],[type]]="LFF (MDG-F)",MID(Proc[[#This Row],[Obj]],13,10),"")</f>
        <v/>
      </c>
      <c r="J1294" s="69" t="b">
        <f ca="1">Proc[[#This Row],[Requested]]=Proc[[#This Row],[CurrentParent]]</f>
        <v>1</v>
      </c>
      <c r="K1294" s="69" t="str">
        <f ca="1"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138" t="str">
        <f ca="1"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 ca="1">IF(Proc[[#This Row],[type]]="LFF (MDG-F)",MID(Proc[[#This Row],[Obj]],13,10),"")</f>
        <v/>
      </c>
      <c r="J1295" s="69" t="b">
        <f ca="1">Proc[[#This Row],[Requested]]=Proc[[#This Row],[CurrentParent]]</f>
        <v>1</v>
      </c>
      <c r="K1295" s="69" t="str">
        <f ca="1"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138" t="str">
        <f ca="1"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 ca="1">IF(Proc[[#This Row],[type]]="LFF (MDG-F)",MID(Proc[[#This Row],[Obj]],13,10),"")</f>
        <v>US20Z01000</v>
      </c>
      <c r="I1296" t="s">
        <v>822</v>
      </c>
      <c r="J1296" s="69" t="b">
        <f ca="1">Proc[[#This Row],[Requested]]=Proc[[#This Row],[CurrentParent]]</f>
        <v>1</v>
      </c>
      <c r="K1296" s="69" t="str">
        <f ca="1"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 ca="1">VLOOKUP(Proc[[#This Row],[Obj]],#REF!,2,0)</f>
        <v>#REF!</v>
      </c>
    </row>
    <row r="1297" spans="1:19" hidden="1">
      <c r="A1297" t="s">
        <v>3019</v>
      </c>
      <c r="B1297" s="138" t="str">
        <f ca="1"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 ca="1">IF(Proc[[#This Row],[type]]="LFF (MDG-F)",MID(Proc[[#This Row],[Obj]],13,10),"")</f>
        <v/>
      </c>
      <c r="J1297" s="69" t="b">
        <f ca="1">Proc[[#This Row],[Requested]]=Proc[[#This Row],[CurrentParent]]</f>
        <v>1</v>
      </c>
      <c r="K1297" s="69" t="str">
        <f ca="1"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138" t="str">
        <f ca="1"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 ca="1">IF(Proc[[#This Row],[type]]="LFF (MDG-F)",MID(Proc[[#This Row],[Obj]],13,10),"")</f>
        <v/>
      </c>
      <c r="J1298" s="69" t="b">
        <f ca="1">Proc[[#This Row],[Requested]]=Proc[[#This Row],[CurrentParent]]</f>
        <v>1</v>
      </c>
      <c r="K1298" s="69" t="str">
        <f ca="1"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138" t="str">
        <f ca="1"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 ca="1">IF(Proc[[#This Row],[type]]="LFF (MDG-F)",MID(Proc[[#This Row],[Obj]],13,10),"")</f>
        <v/>
      </c>
      <c r="I1299" t="s">
        <v>3062</v>
      </c>
      <c r="J1299" s="69" t="b">
        <f ca="1">Proc[[#This Row],[Requested]]=Proc[[#This Row],[CurrentParent]]</f>
        <v>1</v>
      </c>
      <c r="K1299" s="69" t="str">
        <f ca="1"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138" t="str">
        <f ca="1"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 ca="1">IF(Proc[[#This Row],[type]]="LFF (MDG-F)",MID(Proc[[#This Row],[Obj]],13,10),"")</f>
        <v/>
      </c>
      <c r="I1300" t="s">
        <v>3062</v>
      </c>
      <c r="J1300" s="69" t="b">
        <f ca="1">Proc[[#This Row],[Requested]]=Proc[[#This Row],[CurrentParent]]</f>
        <v>1</v>
      </c>
      <c r="K1300" s="69" t="str">
        <f ca="1"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138" t="str">
        <f ca="1"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 ca="1">IF(Proc[[#This Row],[type]]="LFF (MDG-F)",MID(Proc[[#This Row],[Obj]],13,10),"")</f>
        <v/>
      </c>
      <c r="I1301" t="s">
        <v>3062</v>
      </c>
      <c r="J1301" s="69" t="b">
        <f ca="1">Proc[[#This Row],[Requested]]=Proc[[#This Row],[CurrentParent]]</f>
        <v>1</v>
      </c>
      <c r="K1301" s="69" t="str">
        <f ca="1"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138" t="str">
        <f ca="1"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 ca="1">IF(Proc[[#This Row],[type]]="LFF (MDG-F)",MID(Proc[[#This Row],[Obj]],13,10),"")</f>
        <v/>
      </c>
      <c r="I1302" t="s">
        <v>3062</v>
      </c>
      <c r="J1302" s="69" t="b">
        <f ca="1">Proc[[#This Row],[Requested]]=Proc[[#This Row],[CurrentParent]]</f>
        <v>1</v>
      </c>
      <c r="K1302" s="69" t="str">
        <f ca="1"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138" t="str">
        <f ca="1"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 ca="1">IF(Proc[[#This Row],[type]]="LFF (MDG-F)",MID(Proc[[#This Row],[Obj]],13,10),"")</f>
        <v/>
      </c>
      <c r="I1303" t="s">
        <v>3063</v>
      </c>
      <c r="J1303" s="69" t="b">
        <f ca="1">Proc[[#This Row],[Requested]]=Proc[[#This Row],[CurrentParent]]</f>
        <v>1</v>
      </c>
      <c r="K1303" s="69" t="str">
        <f ca="1"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138" t="str">
        <f ca="1"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 ca="1">IF(Proc[[#This Row],[type]]="LFF (MDG-F)",MID(Proc[[#This Row],[Obj]],13,10),"")</f>
        <v/>
      </c>
      <c r="I1304" t="s">
        <v>3063</v>
      </c>
      <c r="J1304" s="69" t="b">
        <f ca="1">Proc[[#This Row],[Requested]]=Proc[[#This Row],[CurrentParent]]</f>
        <v>1</v>
      </c>
      <c r="K1304" s="69" t="str">
        <f ca="1"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138" t="str">
        <f ca="1"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 ca="1">IF(Proc[[#This Row],[type]]="LFF (MDG-F)",MID(Proc[[#This Row],[Obj]],13,10),"")</f>
        <v/>
      </c>
      <c r="I1305" t="s">
        <v>3063</v>
      </c>
      <c r="J1305" s="69" t="b">
        <f ca="1">Proc[[#This Row],[Requested]]=Proc[[#This Row],[CurrentParent]]</f>
        <v>1</v>
      </c>
      <c r="K1305" s="69" t="str">
        <f ca="1"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138" t="str">
        <f ca="1"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 ca="1">IF(Proc[[#This Row],[type]]="LFF (MDG-F)",MID(Proc[[#This Row],[Obj]],13,10),"")</f>
        <v/>
      </c>
      <c r="I1306" t="s">
        <v>3063</v>
      </c>
      <c r="J1306" s="69" t="b">
        <f ca="1">Proc[[#This Row],[Requested]]=Proc[[#This Row],[CurrentParent]]</f>
        <v>1</v>
      </c>
      <c r="K1306" s="69" t="str">
        <f ca="1"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138" t="str">
        <f ca="1"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 ca="1">IF(Proc[[#This Row],[type]]="LFF (MDG-F)",MID(Proc[[#This Row],[Obj]],13,10),"")</f>
        <v/>
      </c>
      <c r="I1307" t="s">
        <v>3063</v>
      </c>
      <c r="J1307" s="69" t="b">
        <f ca="1">Proc[[#This Row],[Requested]]=Proc[[#This Row],[CurrentParent]]</f>
        <v>1</v>
      </c>
      <c r="K1307" s="69" t="str">
        <f ca="1"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138" t="str">
        <f ca="1"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 ca="1">IF(Proc[[#This Row],[type]]="LFF (MDG-F)",MID(Proc[[#This Row],[Obj]],13,10),"")</f>
        <v/>
      </c>
      <c r="I1308" t="s">
        <v>3063</v>
      </c>
      <c r="J1308" s="69" t="b">
        <f ca="1">Proc[[#This Row],[Requested]]=Proc[[#This Row],[CurrentParent]]</f>
        <v>1</v>
      </c>
      <c r="K1308" s="69" t="str">
        <f ca="1"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138" t="str">
        <f ca="1"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 ca="1">IF(Proc[[#This Row],[type]]="LFF (MDG-F)",MID(Proc[[#This Row],[Obj]],13,10),"")</f>
        <v/>
      </c>
      <c r="I1309" t="s">
        <v>3063</v>
      </c>
      <c r="J1309" s="69" t="b">
        <f ca="1">Proc[[#This Row],[Requested]]=Proc[[#This Row],[CurrentParent]]</f>
        <v>1</v>
      </c>
      <c r="K1309" s="69" t="str">
        <f ca="1"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138" t="str">
        <f ca="1"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 ca="1">IF(Proc[[#This Row],[type]]="LFF (MDG-F)",MID(Proc[[#This Row],[Obj]],13,10),"")</f>
        <v/>
      </c>
      <c r="I1310" t="s">
        <v>3063</v>
      </c>
      <c r="J1310" s="69" t="b">
        <f ca="1">Proc[[#This Row],[Requested]]=Proc[[#This Row],[CurrentParent]]</f>
        <v>1</v>
      </c>
      <c r="K1310" s="69" t="str">
        <f ca="1"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138" t="str">
        <f ca="1"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 ca="1">IF(Proc[[#This Row],[type]]="LFF (MDG-F)",MID(Proc[[#This Row],[Obj]],13,10),"")</f>
        <v/>
      </c>
      <c r="I1311" t="s">
        <v>3063</v>
      </c>
      <c r="J1311" s="69" t="b">
        <f ca="1">Proc[[#This Row],[Requested]]=Proc[[#This Row],[CurrentParent]]</f>
        <v>1</v>
      </c>
      <c r="K1311" s="69" t="str">
        <f ca="1"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138" t="str">
        <f ca="1"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 ca="1">IF(Proc[[#This Row],[type]]="LFF (MDG-F)",MID(Proc[[#This Row],[Obj]],13,10),"")</f>
        <v/>
      </c>
      <c r="I1312" t="s">
        <v>3063</v>
      </c>
      <c r="J1312" s="69" t="b">
        <f ca="1">Proc[[#This Row],[Requested]]=Proc[[#This Row],[CurrentParent]]</f>
        <v>1</v>
      </c>
      <c r="K1312" s="69" t="str">
        <f ca="1"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138" t="str">
        <f ca="1"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 ca="1">IF(Proc[[#This Row],[type]]="LFF (MDG-F)",MID(Proc[[#This Row],[Obj]],13,10),"")</f>
        <v/>
      </c>
      <c r="I1313" t="s">
        <v>3063</v>
      </c>
      <c r="J1313" s="69" t="b">
        <f ca="1">Proc[[#This Row],[Requested]]=Proc[[#This Row],[CurrentParent]]</f>
        <v>1</v>
      </c>
      <c r="K1313" s="69" t="str">
        <f ca="1"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138" t="str">
        <f ca="1"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 ca="1">IF(Proc[[#This Row],[type]]="LFF (MDG-F)",MID(Proc[[#This Row],[Obj]],13,10),"")</f>
        <v/>
      </c>
      <c r="I1314" t="s">
        <v>3063</v>
      </c>
      <c r="J1314" s="69" t="b">
        <f ca="1">Proc[[#This Row],[Requested]]=Proc[[#This Row],[CurrentParent]]</f>
        <v>1</v>
      </c>
      <c r="K1314" s="69" t="str">
        <f ca="1"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138" t="str">
        <f ca="1"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 ca="1">IF(Proc[[#This Row],[type]]="LFF (MDG-F)",MID(Proc[[#This Row],[Obj]],13,10),"")</f>
        <v/>
      </c>
      <c r="I1315" t="s">
        <v>3064</v>
      </c>
      <c r="J1315" s="69" t="b">
        <f ca="1">Proc[[#This Row],[Requested]]=Proc[[#This Row],[CurrentParent]]</f>
        <v>1</v>
      </c>
      <c r="K1315" s="69" t="str">
        <f ca="1"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138" t="str">
        <f ca="1"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 ca="1">IF(Proc[[#This Row],[type]]="LFF (MDG-F)",MID(Proc[[#This Row],[Obj]],13,10),"")</f>
        <v/>
      </c>
      <c r="I1316" t="s">
        <v>3064</v>
      </c>
      <c r="J1316" s="69" t="b">
        <f ca="1">Proc[[#This Row],[Requested]]=Proc[[#This Row],[CurrentParent]]</f>
        <v>1</v>
      </c>
      <c r="K1316" s="69" t="str">
        <f ca="1"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138" t="str">
        <f ca="1"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 ca="1">IF(Proc[[#This Row],[type]]="LFF (MDG-F)",MID(Proc[[#This Row],[Obj]],13,10),"")</f>
        <v/>
      </c>
      <c r="I1317" t="s">
        <v>3064</v>
      </c>
      <c r="J1317" s="69" t="b">
        <f ca="1">Proc[[#This Row],[Requested]]=Proc[[#This Row],[CurrentParent]]</f>
        <v>1</v>
      </c>
      <c r="K1317" s="69" t="str">
        <f ca="1"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138" t="str">
        <f ca="1"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 ca="1">IF(Proc[[#This Row],[type]]="LFF (MDG-F)",MID(Proc[[#This Row],[Obj]],13,10),"")</f>
        <v/>
      </c>
      <c r="I1318" t="s">
        <v>3064</v>
      </c>
      <c r="J1318" s="69" t="b">
        <f ca="1">Proc[[#This Row],[Requested]]=Proc[[#This Row],[CurrentParent]]</f>
        <v>1</v>
      </c>
      <c r="K1318" s="69" t="str">
        <f ca="1"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138" t="str">
        <f ca="1"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 ca="1">IF(Proc[[#This Row],[type]]="LFF (MDG-F)",MID(Proc[[#This Row],[Obj]],13,10),"")</f>
        <v/>
      </c>
      <c r="I1319" t="s">
        <v>3064</v>
      </c>
      <c r="J1319" s="69" t="b">
        <f ca="1">Proc[[#This Row],[Requested]]=Proc[[#This Row],[CurrentParent]]</f>
        <v>1</v>
      </c>
      <c r="K1319" s="69" t="str">
        <f ca="1"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138" t="str">
        <f ca="1"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 ca="1">IF(Proc[[#This Row],[type]]="LFF (MDG-F)",MID(Proc[[#This Row],[Obj]],13,10),"")</f>
        <v/>
      </c>
      <c r="I1320" t="s">
        <v>3064</v>
      </c>
      <c r="J1320" s="69" t="b">
        <f ca="1">Proc[[#This Row],[Requested]]=Proc[[#This Row],[CurrentParent]]</f>
        <v>1</v>
      </c>
      <c r="K1320" s="69" t="str">
        <f ca="1"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138" t="str">
        <f ca="1"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 ca="1">IF(Proc[[#This Row],[type]]="LFF (MDG-F)",MID(Proc[[#This Row],[Obj]],13,10),"")</f>
        <v/>
      </c>
      <c r="I1321" t="s">
        <v>3064</v>
      </c>
      <c r="J1321" s="69" t="b">
        <f ca="1">Proc[[#This Row],[Requested]]=Proc[[#This Row],[CurrentParent]]</f>
        <v>1</v>
      </c>
      <c r="K1321" s="69" t="str">
        <f ca="1"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138" t="str">
        <f ca="1"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 ca="1">IF(Proc[[#This Row],[type]]="LFF (MDG-F)",MID(Proc[[#This Row],[Obj]],13,10),"")</f>
        <v/>
      </c>
      <c r="I1322" t="s">
        <v>3064</v>
      </c>
      <c r="J1322" s="69" t="b">
        <f ca="1">Proc[[#This Row],[Requested]]=Proc[[#This Row],[CurrentParent]]</f>
        <v>1</v>
      </c>
      <c r="K1322" s="69" t="str">
        <f ca="1"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138" t="str">
        <f ca="1"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 ca="1">IF(Proc[[#This Row],[type]]="LFF (MDG-F)",MID(Proc[[#This Row],[Obj]],13,10),"")</f>
        <v/>
      </c>
      <c r="I1323" t="s">
        <v>3064</v>
      </c>
      <c r="J1323" s="69" t="b">
        <f ca="1">Proc[[#This Row],[Requested]]=Proc[[#This Row],[CurrentParent]]</f>
        <v>1</v>
      </c>
      <c r="K1323" s="69" t="str">
        <f ca="1"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138" t="str">
        <f ca="1"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 ca="1">IF(Proc[[#This Row],[type]]="LFF (MDG-F)",MID(Proc[[#This Row],[Obj]],13,10),"")</f>
        <v/>
      </c>
      <c r="I1324" t="s">
        <v>3064</v>
      </c>
      <c r="J1324" s="69" t="b">
        <f ca="1">Proc[[#This Row],[Requested]]=Proc[[#This Row],[CurrentParent]]</f>
        <v>1</v>
      </c>
      <c r="K1324" s="69" t="str">
        <f ca="1"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138" t="str">
        <f ca="1"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 ca="1">IF(Proc[[#This Row],[type]]="LFF (MDG-F)",MID(Proc[[#This Row],[Obj]],13,10),"")</f>
        <v/>
      </c>
      <c r="I1325" t="s">
        <v>3064</v>
      </c>
      <c r="J1325" s="69" t="b">
        <f ca="1">Proc[[#This Row],[Requested]]=Proc[[#This Row],[CurrentParent]]</f>
        <v>1</v>
      </c>
      <c r="K1325" s="69" t="str">
        <f ca="1"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138" t="str">
        <f ca="1"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 ca="1">IF(Proc[[#This Row],[type]]="LFF (MDG-F)",MID(Proc[[#This Row],[Obj]],13,10),"")</f>
        <v/>
      </c>
      <c r="I1326" t="s">
        <v>3065</v>
      </c>
      <c r="J1326" s="69" t="b">
        <f ca="1">Proc[[#This Row],[Requested]]=Proc[[#This Row],[CurrentParent]]</f>
        <v>1</v>
      </c>
      <c r="K1326" s="69" t="str">
        <f ca="1"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138" t="str">
        <f ca="1"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 ca="1">IF(Proc[[#This Row],[type]]="LFF (MDG-F)",MID(Proc[[#This Row],[Obj]],13,10),"")</f>
        <v/>
      </c>
      <c r="I1327" t="s">
        <v>3065</v>
      </c>
      <c r="J1327" s="69" t="b">
        <f ca="1">Proc[[#This Row],[Requested]]=Proc[[#This Row],[CurrentParent]]</f>
        <v>1</v>
      </c>
      <c r="K1327" s="69" t="str">
        <f ca="1"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138" t="str">
        <f ca="1"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 ca="1">IF(Proc[[#This Row],[type]]="LFF (MDG-F)",MID(Proc[[#This Row],[Obj]],13,10),"")</f>
        <v/>
      </c>
      <c r="I1328" t="s">
        <v>3065</v>
      </c>
      <c r="J1328" s="69" t="b">
        <f ca="1">Proc[[#This Row],[Requested]]=Proc[[#This Row],[CurrentParent]]</f>
        <v>1</v>
      </c>
      <c r="K1328" s="69" t="str">
        <f ca="1"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138" t="str">
        <f ca="1"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 ca="1">IF(Proc[[#This Row],[type]]="LFF (MDG-F)",MID(Proc[[#This Row],[Obj]],13,10),"")</f>
        <v/>
      </c>
      <c r="I1329" t="s">
        <v>3065</v>
      </c>
      <c r="J1329" s="69" t="b">
        <f ca="1">Proc[[#This Row],[Requested]]=Proc[[#This Row],[CurrentParent]]</f>
        <v>1</v>
      </c>
      <c r="K1329" s="69" t="str">
        <f ca="1"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138" t="str">
        <f ca="1"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 ca="1">IF(Proc[[#This Row],[type]]="LFF (MDG-F)",MID(Proc[[#This Row],[Obj]],13,10),"")</f>
        <v/>
      </c>
      <c r="I1330" t="s">
        <v>3065</v>
      </c>
      <c r="J1330" s="69" t="b">
        <f ca="1">Proc[[#This Row],[Requested]]=Proc[[#This Row],[CurrentParent]]</f>
        <v>1</v>
      </c>
      <c r="K1330" s="69" t="str">
        <f ca="1"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138" t="str">
        <f ca="1"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 ca="1">IF(Proc[[#This Row],[type]]="LFF (MDG-F)",MID(Proc[[#This Row],[Obj]],13,10),"")</f>
        <v/>
      </c>
      <c r="I1331" t="s">
        <v>3065</v>
      </c>
      <c r="J1331" s="69" t="b">
        <f ca="1">Proc[[#This Row],[Requested]]=Proc[[#This Row],[CurrentParent]]</f>
        <v>1</v>
      </c>
      <c r="K1331" s="69" t="str">
        <f ca="1"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138" t="str">
        <f ca="1"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 ca="1">IF(Proc[[#This Row],[type]]="LFF (MDG-F)",MID(Proc[[#This Row],[Obj]],13,10),"")</f>
        <v/>
      </c>
      <c r="I1332" t="s">
        <v>3065</v>
      </c>
      <c r="J1332" s="69" t="b">
        <f ca="1">Proc[[#This Row],[Requested]]=Proc[[#This Row],[CurrentParent]]</f>
        <v>1</v>
      </c>
      <c r="K1332" s="69" t="str">
        <f ca="1"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138" t="str">
        <f ca="1"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 ca="1">IF(Proc[[#This Row],[type]]="LFF (MDG-F)",MID(Proc[[#This Row],[Obj]],13,10),"")</f>
        <v/>
      </c>
      <c r="I1333" t="s">
        <v>3065</v>
      </c>
      <c r="J1333" s="69" t="b">
        <f ca="1">Proc[[#This Row],[Requested]]=Proc[[#This Row],[CurrentParent]]</f>
        <v>1</v>
      </c>
      <c r="K1333" s="69" t="str">
        <f ca="1"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138" t="str">
        <f ca="1"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 ca="1">IF(Proc[[#This Row],[type]]="LFF (MDG-F)",MID(Proc[[#This Row],[Obj]],13,10),"")</f>
        <v/>
      </c>
      <c r="I1334" t="s">
        <v>3065</v>
      </c>
      <c r="J1334" s="69" t="b">
        <f ca="1">Proc[[#This Row],[Requested]]=Proc[[#This Row],[CurrentParent]]</f>
        <v>1</v>
      </c>
      <c r="K1334" s="69" t="str">
        <f ca="1"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138" t="str">
        <f ca="1"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 ca="1">IF(Proc[[#This Row],[type]]="LFF (MDG-F)",MID(Proc[[#This Row],[Obj]],13,10),"")</f>
        <v/>
      </c>
      <c r="J1335" s="69" t="b">
        <f ca="1">Proc[[#This Row],[Requested]]=Proc[[#This Row],[CurrentParent]]</f>
        <v>1</v>
      </c>
      <c r="K1335" s="69" t="str">
        <f ca="1"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138" t="str">
        <f ca="1"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 ca="1">IF(Proc[[#This Row],[type]]="LFF (MDG-F)",MID(Proc[[#This Row],[Obj]],13,10),"")</f>
        <v/>
      </c>
      <c r="J1336" s="69" t="b">
        <f ca="1">Proc[[#This Row],[Requested]]=Proc[[#This Row],[CurrentParent]]</f>
        <v>1</v>
      </c>
      <c r="K1336" s="69" t="str">
        <f ca="1"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138" t="str">
        <f ca="1"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 ca="1">IF(Proc[[#This Row],[type]]="LFF (MDG-F)",MID(Proc[[#This Row],[Obj]],13,10),"")</f>
        <v/>
      </c>
      <c r="J1337" s="69" t="b">
        <f ca="1">Proc[[#This Row],[Requested]]=Proc[[#This Row],[CurrentParent]]</f>
        <v>1</v>
      </c>
      <c r="K1337" s="69" t="str">
        <f ca="1"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138" t="str">
        <f ca="1"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 ca="1">IF(Proc[[#This Row],[type]]="LFF (MDG-F)",MID(Proc[[#This Row],[Obj]],13,10),"")</f>
        <v/>
      </c>
      <c r="J1338" s="69" t="b">
        <f ca="1">Proc[[#This Row],[Requested]]=Proc[[#This Row],[CurrentParent]]</f>
        <v>1</v>
      </c>
      <c r="K1338" s="69" t="str">
        <f ca="1"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138" t="str">
        <f ca="1"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 ca="1">IF(Proc[[#This Row],[type]]="LFF (MDG-F)",MID(Proc[[#This Row],[Obj]],13,10),"")</f>
        <v/>
      </c>
      <c r="J1339" s="69" t="b">
        <f ca="1">Proc[[#This Row],[Requested]]=Proc[[#This Row],[CurrentParent]]</f>
        <v>1</v>
      </c>
      <c r="K1339" s="69" t="str">
        <f ca="1"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138" t="str">
        <f ca="1"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 ca="1">IF(Proc[[#This Row],[type]]="LFF (MDG-F)",MID(Proc[[#This Row],[Obj]],13,10),"")</f>
        <v/>
      </c>
      <c r="J1340" s="69" t="b">
        <f ca="1">Proc[[#This Row],[Requested]]=Proc[[#This Row],[CurrentParent]]</f>
        <v>1</v>
      </c>
      <c r="K1340" s="69" t="str">
        <f ca="1"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138" t="str">
        <f ca="1"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 ca="1">IF(Proc[[#This Row],[type]]="LFF (MDG-F)",MID(Proc[[#This Row],[Obj]],13,10),"")</f>
        <v/>
      </c>
      <c r="J1341" s="69" t="b">
        <f ca="1">Proc[[#This Row],[Requested]]=Proc[[#This Row],[CurrentParent]]</f>
        <v>1</v>
      </c>
      <c r="K1341" s="69" t="str">
        <f ca="1"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138" t="str">
        <f ca="1"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 ca="1">IF(Proc[[#This Row],[type]]="LFF (MDG-F)",MID(Proc[[#This Row],[Obj]],13,10),"")</f>
        <v/>
      </c>
      <c r="J1342" s="69" t="b">
        <f ca="1">Proc[[#This Row],[Requested]]=Proc[[#This Row],[CurrentParent]]</f>
        <v>1</v>
      </c>
      <c r="K1342" s="69" t="str">
        <f ca="1"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138" t="str">
        <f ca="1"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 ca="1">IF(Proc[[#This Row],[type]]="LFF (MDG-F)",MID(Proc[[#This Row],[Obj]],13,10),"")</f>
        <v/>
      </c>
      <c r="J1343" s="69" t="b">
        <f ca="1">Proc[[#This Row],[Requested]]=Proc[[#This Row],[CurrentParent]]</f>
        <v>1</v>
      </c>
      <c r="K1343" s="69" t="str">
        <f ca="1"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138" t="str">
        <f ca="1"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 ca="1">IF(Proc[[#This Row],[type]]="LFF (MDG-F)",MID(Proc[[#This Row],[Obj]],13,10),"")</f>
        <v/>
      </c>
      <c r="J1344" s="69" t="b">
        <f ca="1">Proc[[#This Row],[Requested]]=Proc[[#This Row],[CurrentParent]]</f>
        <v>1</v>
      </c>
      <c r="K1344" s="69" t="str">
        <f ca="1"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138" t="str">
        <f ca="1"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 ca="1">IF(Proc[[#This Row],[type]]="LFF (MDG-F)",MID(Proc[[#This Row],[Obj]],13,10),"")</f>
        <v/>
      </c>
      <c r="J1345" s="69" t="b">
        <f ca="1">Proc[[#This Row],[Requested]]=Proc[[#This Row],[CurrentParent]]</f>
        <v>1</v>
      </c>
      <c r="K1345" s="69" t="str">
        <f ca="1"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138" t="str">
        <f ca="1"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 ca="1">IF(Proc[[#This Row],[type]]="LFF (MDG-F)",MID(Proc[[#This Row],[Obj]],13,10),"")</f>
        <v/>
      </c>
      <c r="J1346" s="69" t="b">
        <f ca="1">Proc[[#This Row],[Requested]]=Proc[[#This Row],[CurrentParent]]</f>
        <v>1</v>
      </c>
      <c r="K1346" s="69" t="str">
        <f ca="1"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138" t="str">
        <f ca="1"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 ca="1">IF(Proc[[#This Row],[type]]="LFF (MDG-F)",MID(Proc[[#This Row],[Obj]],13,10),"")</f>
        <v/>
      </c>
      <c r="J1347" s="69" t="b">
        <f ca="1">Proc[[#This Row],[Requested]]=Proc[[#This Row],[CurrentParent]]</f>
        <v>1</v>
      </c>
      <c r="K1347" s="69" t="str">
        <f ca="1"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138" t="str">
        <f ca="1"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 ca="1">IF(Proc[[#This Row],[type]]="LFF (MDG-F)",MID(Proc[[#This Row],[Obj]],13,10),"")</f>
        <v/>
      </c>
      <c r="J1348" s="69" t="b">
        <f ca="1">Proc[[#This Row],[Requested]]=Proc[[#This Row],[CurrentParent]]</f>
        <v>1</v>
      </c>
      <c r="K1348" s="69" t="str">
        <f ca="1"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138" t="str">
        <f ca="1"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 ca="1">IF(Proc[[#This Row],[type]]="LFF (MDG-F)",MID(Proc[[#This Row],[Obj]],13,10),"")</f>
        <v/>
      </c>
      <c r="J1349" s="69" t="b">
        <f ca="1">Proc[[#This Row],[Requested]]=Proc[[#This Row],[CurrentParent]]</f>
        <v>1</v>
      </c>
      <c r="K1349" s="69" t="str">
        <f ca="1"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138" t="str">
        <f ca="1"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 ca="1">IF(Proc[[#This Row],[type]]="LFF (MDG-F)",MID(Proc[[#This Row],[Obj]],13,10),"")</f>
        <v/>
      </c>
      <c r="J1350" s="69" t="b">
        <f ca="1">Proc[[#This Row],[Requested]]=Proc[[#This Row],[CurrentParent]]</f>
        <v>1</v>
      </c>
      <c r="K1350" s="69" t="str">
        <f ca="1"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138" t="str">
        <f ca="1"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 ca="1">IF(Proc[[#This Row],[type]]="LFF (MDG-F)",MID(Proc[[#This Row],[Obj]],13,10),"")</f>
        <v/>
      </c>
      <c r="J1351" s="69" t="b">
        <f ca="1">Proc[[#This Row],[Requested]]=Proc[[#This Row],[CurrentParent]]</f>
        <v>1</v>
      </c>
      <c r="K1351" s="69" t="str">
        <f ca="1"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138" t="str">
        <f ca="1"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 ca="1">IF(Proc[[#This Row],[type]]="LFF (MDG-F)",MID(Proc[[#This Row],[Obj]],13,10),"")</f>
        <v/>
      </c>
      <c r="J1352" s="69" t="b">
        <f ca="1">Proc[[#This Row],[Requested]]=Proc[[#This Row],[CurrentParent]]</f>
        <v>1</v>
      </c>
      <c r="K1352" s="69" t="str">
        <f ca="1"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138" t="str">
        <f ca="1"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 ca="1">IF(Proc[[#This Row],[type]]="LFF (MDG-F)",MID(Proc[[#This Row],[Obj]],13,10),"")</f>
        <v/>
      </c>
      <c r="J1353" s="69" t="b">
        <f ca="1">Proc[[#This Row],[Requested]]=Proc[[#This Row],[CurrentParent]]</f>
        <v>1</v>
      </c>
      <c r="K1353" s="69" t="str">
        <f ca="1"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138" t="str">
        <f ca="1"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 ca="1">IF(Proc[[#This Row],[type]]="LFF (MDG-F)",MID(Proc[[#This Row],[Obj]],13,10),"")</f>
        <v/>
      </c>
      <c r="J1354" s="69" t="b">
        <f ca="1">Proc[[#This Row],[Requested]]=Proc[[#This Row],[CurrentParent]]</f>
        <v>1</v>
      </c>
      <c r="K1354" s="69" t="str">
        <f ca="1"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138" t="str">
        <f ca="1"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 ca="1">IF(Proc[[#This Row],[type]]="LFF (MDG-F)",MID(Proc[[#This Row],[Obj]],13,10),"")</f>
        <v/>
      </c>
      <c r="J1355" s="69" t="b">
        <f ca="1">Proc[[#This Row],[Requested]]=Proc[[#This Row],[CurrentParent]]</f>
        <v>1</v>
      </c>
      <c r="K1355" s="69" t="str">
        <f ca="1"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138" t="str">
        <f ca="1"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 ca="1">IF(Proc[[#This Row],[type]]="LFF (MDG-F)",MID(Proc[[#This Row],[Obj]],13,10),"")</f>
        <v/>
      </c>
      <c r="J1356" s="69" t="b">
        <f ca="1">Proc[[#This Row],[Requested]]=Proc[[#This Row],[CurrentParent]]</f>
        <v>1</v>
      </c>
      <c r="K1356" s="69" t="str">
        <f ca="1"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138" t="str">
        <f ca="1"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 ca="1">IF(Proc[[#This Row],[type]]="LFF (MDG-F)",MID(Proc[[#This Row],[Obj]],13,10),"")</f>
        <v/>
      </c>
      <c r="J1357" s="69" t="b">
        <f ca="1">Proc[[#This Row],[Requested]]=Proc[[#This Row],[CurrentParent]]</f>
        <v>1</v>
      </c>
      <c r="K1357" s="69" t="str">
        <f ca="1"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138" t="str">
        <f ca="1"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 ca="1">IF(Proc[[#This Row],[type]]="LFF (MDG-F)",MID(Proc[[#This Row],[Obj]],13,10),"")</f>
        <v/>
      </c>
      <c r="J1358" s="69" t="b">
        <f ca="1">Proc[[#This Row],[Requested]]=Proc[[#This Row],[CurrentParent]]</f>
        <v>1</v>
      </c>
      <c r="K1358" s="69" t="str">
        <f ca="1"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138" t="str">
        <f ca="1"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 ca="1">IF(Proc[[#This Row],[type]]="LFF (MDG-F)",MID(Proc[[#This Row],[Obj]],13,10),"")</f>
        <v/>
      </c>
      <c r="J1359" s="69" t="b">
        <f ca="1">Proc[[#This Row],[Requested]]=Proc[[#This Row],[CurrentParent]]</f>
        <v>1</v>
      </c>
      <c r="K1359" s="69" t="str">
        <f ca="1"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138" t="str">
        <f ca="1"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 ca="1">IF(Proc[[#This Row],[type]]="LFF (MDG-F)",MID(Proc[[#This Row],[Obj]],13,10),"")</f>
        <v>DE10OF0003</v>
      </c>
      <c r="I1360" t="s">
        <v>3182</v>
      </c>
      <c r="J1360" s="69" t="b">
        <f ca="1">Proc[[#This Row],[Requested]]=Proc[[#This Row],[CurrentParent]]</f>
        <v>1</v>
      </c>
      <c r="K1360" s="69" t="str">
        <f ca="1"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138" t="str">
        <f ca="1"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 ca="1">IF(Proc[[#This Row],[type]]="LFF (MDG-F)",MID(Proc[[#This Row],[Obj]],13,10),"")</f>
        <v>1756OF0001</v>
      </c>
      <c r="I1361" t="s">
        <v>3182</v>
      </c>
      <c r="J1361" s="69" t="b">
        <f ca="1">Proc[[#This Row],[Requested]]=Proc[[#This Row],[CurrentParent]]</f>
        <v>1</v>
      </c>
      <c r="K1361" s="69" t="str">
        <f ca="1"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138" t="str">
        <f ca="1"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 ca="1">IF(Proc[[#This Row],[type]]="LFF (MDG-F)",MID(Proc[[#This Row],[Obj]],13,10),"")</f>
        <v>1756OF0006</v>
      </c>
      <c r="I1362" t="s">
        <v>3182</v>
      </c>
      <c r="J1362" s="69" t="b">
        <f ca="1">Proc[[#This Row],[Requested]]=Proc[[#This Row],[CurrentParent]]</f>
        <v>1</v>
      </c>
      <c r="K1362" s="69" t="str">
        <f ca="1"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138" t="str">
        <f ca="1"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 ca="1">IF(Proc[[#This Row],[type]]="LFF (MDG-F)",MID(Proc[[#This Row],[Obj]],13,10),"")</f>
        <v>1756OF7061</v>
      </c>
      <c r="I1363" t="s">
        <v>3182</v>
      </c>
      <c r="J1363" s="69" t="b">
        <f ca="1">Proc[[#This Row],[Requested]]=Proc[[#This Row],[CurrentParent]]</f>
        <v>1</v>
      </c>
      <c r="K1363" s="69" t="str">
        <f ca="1"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138" t="str">
        <f ca="1"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 ca="1">IF(Proc[[#This Row],[type]]="LFF (MDG-F)",MID(Proc[[#This Row],[Obj]],13,10),"")</f>
        <v>1756OF7094</v>
      </c>
      <c r="I1364" t="s">
        <v>3182</v>
      </c>
      <c r="J1364" s="69" t="b">
        <f ca="1">Proc[[#This Row],[Requested]]=Proc[[#This Row],[CurrentParent]]</f>
        <v>1</v>
      </c>
      <c r="K1364" s="69" t="str">
        <f ca="1"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138" t="str">
        <f ca="1"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 ca="1">IF(Proc[[#This Row],[type]]="LFF (MDG-F)",MID(Proc[[#This Row],[Obj]],13,10),"")</f>
        <v>2148OF0261</v>
      </c>
      <c r="I1365" t="s">
        <v>3182</v>
      </c>
      <c r="J1365" s="69" t="b">
        <f ca="1">Proc[[#This Row],[Requested]]=Proc[[#This Row],[CurrentParent]]</f>
        <v>1</v>
      </c>
      <c r="K1365" s="69" t="str">
        <f ca="1"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138" t="str">
        <f ca="1"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 ca="1">IF(Proc[[#This Row],[type]]="LFF (MDG-F)",MID(Proc[[#This Row],[Obj]],13,10),"")</f>
        <v/>
      </c>
      <c r="J1366" s="69" t="b">
        <f ca="1">Proc[[#This Row],[Requested]]=Proc[[#This Row],[CurrentParent]]</f>
        <v>1</v>
      </c>
      <c r="K1366" s="69" t="str">
        <f ca="1"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138" t="str">
        <f ca="1"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 ca="1">IF(Proc[[#This Row],[type]]="LFF (MDG-F)",MID(Proc[[#This Row],[Obj]],13,10),"")</f>
        <v/>
      </c>
      <c r="J1367" s="69" t="b">
        <f ca="1">Proc[[#This Row],[Requested]]=Proc[[#This Row],[CurrentParent]]</f>
        <v>1</v>
      </c>
      <c r="K1367" s="69" t="str">
        <f ca="1"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138" t="str">
        <f ca="1"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 ca="1">IF(Proc[[#This Row],[type]]="LFF (MDG-F)",MID(Proc[[#This Row],[Obj]],13,10),"")</f>
        <v/>
      </c>
      <c r="J1368" s="69" t="b">
        <f ca="1">Proc[[#This Row],[Requested]]=Proc[[#This Row],[CurrentParent]]</f>
        <v>1</v>
      </c>
      <c r="K1368" s="69" t="str">
        <f ca="1"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138" t="str">
        <f ca="1"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 ca="1">IF(Proc[[#This Row],[type]]="LFF (MDG-F)",MID(Proc[[#This Row],[Obj]],13,10),"")</f>
        <v/>
      </c>
      <c r="J1369" s="69" t="b">
        <f ca="1">Proc[[#This Row],[Requested]]=Proc[[#This Row],[CurrentParent]]</f>
        <v>1</v>
      </c>
      <c r="K1369" s="69" t="str">
        <f ca="1"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138" t="str">
        <f ca="1"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 ca="1">IF(Proc[[#This Row],[type]]="LFF (MDG-F)",MID(Proc[[#This Row],[Obj]],13,10),"")</f>
        <v/>
      </c>
      <c r="J1370" s="69" t="b">
        <f ca="1">Proc[[#This Row],[Requested]]=Proc[[#This Row],[CurrentParent]]</f>
        <v>1</v>
      </c>
      <c r="K1370" s="69" t="str">
        <f ca="1"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138" t="str">
        <f ca="1"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 ca="1">IF(Proc[[#This Row],[type]]="LFF (MDG-F)",MID(Proc[[#This Row],[Obj]],13,10),"")</f>
        <v/>
      </c>
      <c r="J1371" s="69" t="b">
        <f ca="1">Proc[[#This Row],[Requested]]=Proc[[#This Row],[CurrentParent]]</f>
        <v>1</v>
      </c>
      <c r="K1371" s="69" t="str">
        <f ca="1"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138" t="str">
        <f ca="1"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 ca="1">IF(Proc[[#This Row],[type]]="LFF (MDG-F)",MID(Proc[[#This Row],[Obj]],13,10),"")</f>
        <v/>
      </c>
      <c r="J1372" s="69" t="b">
        <f ca="1">Proc[[#This Row],[Requested]]=Proc[[#This Row],[CurrentParent]]</f>
        <v>1</v>
      </c>
      <c r="K1372" s="69" t="str">
        <f ca="1"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138" t="str">
        <f ca="1"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 ca="1">IF(Proc[[#This Row],[type]]="LFF (MDG-F)",MID(Proc[[#This Row],[Obj]],13,10),"")</f>
        <v/>
      </c>
      <c r="J1373" s="69" t="b">
        <f ca="1">Proc[[#This Row],[Requested]]=Proc[[#This Row],[CurrentParent]]</f>
        <v>1</v>
      </c>
      <c r="K1373" s="69" t="str">
        <f ca="1"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138" t="str">
        <f ca="1"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 ca="1">IF(Proc[[#This Row],[type]]="LFF (MDG-F)",MID(Proc[[#This Row],[Obj]],13,10),"")</f>
        <v/>
      </c>
      <c r="J1374" s="69" t="b">
        <f ca="1">Proc[[#This Row],[Requested]]=Proc[[#This Row],[CurrentParent]]</f>
        <v>1</v>
      </c>
      <c r="K1374" s="69" t="str">
        <f ca="1"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138" t="str">
        <f ca="1"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 ca="1">IF(Proc[[#This Row],[type]]="LFF (MDG-F)",MID(Proc[[#This Row],[Obj]],13,10),"")</f>
        <v/>
      </c>
      <c r="J1375" s="69" t="b">
        <f ca="1">Proc[[#This Row],[Requested]]=Proc[[#This Row],[CurrentParent]]</f>
        <v>1</v>
      </c>
      <c r="K1375" s="69" t="str">
        <f ca="1"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138" t="str">
        <f ca="1"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 ca="1">IF(Proc[[#This Row],[type]]="LFF (MDG-F)",MID(Proc[[#This Row],[Obj]],13,10),"")</f>
        <v/>
      </c>
      <c r="J1376" s="69" t="b">
        <f ca="1">Proc[[#This Row],[Requested]]=Proc[[#This Row],[CurrentParent]]</f>
        <v>1</v>
      </c>
      <c r="K1376" s="69" t="str">
        <f ca="1"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138" t="str">
        <f ca="1"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 ca="1">IF(Proc[[#This Row],[type]]="LFF (MDG-F)",MID(Proc[[#This Row],[Obj]],13,10),"")</f>
        <v/>
      </c>
      <c r="J1377" s="69" t="b">
        <f ca="1">Proc[[#This Row],[Requested]]=Proc[[#This Row],[CurrentParent]]</f>
        <v>1</v>
      </c>
      <c r="K1377" s="69" t="str">
        <f ca="1"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138" t="str">
        <f ca="1"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 ca="1">IF(Proc[[#This Row],[type]]="LFF (MDG-F)",MID(Proc[[#This Row],[Obj]],13,10),"")</f>
        <v/>
      </c>
      <c r="J1378" s="69" t="b">
        <f ca="1">Proc[[#This Row],[Requested]]=Proc[[#This Row],[CurrentParent]]</f>
        <v>1</v>
      </c>
      <c r="K1378" s="69" t="str">
        <f ca="1"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138" t="str">
        <f ca="1"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 ca="1">IF(Proc[[#This Row],[type]]="LFF (MDG-F)",MID(Proc[[#This Row],[Obj]],13,10),"")</f>
        <v/>
      </c>
      <c r="J1379" s="69" t="b">
        <f ca="1">Proc[[#This Row],[Requested]]=Proc[[#This Row],[CurrentParent]]</f>
        <v>1</v>
      </c>
      <c r="K1379" s="69" t="str">
        <f ca="1"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138" t="str">
        <f ca="1"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 ca="1">IF(Proc[[#This Row],[type]]="LFF (MDG-F)",MID(Proc[[#This Row],[Obj]],13,10),"")</f>
        <v/>
      </c>
      <c r="J1380" s="69" t="b">
        <f ca="1">Proc[[#This Row],[Requested]]=Proc[[#This Row],[CurrentParent]]</f>
        <v>1</v>
      </c>
      <c r="K1380" s="69" t="str">
        <f ca="1"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138" t="str">
        <f ca="1"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 ca="1">IF(Proc[[#This Row],[type]]="LFF (MDG-F)",MID(Proc[[#This Row],[Obj]],13,10),"")</f>
        <v/>
      </c>
      <c r="J1381" s="69" t="b">
        <f ca="1">Proc[[#This Row],[Requested]]=Proc[[#This Row],[CurrentParent]]</f>
        <v>1</v>
      </c>
      <c r="K1381" s="69" t="str">
        <f ca="1"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138" t="str">
        <f ca="1"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 ca="1">IF(Proc[[#This Row],[type]]="LFF (MDG-F)",MID(Proc[[#This Row],[Obj]],13,10),"")</f>
        <v/>
      </c>
      <c r="J1382" s="69" t="b">
        <f ca="1">Proc[[#This Row],[Requested]]=Proc[[#This Row],[CurrentParent]]</f>
        <v>1</v>
      </c>
      <c r="K1382" s="69" t="str">
        <f ca="1"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138" t="str">
        <f ca="1"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 ca="1">IF(Proc[[#This Row],[type]]="LFF (MDG-F)",MID(Proc[[#This Row],[Obj]],13,10),"")</f>
        <v/>
      </c>
      <c r="J1383" s="69" t="b">
        <f ca="1">Proc[[#This Row],[Requested]]=Proc[[#This Row],[CurrentParent]]</f>
        <v>1</v>
      </c>
      <c r="K1383" s="69" t="str">
        <f ca="1"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138" t="str">
        <f ca="1"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 ca="1">IF(Proc[[#This Row],[type]]="LFF (MDG-F)",MID(Proc[[#This Row],[Obj]],13,10),"")</f>
        <v/>
      </c>
      <c r="J1384" s="69" t="b">
        <f ca="1">Proc[[#This Row],[Requested]]=Proc[[#This Row],[CurrentParent]]</f>
        <v>1</v>
      </c>
      <c r="K1384" s="69" t="str">
        <f ca="1"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138" t="str">
        <f ca="1"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 ca="1">IF(Proc[[#This Row],[type]]="LFF (MDG-F)",MID(Proc[[#This Row],[Obj]],13,10),"")</f>
        <v/>
      </c>
      <c r="J1385" s="69" t="b">
        <f ca="1">Proc[[#This Row],[Requested]]=Proc[[#This Row],[CurrentParent]]</f>
        <v>1</v>
      </c>
      <c r="K1385" s="69" t="str">
        <f ca="1"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138" t="str">
        <f ca="1"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 ca="1">IF(Proc[[#This Row],[type]]="LFF (MDG-F)",MID(Proc[[#This Row],[Obj]],13,10),"")</f>
        <v/>
      </c>
      <c r="J1386" s="69" t="b">
        <f ca="1">Proc[[#This Row],[Requested]]=Proc[[#This Row],[CurrentParent]]</f>
        <v>1</v>
      </c>
      <c r="K1386" s="69" t="str">
        <f ca="1"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138" t="str">
        <f ca="1"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 ca="1">IF(Proc[[#This Row],[type]]="LFF (MDG-F)",MID(Proc[[#This Row],[Obj]],13,10),"")</f>
        <v/>
      </c>
      <c r="J1387" s="69" t="b">
        <f ca="1">Proc[[#This Row],[Requested]]=Proc[[#This Row],[CurrentParent]]</f>
        <v>1</v>
      </c>
      <c r="K1387" s="69" t="str">
        <f ca="1"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138" t="str">
        <f ca="1"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 ca="1">IF(Proc[[#This Row],[type]]="LFF (MDG-F)",MID(Proc[[#This Row],[Obj]],13,10),"")</f>
        <v/>
      </c>
      <c r="J1388" s="69" t="b">
        <f ca="1">Proc[[#This Row],[Requested]]=Proc[[#This Row],[CurrentParent]]</f>
        <v>1</v>
      </c>
      <c r="K1388" s="69" t="str">
        <f ca="1"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138" t="str">
        <f ca="1"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 ca="1">IF(Proc[[#This Row],[type]]="LFF (MDG-F)",MID(Proc[[#This Row],[Obj]],13,10),"")</f>
        <v/>
      </c>
      <c r="J1389" s="69" t="b">
        <f ca="1">Proc[[#This Row],[Requested]]=Proc[[#This Row],[CurrentParent]]</f>
        <v>1</v>
      </c>
      <c r="K1389" s="69" t="str">
        <f ca="1"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138" t="str">
        <f ca="1"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 ca="1">IF(Proc[[#This Row],[type]]="LFF (MDG-F)",MID(Proc[[#This Row],[Obj]],13,10),"")</f>
        <v/>
      </c>
      <c r="J1390" s="69" t="b">
        <f ca="1">Proc[[#This Row],[Requested]]=Proc[[#This Row],[CurrentParent]]</f>
        <v>1</v>
      </c>
      <c r="K1390" s="69" t="str">
        <f ca="1"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138" t="str">
        <f ca="1"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 ca="1">IF(Proc[[#This Row],[type]]="LFF (MDG-F)",MID(Proc[[#This Row],[Obj]],13,10),"")</f>
        <v/>
      </c>
      <c r="J1391" s="69" t="b">
        <f ca="1">Proc[[#This Row],[Requested]]=Proc[[#This Row],[CurrentParent]]</f>
        <v>1</v>
      </c>
      <c r="K1391" s="69" t="str">
        <f ca="1"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138" t="str">
        <f ca="1"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 ca="1">IF(Proc[[#This Row],[type]]="LFF (MDG-F)",MID(Proc[[#This Row],[Obj]],13,10),"")</f>
        <v/>
      </c>
      <c r="J1392" s="69" t="b">
        <f ca="1">Proc[[#This Row],[Requested]]=Proc[[#This Row],[CurrentParent]]</f>
        <v>1</v>
      </c>
      <c r="K1392" s="69" t="str">
        <f ca="1"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138" t="str">
        <f ca="1"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 ca="1">IF(Proc[[#This Row],[type]]="LFF (MDG-F)",MID(Proc[[#This Row],[Obj]],13,10),"")</f>
        <v/>
      </c>
      <c r="J1393" s="69" t="b">
        <f ca="1">Proc[[#This Row],[Requested]]=Proc[[#This Row],[CurrentParent]]</f>
        <v>1</v>
      </c>
      <c r="K1393" s="69" t="str">
        <f ca="1"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138" t="str">
        <f ca="1"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 ca="1">IF(Proc[[#This Row],[type]]="LFF (MDG-F)",MID(Proc[[#This Row],[Obj]],13,10),"")</f>
        <v/>
      </c>
      <c r="J1394" s="69" t="b">
        <f ca="1">Proc[[#This Row],[Requested]]=Proc[[#This Row],[CurrentParent]]</f>
        <v>1</v>
      </c>
      <c r="K1394" s="69" t="str">
        <f ca="1"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138" t="str">
        <f ca="1"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 ca="1">IF(Proc[[#This Row],[type]]="LFF (MDG-F)",MID(Proc[[#This Row],[Obj]],13,10),"")</f>
        <v/>
      </c>
      <c r="J1395" s="69" t="b">
        <f ca="1">Proc[[#This Row],[Requested]]=Proc[[#This Row],[CurrentParent]]</f>
        <v>1</v>
      </c>
      <c r="K1395" s="69" t="str">
        <f ca="1"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138" t="str">
        <f ca="1"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 ca="1">IF(Proc[[#This Row],[type]]="LFF (MDG-F)",MID(Proc[[#This Row],[Obj]],13,10),"")</f>
        <v/>
      </c>
      <c r="J1396" s="69" t="b">
        <f ca="1">Proc[[#This Row],[Requested]]=Proc[[#This Row],[CurrentParent]]</f>
        <v>1</v>
      </c>
      <c r="K1396" s="69" t="str">
        <f ca="1"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138" t="str">
        <f ca="1"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 ca="1">IF(Proc[[#This Row],[type]]="LFF (MDG-F)",MID(Proc[[#This Row],[Obj]],13,10),"")</f>
        <v/>
      </c>
      <c r="J1397" s="69" t="b">
        <f ca="1">Proc[[#This Row],[Requested]]=Proc[[#This Row],[CurrentParent]]</f>
        <v>1</v>
      </c>
      <c r="K1397" s="69" t="str">
        <f ca="1"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138" t="str">
        <f ca="1"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 ca="1">IF(Proc[[#This Row],[type]]="LFF (MDG-F)",MID(Proc[[#This Row],[Obj]],13,10),"")</f>
        <v/>
      </c>
      <c r="J1398" s="69" t="b">
        <f ca="1">Proc[[#This Row],[Requested]]=Proc[[#This Row],[CurrentParent]]</f>
        <v>1</v>
      </c>
      <c r="K1398" s="69" t="str">
        <f ca="1"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138" t="str">
        <f ca="1"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 ca="1">IF(Proc[[#This Row],[type]]="LFF (MDG-F)",MID(Proc[[#This Row],[Obj]],13,10),"")</f>
        <v/>
      </c>
      <c r="J1399" s="69" t="b">
        <f ca="1">Proc[[#This Row],[Requested]]=Proc[[#This Row],[CurrentParent]]</f>
        <v>1</v>
      </c>
      <c r="K1399" s="69" t="str">
        <f ca="1"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138" t="str">
        <f ca="1"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 ca="1">IF(Proc[[#This Row],[type]]="LFF (MDG-F)",MID(Proc[[#This Row],[Obj]],13,10),"")</f>
        <v/>
      </c>
      <c r="J1400" s="69" t="b">
        <f ca="1">Proc[[#This Row],[Requested]]=Proc[[#This Row],[CurrentParent]]</f>
        <v>1</v>
      </c>
      <c r="K1400" s="69" t="str">
        <f ca="1"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138" t="str">
        <f ca="1"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 ca="1">IF(Proc[[#This Row],[type]]="LFF (MDG-F)",MID(Proc[[#This Row],[Obj]],13,10),"")</f>
        <v/>
      </c>
      <c r="J1401" s="69" t="b">
        <f ca="1">Proc[[#This Row],[Requested]]=Proc[[#This Row],[CurrentParent]]</f>
        <v>1</v>
      </c>
      <c r="K1401" s="69" t="str">
        <f ca="1"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138" t="str">
        <f ca="1"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 ca="1">IF(Proc[[#This Row],[type]]="LFF (MDG-F)",MID(Proc[[#This Row],[Obj]],13,10),"")</f>
        <v/>
      </c>
      <c r="J1402" s="69" t="b">
        <f ca="1">Proc[[#This Row],[Requested]]=Proc[[#This Row],[CurrentParent]]</f>
        <v>1</v>
      </c>
      <c r="K1402" s="69" t="str">
        <f ca="1"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138" t="str">
        <f ca="1"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 ca="1">IF(Proc[[#This Row],[type]]="LFF (MDG-F)",MID(Proc[[#This Row],[Obj]],13,10),"")</f>
        <v/>
      </c>
      <c r="J1403" s="69" t="b">
        <f ca="1">Proc[[#This Row],[Requested]]=Proc[[#This Row],[CurrentParent]]</f>
        <v>1</v>
      </c>
      <c r="K1403" s="69" t="str">
        <f ca="1"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138" t="str">
        <f ca="1"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 ca="1">IF(Proc[[#This Row],[type]]="LFF (MDG-F)",MID(Proc[[#This Row],[Obj]],13,10),"")</f>
        <v/>
      </c>
      <c r="J1404" s="69" t="b">
        <f ca="1">Proc[[#This Row],[Requested]]=Proc[[#This Row],[CurrentParent]]</f>
        <v>1</v>
      </c>
      <c r="K1404" s="69" t="str">
        <f ca="1"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138" t="str">
        <f ca="1"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 ca="1">IF(Proc[[#This Row],[type]]="LFF (MDG-F)",MID(Proc[[#This Row],[Obj]],13,10),"")</f>
        <v/>
      </c>
      <c r="J1405" s="69" t="b">
        <f ca="1">Proc[[#This Row],[Requested]]=Proc[[#This Row],[CurrentParent]]</f>
        <v>1</v>
      </c>
      <c r="K1405" s="69" t="str">
        <f ca="1"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138" t="str">
        <f ca="1"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 ca="1">IF(Proc[[#This Row],[type]]="LFF (MDG-F)",MID(Proc[[#This Row],[Obj]],13,10),"")</f>
        <v/>
      </c>
      <c r="J1406" s="69" t="b">
        <f ca="1">Proc[[#This Row],[Requested]]=Proc[[#This Row],[CurrentParent]]</f>
        <v>1</v>
      </c>
      <c r="K1406" s="69" t="str">
        <f ca="1"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138" t="str">
        <f ca="1"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 ca="1">IF(Proc[[#This Row],[type]]="LFF (MDG-F)",MID(Proc[[#This Row],[Obj]],13,10),"")</f>
        <v/>
      </c>
      <c r="J1407" s="69" t="b">
        <f ca="1">Proc[[#This Row],[Requested]]=Proc[[#This Row],[CurrentParent]]</f>
        <v>1</v>
      </c>
      <c r="K1407" s="69" t="str">
        <f ca="1"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138" t="str">
        <f ca="1"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 ca="1">IF(Proc[[#This Row],[type]]="LFF (MDG-F)",MID(Proc[[#This Row],[Obj]],13,10),"")</f>
        <v/>
      </c>
      <c r="J1408" s="69" t="b">
        <f ca="1">Proc[[#This Row],[Requested]]=Proc[[#This Row],[CurrentParent]]</f>
        <v>1</v>
      </c>
      <c r="K1408" s="69" t="str">
        <f ca="1"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138" t="str">
        <f ca="1"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 ca="1">IF(Proc[[#This Row],[type]]="LFF (MDG-F)",MID(Proc[[#This Row],[Obj]],13,10),"")</f>
        <v/>
      </c>
      <c r="J1409" s="69" t="b">
        <f ca="1">Proc[[#This Row],[Requested]]=Proc[[#This Row],[CurrentParent]]</f>
        <v>1</v>
      </c>
      <c r="K1409" s="69" t="str">
        <f ca="1"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138" t="str">
        <f ca="1"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 ca="1">IF(Proc[[#This Row],[type]]="LFF (MDG-F)",MID(Proc[[#This Row],[Obj]],13,10),"")</f>
        <v/>
      </c>
      <c r="J1410" s="69" t="b">
        <f ca="1">Proc[[#This Row],[Requested]]=Proc[[#This Row],[CurrentParent]]</f>
        <v>1</v>
      </c>
      <c r="K1410" s="69" t="str">
        <f ca="1"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138" t="str">
        <f ca="1"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 ca="1">IF(Proc[[#This Row],[type]]="LFF (MDG-F)",MID(Proc[[#This Row],[Obj]],13,10),"")</f>
        <v/>
      </c>
      <c r="J1411" s="69" t="b">
        <f ca="1">Proc[[#This Row],[Requested]]=Proc[[#This Row],[CurrentParent]]</f>
        <v>1</v>
      </c>
      <c r="K1411" s="69" t="str">
        <f ca="1"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138" t="str">
        <f ca="1"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 ca="1">IF(Proc[[#This Row],[type]]="LFF (MDG-F)",MID(Proc[[#This Row],[Obj]],13,10),"")</f>
        <v/>
      </c>
      <c r="J1412" s="69" t="b">
        <f ca="1">Proc[[#This Row],[Requested]]=Proc[[#This Row],[CurrentParent]]</f>
        <v>1</v>
      </c>
      <c r="K1412" s="69" t="str">
        <f ca="1"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138" t="str">
        <f ca="1"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 ca="1">IF(Proc[[#This Row],[type]]="LFF (MDG-F)",MID(Proc[[#This Row],[Obj]],13,10),"")</f>
        <v/>
      </c>
      <c r="J1413" s="69" t="b">
        <f ca="1">Proc[[#This Row],[Requested]]=Proc[[#This Row],[CurrentParent]]</f>
        <v>1</v>
      </c>
      <c r="K1413" s="69" t="str">
        <f ca="1"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138" t="str">
        <f ca="1"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 ca="1">IF(Proc[[#This Row],[type]]="LFF (MDG-F)",MID(Proc[[#This Row],[Obj]],13,10),"")</f>
        <v/>
      </c>
      <c r="J1414" s="69" t="b">
        <f ca="1">Proc[[#This Row],[Requested]]=Proc[[#This Row],[CurrentParent]]</f>
        <v>1</v>
      </c>
      <c r="K1414" s="69" t="str">
        <f ca="1"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138" t="str">
        <f ca="1"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 ca="1">IF(Proc[[#This Row],[type]]="LFF (MDG-F)",MID(Proc[[#This Row],[Obj]],13,10),"")</f>
        <v/>
      </c>
      <c r="J1415" s="69" t="b">
        <f ca="1">Proc[[#This Row],[Requested]]=Proc[[#This Row],[CurrentParent]]</f>
        <v>1</v>
      </c>
      <c r="K1415" s="69" t="str">
        <f ca="1"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138" t="str">
        <f ca="1"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 ca="1">IF(Proc[[#This Row],[type]]="LFF (MDG-F)",MID(Proc[[#This Row],[Obj]],13,10),"")</f>
        <v/>
      </c>
      <c r="J1416" s="69" t="b">
        <f ca="1">Proc[[#This Row],[Requested]]=Proc[[#This Row],[CurrentParent]]</f>
        <v>1</v>
      </c>
      <c r="K1416" s="69" t="str">
        <f ca="1"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138" t="str">
        <f ca="1"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 ca="1">IF(Proc[[#This Row],[type]]="LFF (MDG-F)",MID(Proc[[#This Row],[Obj]],13,10),"")</f>
        <v/>
      </c>
      <c r="J1417" s="69" t="b">
        <f ca="1">Proc[[#This Row],[Requested]]=Proc[[#This Row],[CurrentParent]]</f>
        <v>1</v>
      </c>
      <c r="K1417" s="69" t="str">
        <f ca="1"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138" t="str">
        <f ca="1"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 ca="1">IF(Proc[[#This Row],[type]]="LFF (MDG-F)",MID(Proc[[#This Row],[Obj]],13,10),"")</f>
        <v/>
      </c>
      <c r="J1418" s="69" t="b">
        <f ca="1">Proc[[#This Row],[Requested]]=Proc[[#This Row],[CurrentParent]]</f>
        <v>1</v>
      </c>
      <c r="K1418" s="69" t="str">
        <f ca="1"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138" t="str">
        <f ca="1"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 ca="1">IF(Proc[[#This Row],[type]]="LFF (MDG-F)",MID(Proc[[#This Row],[Obj]],13,10),"")</f>
        <v/>
      </c>
      <c r="J1419" s="69" t="b">
        <f ca="1">Proc[[#This Row],[Requested]]=Proc[[#This Row],[CurrentParent]]</f>
        <v>1</v>
      </c>
      <c r="K1419" s="69" t="str">
        <f ca="1"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138" t="str">
        <f ca="1"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 ca="1">IF(Proc[[#This Row],[type]]="LFF (MDG-F)",MID(Proc[[#This Row],[Obj]],13,10),"")</f>
        <v/>
      </c>
      <c r="J1420" s="69" t="b">
        <f ca="1">Proc[[#This Row],[Requested]]=Proc[[#This Row],[CurrentParent]]</f>
        <v>1</v>
      </c>
      <c r="K1420" s="69" t="str">
        <f ca="1"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138" t="str">
        <f ca="1"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 ca="1">IF(Proc[[#This Row],[type]]="LFF (MDG-F)",MID(Proc[[#This Row],[Obj]],13,10),"")</f>
        <v/>
      </c>
      <c r="J1421" s="69" t="b">
        <f ca="1">Proc[[#This Row],[Requested]]=Proc[[#This Row],[CurrentParent]]</f>
        <v>1</v>
      </c>
      <c r="K1421" s="69" t="str">
        <f ca="1"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138" t="str">
        <f ca="1"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 ca="1">IF(Proc[[#This Row],[type]]="LFF (MDG-F)",MID(Proc[[#This Row],[Obj]],13,10),"")</f>
        <v/>
      </c>
      <c r="J1422" s="69" t="b">
        <f ca="1">Proc[[#This Row],[Requested]]=Proc[[#This Row],[CurrentParent]]</f>
        <v>1</v>
      </c>
      <c r="K1422" s="69" t="str">
        <f ca="1"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138" t="str">
        <f ca="1"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 ca="1">IF(Proc[[#This Row],[type]]="LFF (MDG-F)",MID(Proc[[#This Row],[Obj]],13,10),"")</f>
        <v/>
      </c>
      <c r="J1423" s="69" t="b">
        <f ca="1">Proc[[#This Row],[Requested]]=Proc[[#This Row],[CurrentParent]]</f>
        <v>1</v>
      </c>
      <c r="K1423" s="69" t="str">
        <f ca="1"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138" t="str">
        <f ca="1"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 ca="1">IF(Proc[[#This Row],[type]]="LFF (MDG-F)",MID(Proc[[#This Row],[Obj]],13,10),"")</f>
        <v/>
      </c>
      <c r="J1424" s="69" t="b">
        <f ca="1">Proc[[#This Row],[Requested]]=Proc[[#This Row],[CurrentParent]]</f>
        <v>1</v>
      </c>
      <c r="K1424" s="69" t="str">
        <f ca="1"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138" t="str">
        <f ca="1"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 ca="1">IF(Proc[[#This Row],[type]]="LFF (MDG-F)",MID(Proc[[#This Row],[Obj]],13,10),"")</f>
        <v/>
      </c>
      <c r="J1425" s="69" t="b">
        <f ca="1">Proc[[#This Row],[Requested]]=Proc[[#This Row],[CurrentParent]]</f>
        <v>1</v>
      </c>
      <c r="K1425" s="69" t="str">
        <f ca="1"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138" t="str">
        <f ca="1"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 ca="1">IF(Proc[[#This Row],[type]]="LFF (MDG-F)",MID(Proc[[#This Row],[Obj]],13,10),"")</f>
        <v/>
      </c>
      <c r="J1426" s="69" t="b">
        <f ca="1">Proc[[#This Row],[Requested]]=Proc[[#This Row],[CurrentParent]]</f>
        <v>1</v>
      </c>
      <c r="K1426" s="69" t="str">
        <f ca="1"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138" t="str">
        <f ca="1"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 ca="1">IF(Proc[[#This Row],[type]]="LFF (MDG-F)",MID(Proc[[#This Row],[Obj]],13,10),"")</f>
        <v/>
      </c>
      <c r="J1427" s="69" t="b">
        <f ca="1">Proc[[#This Row],[Requested]]=Proc[[#This Row],[CurrentParent]]</f>
        <v>1</v>
      </c>
      <c r="K1427" s="69" t="str">
        <f ca="1"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138" t="str">
        <f ca="1"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 ca="1">IF(Proc[[#This Row],[type]]="LFF (MDG-F)",MID(Proc[[#This Row],[Obj]],13,10),"")</f>
        <v/>
      </c>
      <c r="J1428" s="69" t="b">
        <f ca="1">Proc[[#This Row],[Requested]]=Proc[[#This Row],[CurrentParent]]</f>
        <v>1</v>
      </c>
      <c r="K1428" s="69" t="str">
        <f ca="1"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138" t="str">
        <f ca="1"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 ca="1">IF(Proc[[#This Row],[type]]="LFF (MDG-F)",MID(Proc[[#This Row],[Obj]],13,10),"")</f>
        <v/>
      </c>
      <c r="J1429" s="69" t="b">
        <f ca="1">Proc[[#This Row],[Requested]]=Proc[[#This Row],[CurrentParent]]</f>
        <v>1</v>
      </c>
      <c r="K1429" s="69" t="str">
        <f ca="1"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138" t="str">
        <f ca="1"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 ca="1">IF(Proc[[#This Row],[type]]="LFF (MDG-F)",MID(Proc[[#This Row],[Obj]],13,10),"")</f>
        <v/>
      </c>
      <c r="J1430" s="69" t="b">
        <f ca="1">Proc[[#This Row],[Requested]]=Proc[[#This Row],[CurrentParent]]</f>
        <v>1</v>
      </c>
      <c r="K1430" s="69" t="str">
        <f ca="1"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 ca="1">VLOOKUP(Proc[[#This Row],[Obj]],#REF!,2,0)</f>
        <v>#REF!</v>
      </c>
    </row>
    <row r="1431" spans="1:19" hidden="1">
      <c r="A1431" t="s">
        <v>3183</v>
      </c>
      <c r="B1431" s="138" t="str">
        <f ca="1"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 ca="1">IF(Proc[[#This Row],[type]]="LFF (MDG-F)",MID(Proc[[#This Row],[Obj]],13,10),"")</f>
        <v>2123GM1021</v>
      </c>
      <c r="I1431" t="s">
        <v>1198</v>
      </c>
      <c r="J1431" s="69" t="b">
        <f ca="1">Proc[[#This Row],[Requested]]=Proc[[#This Row],[CurrentParent]]</f>
        <v>1</v>
      </c>
      <c r="K1431" s="69" t="str">
        <f ca="1"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138" t="str">
        <f ca="1"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 ca="1">IF(Proc[[#This Row],[type]]="LFF (MDG-F)",MID(Proc[[#This Row],[Obj]],13,10),"")</f>
        <v>2123GMB010</v>
      </c>
      <c r="I1432" t="s">
        <v>3188</v>
      </c>
      <c r="J1432" s="69" t="b">
        <f ca="1">Proc[[#This Row],[Requested]]=Proc[[#This Row],[CurrentParent]]</f>
        <v>1</v>
      </c>
      <c r="K1432" s="69" t="str">
        <f ca="1"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138" t="str">
        <f ca="1"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 ca="1">IF(Proc[[#This Row],[type]]="LFF (MDG-F)",MID(Proc[[#This Row],[Obj]],13,10),"")</f>
        <v>KE50C0FF10</v>
      </c>
      <c r="I1433" t="s">
        <v>3191</v>
      </c>
      <c r="J1433" s="69" t="b">
        <f ca="1">Proc[[#This Row],[Requested]]=Proc[[#This Row],[CurrentParent]]</f>
        <v>1</v>
      </c>
      <c r="K1433" s="69" t="str">
        <f ca="1"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138" t="str">
        <f ca="1"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 ca="1">IF(Proc[[#This Row],[type]]="LFF (MDG-F)",MID(Proc[[#This Row],[Obj]],13,10),"")</f>
        <v>2148TASA01</v>
      </c>
      <c r="J1434" s="69" t="b">
        <f ca="1">Proc[[#This Row],[Requested]]=Proc[[#This Row],[CurrentParent]]</f>
        <v>1</v>
      </c>
      <c r="K1434" s="69" t="str">
        <f ca="1"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85</v>
      </c>
      <c r="R1434" s="80" t="s">
        <v>489</v>
      </c>
      <c r="S1434" s="69"/>
    </row>
    <row r="1435" spans="1:19" hidden="1">
      <c r="A1435" s="72" t="s">
        <v>3192</v>
      </c>
      <c r="B1435" s="138" t="str">
        <f ca="1"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 ca="1">IF(Proc[[#This Row],[type]]="LFF (MDG-F)",MID(Proc[[#This Row],[Obj]],13,10),"")</f>
        <v>2148TASA99</v>
      </c>
      <c r="J1435" s="69" t="b">
        <f ca="1">Proc[[#This Row],[Requested]]=Proc[[#This Row],[CurrentParent]]</f>
        <v>1</v>
      </c>
      <c r="K1435" s="69" t="str">
        <f ca="1"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85</v>
      </c>
      <c r="R1435" s="80" t="s">
        <v>489</v>
      </c>
      <c r="S1435" s="69"/>
    </row>
    <row r="1436" spans="1:19" hidden="1">
      <c r="A1436" s="72" t="s">
        <v>3192</v>
      </c>
      <c r="B1436" s="138" t="str">
        <f ca="1"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 ca="1">IF(Proc[[#This Row],[type]]="LFF (MDG-F)",MID(Proc[[#This Row],[Obj]],13,10),"")</f>
        <v>2148TASB00</v>
      </c>
      <c r="J1436" s="69" t="b">
        <f ca="1">Proc[[#This Row],[Requested]]=Proc[[#This Row],[CurrentParent]]</f>
        <v>1</v>
      </c>
      <c r="K1436" s="69" t="str">
        <f ca="1"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85</v>
      </c>
      <c r="R1436" s="80" t="s">
        <v>489</v>
      </c>
      <c r="S1436" s="69"/>
    </row>
    <row r="1437" spans="1:19" hidden="1">
      <c r="A1437" s="72" t="s">
        <v>3192</v>
      </c>
      <c r="B1437" s="138" t="str">
        <f ca="1"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 ca="1">IF(Proc[[#This Row],[type]]="LFF (MDG-F)",MID(Proc[[#This Row],[Obj]],13,10),"")</f>
        <v>2148TASB01</v>
      </c>
      <c r="J1437" s="69" t="b">
        <f ca="1">Proc[[#This Row],[Requested]]=Proc[[#This Row],[CurrentParent]]</f>
        <v>1</v>
      </c>
      <c r="K1437" s="69" t="str">
        <f ca="1"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85</v>
      </c>
      <c r="R1437" s="80" t="s">
        <v>489</v>
      </c>
      <c r="S1437" s="69"/>
    </row>
    <row r="1438" spans="1:19" hidden="1">
      <c r="A1438" s="72" t="s">
        <v>3192</v>
      </c>
      <c r="B1438" s="138" t="str">
        <f ca="1"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 ca="1">IF(Proc[[#This Row],[type]]="LFF (MDG-F)",MID(Proc[[#This Row],[Obj]],13,10),"")</f>
        <v>2148TASB99</v>
      </c>
      <c r="J1438" s="69" t="b">
        <f ca="1">Proc[[#This Row],[Requested]]=Proc[[#This Row],[CurrentParent]]</f>
        <v>1</v>
      </c>
      <c r="K1438" s="69" t="str">
        <f ca="1"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85</v>
      </c>
      <c r="R1438" s="80" t="s">
        <v>489</v>
      </c>
      <c r="S1438" s="69"/>
    </row>
    <row r="1439" spans="1:19" hidden="1">
      <c r="A1439" s="72" t="s">
        <v>3192</v>
      </c>
      <c r="B1439" s="138" t="str">
        <f ca="1"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 ca="1">IF(Proc[[#This Row],[type]]="LFF (MDG-F)",MID(Proc[[#This Row],[Obj]],13,10),"")</f>
        <v>2148TBSZ20</v>
      </c>
      <c r="J1439" s="69" t="b">
        <f ca="1">Proc[[#This Row],[Requested]]=Proc[[#This Row],[CurrentParent]]</f>
        <v>1</v>
      </c>
      <c r="K1439" s="69" t="str">
        <f ca="1"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85</v>
      </c>
      <c r="R1439" s="80" t="s">
        <v>489</v>
      </c>
      <c r="S1439" s="69"/>
    </row>
    <row r="1440" spans="1:19" hidden="1">
      <c r="A1440" s="72" t="s">
        <v>3192</v>
      </c>
      <c r="B1440" s="138" t="str">
        <f ca="1"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 ca="1">IF(Proc[[#This Row],[type]]="LFF (MDG-F)",MID(Proc[[#This Row],[Obj]],13,10),"")</f>
        <v>2148TBSZ21</v>
      </c>
      <c r="J1440" s="69" t="b">
        <f ca="1">Proc[[#This Row],[Requested]]=Proc[[#This Row],[CurrentParent]]</f>
        <v>1</v>
      </c>
      <c r="K1440" s="69" t="str">
        <f ca="1"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85</v>
      </c>
      <c r="R1440" s="80" t="s">
        <v>489</v>
      </c>
      <c r="S1440" s="69"/>
    </row>
    <row r="1441" spans="1:19" hidden="1">
      <c r="A1441" s="72" t="s">
        <v>3192</v>
      </c>
      <c r="B1441" s="138" t="str">
        <f ca="1"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 ca="1">IF(Proc[[#This Row],[type]]="LFF (MDG-F)",MID(Proc[[#This Row],[Obj]],13,10),"")</f>
        <v>2148TFSZ64</v>
      </c>
      <c r="J1441" s="69" t="b">
        <f ca="1">Proc[[#This Row],[Requested]]=Proc[[#This Row],[CurrentParent]]</f>
        <v>1</v>
      </c>
      <c r="K1441" s="69" t="str">
        <f ca="1"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85</v>
      </c>
      <c r="R1441" s="80" t="s">
        <v>489</v>
      </c>
      <c r="S1441" s="69"/>
    </row>
    <row r="1442" spans="1:19" hidden="1">
      <c r="A1442" s="72" t="s">
        <v>3192</v>
      </c>
      <c r="B1442" s="138" t="str">
        <f ca="1"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 ca="1">IF(Proc[[#This Row],[type]]="LFF (MDG-F)",MID(Proc[[#This Row],[Obj]],13,10),"")</f>
        <v>2148TKSZ70</v>
      </c>
      <c r="J1442" s="69" t="b">
        <f ca="1">Proc[[#This Row],[Requested]]=Proc[[#This Row],[CurrentParent]]</f>
        <v>1</v>
      </c>
      <c r="K1442" s="69" t="str">
        <f ca="1"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85</v>
      </c>
      <c r="R1442" s="80" t="s">
        <v>489</v>
      </c>
      <c r="S1442" s="69"/>
    </row>
    <row r="1443" spans="1:19" hidden="1">
      <c r="A1443" s="72" t="s">
        <v>3192</v>
      </c>
      <c r="B1443" s="138" t="str">
        <f ca="1"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 ca="1">IF(Proc[[#This Row],[type]]="LFF (MDG-F)",MID(Proc[[#This Row],[Obj]],13,10),"")</f>
        <v>2148TQSZ91</v>
      </c>
      <c r="J1443" s="69" t="b">
        <f ca="1">Proc[[#This Row],[Requested]]=Proc[[#This Row],[CurrentParent]]</f>
        <v>1</v>
      </c>
      <c r="K1443" s="69" t="str">
        <f ca="1"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85</v>
      </c>
      <c r="R1443" s="80" t="s">
        <v>489</v>
      </c>
      <c r="S1443" s="69"/>
    </row>
    <row r="1444" spans="1:19" hidden="1">
      <c r="A1444" s="72" t="s">
        <v>3192</v>
      </c>
      <c r="B1444" s="138" t="str">
        <f ca="1"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 ca="1">IF(Proc[[#This Row],[type]]="LFF (MDG-F)",MID(Proc[[#This Row],[Obj]],13,10),"")</f>
        <v>2148TQSZ92</v>
      </c>
      <c r="J1444" s="69" t="b">
        <f ca="1">Proc[[#This Row],[Requested]]=Proc[[#This Row],[CurrentParent]]</f>
        <v>1</v>
      </c>
      <c r="K1444" s="69" t="str">
        <f ca="1"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85</v>
      </c>
      <c r="R1444" s="80" t="s">
        <v>489</v>
      </c>
      <c r="S1444" s="69"/>
    </row>
    <row r="1445" spans="1:19" hidden="1">
      <c r="A1445" s="72" t="s">
        <v>3192</v>
      </c>
      <c r="B1445" s="138" t="str">
        <f ca="1"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 ca="1">IF(Proc[[#This Row],[type]]="LFF (MDG-F)",MID(Proc[[#This Row],[Obj]],13,10),"")</f>
        <v>2148TCSZ30</v>
      </c>
      <c r="J1445" s="69" t="b">
        <f ca="1">Proc[[#This Row],[Requested]]=Proc[[#This Row],[CurrentParent]]</f>
        <v>1</v>
      </c>
      <c r="K1445" s="69" t="str">
        <f ca="1"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85</v>
      </c>
      <c r="R1445" s="80" t="s">
        <v>489</v>
      </c>
      <c r="S1445" s="69"/>
    </row>
    <row r="1446" spans="1:19" hidden="1">
      <c r="A1446" s="72" t="s">
        <v>3192</v>
      </c>
      <c r="B1446" s="138" t="str">
        <f ca="1"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 ca="1">IF(Proc[[#This Row],[type]]="LFF (MDG-F)",MID(Proc[[#This Row],[Obj]],13,10),"")</f>
        <v>2148TFSZ60</v>
      </c>
      <c r="J1446" s="69" t="b">
        <f ca="1">Proc[[#This Row],[Requested]]=Proc[[#This Row],[CurrentParent]]</f>
        <v>1</v>
      </c>
      <c r="K1446" s="69" t="str">
        <f ca="1"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85</v>
      </c>
      <c r="R1446" s="80" t="s">
        <v>489</v>
      </c>
      <c r="S1446" s="69"/>
    </row>
    <row r="1447" spans="1:19" hidden="1">
      <c r="A1447" s="72" t="s">
        <v>3192</v>
      </c>
      <c r="B1447" s="138" t="str">
        <f ca="1"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 ca="1">IF(Proc[[#This Row],[type]]="LFF (MDG-F)",MID(Proc[[#This Row],[Obj]],13,10),"")</f>
        <v>2148TFSZ61</v>
      </c>
      <c r="J1447" s="69" t="b">
        <f ca="1">Proc[[#This Row],[Requested]]=Proc[[#This Row],[CurrentParent]]</f>
        <v>1</v>
      </c>
      <c r="K1447" s="69" t="str">
        <f ca="1"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85</v>
      </c>
      <c r="R1447" s="80" t="s">
        <v>489</v>
      </c>
      <c r="S1447" s="69"/>
    </row>
    <row r="1448" spans="1:19" hidden="1">
      <c r="A1448" s="72" t="s">
        <v>3192</v>
      </c>
      <c r="B1448" s="138" t="str">
        <f ca="1"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 ca="1">IF(Proc[[#This Row],[type]]="LFF (MDG-F)",MID(Proc[[#This Row],[Obj]],13,10),"")</f>
        <v>2148TFSZ62</v>
      </c>
      <c r="J1448" s="69" t="b">
        <f ca="1">Proc[[#This Row],[Requested]]=Proc[[#This Row],[CurrentParent]]</f>
        <v>1</v>
      </c>
      <c r="K1448" s="69" t="str">
        <f ca="1"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85</v>
      </c>
      <c r="R1448" s="80" t="s">
        <v>489</v>
      </c>
      <c r="S1448" s="69"/>
    </row>
    <row r="1449" spans="1:19" hidden="1">
      <c r="A1449" s="72" t="s">
        <v>3192</v>
      </c>
      <c r="B1449" s="138" t="str">
        <f ca="1"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 ca="1">IF(Proc[[#This Row],[type]]="LFF (MDG-F)",MID(Proc[[#This Row],[Obj]],13,10),"")</f>
        <v>2148TFSZ63</v>
      </c>
      <c r="J1449" s="69" t="b">
        <f ca="1">Proc[[#This Row],[Requested]]=Proc[[#This Row],[CurrentParent]]</f>
        <v>1</v>
      </c>
      <c r="K1449" s="69" t="str">
        <f ca="1"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85</v>
      </c>
      <c r="R1449" s="80" t="s">
        <v>489</v>
      </c>
      <c r="S1449" s="69"/>
    </row>
    <row r="1450" spans="1:19" hidden="1">
      <c r="A1450" s="72" t="s">
        <v>3192</v>
      </c>
      <c r="B1450" s="138" t="str">
        <f ca="1"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 ca="1">IF(Proc[[#This Row],[type]]="LFF (MDG-F)",MID(Proc[[#This Row],[Obj]],13,10),"")</f>
        <v>2148TASA00</v>
      </c>
      <c r="J1450" s="69" t="b">
        <f ca="1">Proc[[#This Row],[Requested]]=Proc[[#This Row],[CurrentParent]]</f>
        <v>1</v>
      </c>
      <c r="K1450" s="69" t="str">
        <f ca="1"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85</v>
      </c>
      <c r="R1450" s="80" t="s">
        <v>489</v>
      </c>
      <c r="S1450" s="69"/>
    </row>
    <row r="1451" spans="1:19" hidden="1">
      <c r="A1451" s="72" t="s">
        <v>3192</v>
      </c>
      <c r="B1451" s="138" t="str">
        <f ca="1"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 ca="1">IF(Proc[[#This Row],[type]]="LFF (MDG-F)",MID(Proc[[#This Row],[Obj]],13,10),"")</f>
        <v>2148TASA00</v>
      </c>
      <c r="J1451" s="69" t="b">
        <f ca="1">Proc[[#This Row],[Requested]]=Proc[[#This Row],[CurrentParent]]</f>
        <v>1</v>
      </c>
      <c r="K1451" s="69" t="str">
        <f ca="1"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85</v>
      </c>
      <c r="R1451" s="80" t="s">
        <v>489</v>
      </c>
      <c r="S1451" s="69"/>
    </row>
    <row r="1452" spans="1:19" hidden="1">
      <c r="A1452" s="72" t="s">
        <v>3192</v>
      </c>
      <c r="B1452" s="138" t="str">
        <f ca="1"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 ca="1">IF(Proc[[#This Row],[type]]="LFF (MDG-F)",MID(Proc[[#This Row],[Obj]],13,10),"")</f>
        <v>2148TASA00</v>
      </c>
      <c r="J1452" s="69" t="b">
        <f ca="1">Proc[[#This Row],[Requested]]=Proc[[#This Row],[CurrentParent]]</f>
        <v>1</v>
      </c>
      <c r="K1452" s="69" t="str">
        <f ca="1"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85</v>
      </c>
      <c r="R1452" s="80" t="s">
        <v>489</v>
      </c>
      <c r="S1452" s="69"/>
    </row>
    <row r="1453" spans="1:19" hidden="1">
      <c r="A1453" s="72" t="s">
        <v>3192</v>
      </c>
      <c r="B1453" s="138" t="str">
        <f ca="1"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 ca="1">IF(Proc[[#This Row],[type]]="LFF (MDG-F)",MID(Proc[[#This Row],[Obj]],13,10),"")</f>
        <v>2148TASA00</v>
      </c>
      <c r="J1453" s="69" t="b">
        <f ca="1">Proc[[#This Row],[Requested]]=Proc[[#This Row],[CurrentParent]]</f>
        <v>1</v>
      </c>
      <c r="K1453" s="69" t="str">
        <f ca="1"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85</v>
      </c>
      <c r="R1453" s="80" t="s">
        <v>489</v>
      </c>
      <c r="S1453" s="69"/>
    </row>
    <row r="1454" spans="1:19" hidden="1">
      <c r="A1454" t="s">
        <v>3202</v>
      </c>
      <c r="B1454" s="138" t="str">
        <f ca="1"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 ca="1">IF(Proc[[#This Row],[type]]="LFF (MDG-F)",MID(Proc[[#This Row],[Obj]],13,10),"")</f>
        <v>DE04G0IT99</v>
      </c>
      <c r="I1454" t="s">
        <v>3286</v>
      </c>
      <c r="J1454" s="85" t="b">
        <f ca="1">Proc[[#This Row],[Requested]]=Proc[[#This Row],[CurrentParent]]</f>
        <v>1</v>
      </c>
      <c r="K1454" s="85" t="str">
        <f ca="1"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138" t="str">
        <f ca="1"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 ca="1">IF(Proc[[#This Row],[type]]="LFF (MDG-F)",MID(Proc[[#This Row],[Obj]],13,10),"")</f>
        <v>DE04O01001</v>
      </c>
      <c r="I1455" s="84" t="s">
        <v>3286</v>
      </c>
      <c r="J1455" s="85" t="b">
        <f ca="1">Proc[[#This Row],[Requested]]=Proc[[#This Row],[CurrentParent]]</f>
        <v>1</v>
      </c>
      <c r="K1455" s="85" t="str">
        <f ca="1"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138" t="str">
        <f ca="1"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 ca="1">IF(Proc[[#This Row],[type]]="LFF (MDG-F)",MID(Proc[[#This Row],[Obj]],13,10),"")</f>
        <v>DE04O01002</v>
      </c>
      <c r="I1456" s="84" t="s">
        <v>3286</v>
      </c>
      <c r="J1456" s="85" t="b">
        <f ca="1">Proc[[#This Row],[Requested]]=Proc[[#This Row],[CurrentParent]]</f>
        <v>1</v>
      </c>
      <c r="K1456" s="85" t="str">
        <f ca="1"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138" t="str">
        <f ca="1"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 ca="1">IF(Proc[[#This Row],[type]]="LFF (MDG-F)",MID(Proc[[#This Row],[Obj]],13,10),"")</f>
        <v>DE04Z03110</v>
      </c>
      <c r="I1457" s="84" t="s">
        <v>3286</v>
      </c>
      <c r="J1457" s="85" t="b">
        <f ca="1">Proc[[#This Row],[Requested]]=Proc[[#This Row],[CurrentParent]]</f>
        <v>1</v>
      </c>
      <c r="K1457" s="85" t="str">
        <f ca="1"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138" t="str">
        <f ca="1"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 ca="1">IF(Proc[[#This Row],[type]]="LFF (MDG-F)",MID(Proc[[#This Row],[Obj]],13,10),"")</f>
        <v/>
      </c>
      <c r="J1458" s="85" t="b">
        <f ca="1">Proc[[#This Row],[Requested]]=Proc[[#This Row],[CurrentParent]]</f>
        <v>1</v>
      </c>
      <c r="K1458" s="85" t="str">
        <f ca="1"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138" t="str">
        <f ca="1"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 ca="1">IF(Proc[[#This Row],[type]]="LFF (MDG-F)",MID(Proc[[#This Row],[Obj]],13,10),"")</f>
        <v/>
      </c>
      <c r="J1459" s="85" t="b">
        <f ca="1">Proc[[#This Row],[Requested]]=Proc[[#This Row],[CurrentParent]]</f>
        <v>1</v>
      </c>
      <c r="K1459" s="85" t="str">
        <f ca="1"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138" t="str">
        <f ca="1"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 ca="1">IF(Proc[[#This Row],[type]]="LFF (MDG-F)",MID(Proc[[#This Row],[Obj]],13,10),"")</f>
        <v>CN01Z03105</v>
      </c>
      <c r="I1460" s="84" t="s">
        <v>3286</v>
      </c>
      <c r="J1460" s="85" t="b">
        <f ca="1">Proc[[#This Row],[Requested]]=Proc[[#This Row],[CurrentParent]]</f>
        <v>1</v>
      </c>
      <c r="K1460" s="85" t="str">
        <f ca="1"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138" t="str">
        <f ca="1"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 ca="1">IF(Proc[[#This Row],[type]]="LFF (MDG-F)",MID(Proc[[#This Row],[Obj]],13,10),"")</f>
        <v>DE04Z03108</v>
      </c>
      <c r="I1461" s="84" t="s">
        <v>3286</v>
      </c>
      <c r="J1461" s="85" t="b">
        <f ca="1">Proc[[#This Row],[Requested]]=Proc[[#This Row],[CurrentParent]]</f>
        <v>1</v>
      </c>
      <c r="K1461" s="85" t="str">
        <f ca="1"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138" t="str">
        <f ca="1"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 ca="1">IF(Proc[[#This Row],[type]]="LFF (MDG-F)",MID(Proc[[#This Row],[Obj]],13,10),"")</f>
        <v>DE10Z03113</v>
      </c>
      <c r="I1462" s="84" t="s">
        <v>3286</v>
      </c>
      <c r="J1462" s="85" t="b">
        <f ca="1">Proc[[#This Row],[Requested]]=Proc[[#This Row],[CurrentParent]]</f>
        <v>1</v>
      </c>
      <c r="K1462" s="85" t="str">
        <f ca="1"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138" t="str">
        <f ca="1"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 ca="1">IF(Proc[[#This Row],[type]]="LFF (MDG-F)",MID(Proc[[#This Row],[Obj]],13,10),"")</f>
        <v>IN01Z03101</v>
      </c>
      <c r="I1463" s="84" t="s">
        <v>3286</v>
      </c>
      <c r="J1463" s="85" t="b">
        <f ca="1">Proc[[#This Row],[Requested]]=Proc[[#This Row],[CurrentParent]]</f>
        <v>1</v>
      </c>
      <c r="K1463" s="85" t="str">
        <f ca="1"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138" t="str">
        <f ca="1"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 ca="1">IF(Proc[[#This Row],[type]]="LFF (MDG-F)",MID(Proc[[#This Row],[Obj]],13,10),"")</f>
        <v>JP01Z03103</v>
      </c>
      <c r="I1464" s="84" t="s">
        <v>3286</v>
      </c>
      <c r="J1464" s="85" t="b">
        <f ca="1">Proc[[#This Row],[Requested]]=Proc[[#This Row],[CurrentParent]]</f>
        <v>1</v>
      </c>
      <c r="K1464" s="85" t="str">
        <f ca="1"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138" t="str">
        <f ca="1"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 ca="1">IF(Proc[[#This Row],[type]]="LFF (MDG-F)",MID(Proc[[#This Row],[Obj]],13,10),"")</f>
        <v>US01Z03107</v>
      </c>
      <c r="I1465" s="84" t="s">
        <v>3286</v>
      </c>
      <c r="J1465" s="85" t="b">
        <f ca="1">Proc[[#This Row],[Requested]]=Proc[[#This Row],[CurrentParent]]</f>
        <v>1</v>
      </c>
      <c r="K1465" s="85" t="str">
        <f ca="1"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138" t="str">
        <f ca="1"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 ca="1">IF(Proc[[#This Row],[type]]="LFF (MDG-F)",MID(Proc[[#This Row],[Obj]],13,10),"")</f>
        <v>KR03Z03104</v>
      </c>
      <c r="I1466" t="s">
        <v>3287</v>
      </c>
      <c r="J1466" s="85" t="b">
        <f ca="1">Proc[[#This Row],[Requested]]=Proc[[#This Row],[CurrentParent]]</f>
        <v>1</v>
      </c>
      <c r="K1466" s="85" t="str">
        <f ca="1"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138" t="str">
        <f ca="1"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 ca="1">IF(Proc[[#This Row],[type]]="LFF (MDG-F)",MID(Proc[[#This Row],[Obj]],13,10),"")</f>
        <v>US10Z03102</v>
      </c>
      <c r="I1467" s="84" t="s">
        <v>3286</v>
      </c>
      <c r="J1467" s="85" t="b">
        <f ca="1">Proc[[#This Row],[Requested]]=Proc[[#This Row],[CurrentParent]]</f>
        <v>1</v>
      </c>
      <c r="K1467" s="85" t="str">
        <f ca="1"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138" t="str">
        <f ca="1"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 ca="1">IF(Proc[[#This Row],[type]]="LFF (MDG-F)",MID(Proc[[#This Row],[Obj]],13,10),"")</f>
        <v/>
      </c>
      <c r="J1468" s="85" t="b">
        <f ca="1">Proc[[#This Row],[Requested]]=Proc[[#This Row],[CurrentParent]]</f>
        <v>1</v>
      </c>
      <c r="K1468" s="85" t="str">
        <f ca="1"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138" t="str">
        <f ca="1"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 ca="1">IF(Proc[[#This Row],[type]]="LFF (MDG-F)",MID(Proc[[#This Row],[Obj]],13,10),"")</f>
        <v/>
      </c>
      <c r="J1469" s="85" t="b">
        <f ca="1">Proc[[#This Row],[Requested]]=Proc[[#This Row],[CurrentParent]]</f>
        <v>1</v>
      </c>
      <c r="K1469" s="85" t="str">
        <f ca="1"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138" t="str">
        <f ca="1"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 ca="1">IF(Proc[[#This Row],[type]]="LFF (MDG-F)",MID(Proc[[#This Row],[Obj]],13,10),"")</f>
        <v/>
      </c>
      <c r="J1470" s="85" t="b">
        <f ca="1">Proc[[#This Row],[Requested]]=Proc[[#This Row],[CurrentParent]]</f>
        <v>1</v>
      </c>
      <c r="K1470" s="85" t="str">
        <f ca="1"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138" t="str">
        <f ca="1"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 ca="1">IF(Proc[[#This Row],[type]]="LFF (MDG-F)",MID(Proc[[#This Row],[Obj]],13,10),"")</f>
        <v/>
      </c>
      <c r="J1471" s="85" t="b">
        <f ca="1">Proc[[#This Row],[Requested]]=Proc[[#This Row],[CurrentParent]]</f>
        <v>1</v>
      </c>
      <c r="K1471" s="85" t="str">
        <f ca="1"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138" t="str">
        <f ca="1"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 ca="1">IF(Proc[[#This Row],[type]]="LFF (MDG-F)",MID(Proc[[#This Row],[Obj]],13,10),"")</f>
        <v/>
      </c>
      <c r="J1472" s="85" t="b">
        <f ca="1">Proc[[#This Row],[Requested]]=Proc[[#This Row],[CurrentParent]]</f>
        <v>1</v>
      </c>
      <c r="K1472" s="85" t="str">
        <f ca="1"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138" t="str">
        <f ca="1"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 ca="1">IF(Proc[[#This Row],[type]]="LFF (MDG-F)",MID(Proc[[#This Row],[Obj]],13,10),"")</f>
        <v/>
      </c>
      <c r="J1473" s="85" t="b">
        <f ca="1">Proc[[#This Row],[Requested]]=Proc[[#This Row],[CurrentParent]]</f>
        <v>1</v>
      </c>
      <c r="K1473" s="85" t="str">
        <f ca="1"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138" t="str">
        <f ca="1"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 ca="1">IF(Proc[[#This Row],[type]]="LFF (MDG-F)",MID(Proc[[#This Row],[Obj]],13,10),"")</f>
        <v/>
      </c>
      <c r="J1474" s="85" t="b">
        <f ca="1">Proc[[#This Row],[Requested]]=Proc[[#This Row],[CurrentParent]]</f>
        <v>1</v>
      </c>
      <c r="K1474" s="85" t="str">
        <f ca="1"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138" t="str">
        <f ca="1"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 ca="1">IF(Proc[[#This Row],[type]]="LFF (MDG-F)",MID(Proc[[#This Row],[Obj]],13,10),"")</f>
        <v/>
      </c>
      <c r="J1475" s="85" t="b">
        <f ca="1">Proc[[#This Row],[Requested]]=Proc[[#This Row],[CurrentParent]]</f>
        <v>1</v>
      </c>
      <c r="K1475" s="85" t="str">
        <f ca="1"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138" t="str">
        <f ca="1"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 ca="1">IF(Proc[[#This Row],[type]]="LFF (MDG-F)",MID(Proc[[#This Row],[Obj]],13,10),"")</f>
        <v/>
      </c>
      <c r="J1476" s="85" t="b">
        <f ca="1">Proc[[#This Row],[Requested]]=Proc[[#This Row],[CurrentParent]]</f>
        <v>1</v>
      </c>
      <c r="K1476" s="85" t="str">
        <f ca="1"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138" t="str">
        <f ca="1"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 ca="1">IF(Proc[[#This Row],[type]]="LFF (MDG-F)",MID(Proc[[#This Row],[Obj]],13,10),"")</f>
        <v>AE50GCO220</v>
      </c>
      <c r="I1477" s="84" t="s">
        <v>3260</v>
      </c>
      <c r="J1477" s="85" t="b">
        <f ca="1">Proc[[#This Row],[Requested]]=Proc[[#This Row],[CurrentParent]]</f>
        <v>1</v>
      </c>
      <c r="K1477" s="85" t="str">
        <f ca="1"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138" t="str">
        <f ca="1"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 ca="1">IF(Proc[[#This Row],[type]]="LFF (MDG-F)",MID(Proc[[#This Row],[Obj]],13,10),"")</f>
        <v>CN90GMK003</v>
      </c>
      <c r="I1478" s="84" t="s">
        <v>3260</v>
      </c>
      <c r="J1478" s="85" t="b">
        <f ca="1">Proc[[#This Row],[Requested]]=Proc[[#This Row],[CurrentParent]]</f>
        <v>1</v>
      </c>
      <c r="K1478" s="85" t="str">
        <f ca="1"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138" t="str">
        <f ca="1"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 ca="1">IF(Proc[[#This Row],[type]]="LFF (MDG-F)",MID(Proc[[#This Row],[Obj]],13,10),"")</f>
        <v>DE10624905</v>
      </c>
      <c r="I1479" s="84" t="s">
        <v>3260</v>
      </c>
      <c r="J1479" s="85" t="b">
        <f ca="1">Proc[[#This Row],[Requested]]=Proc[[#This Row],[CurrentParent]]</f>
        <v>1</v>
      </c>
      <c r="K1479" s="85" t="str">
        <f ca="1"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138" t="str">
        <f ca="1"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 ca="1">IF(Proc[[#This Row],[type]]="LFF (MDG-F)",MID(Proc[[#This Row],[Obj]],13,10),"")</f>
        <v>DE10624906</v>
      </c>
      <c r="I1480" s="84" t="s">
        <v>3260</v>
      </c>
      <c r="J1480" s="85" t="b">
        <f ca="1">Proc[[#This Row],[Requested]]=Proc[[#This Row],[CurrentParent]]</f>
        <v>1</v>
      </c>
      <c r="K1480" s="85" t="str">
        <f ca="1"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138" t="str">
        <f ca="1"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 ca="1">IF(Proc[[#This Row],[type]]="LFF (MDG-F)",MID(Proc[[#This Row],[Obj]],13,10),"")</f>
        <v>DE10GM1057</v>
      </c>
      <c r="I1481" s="84" t="s">
        <v>3260</v>
      </c>
      <c r="J1481" s="85" t="b">
        <f ca="1">Proc[[#This Row],[Requested]]=Proc[[#This Row],[CurrentParent]]</f>
        <v>1</v>
      </c>
      <c r="K1481" s="85" t="str">
        <f ca="1"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138" t="str">
        <f ca="1"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 ca="1">IF(Proc[[#This Row],[type]]="LFF (MDG-F)",MID(Proc[[#This Row],[Obj]],13,10),"")</f>
        <v>DE10GMK003</v>
      </c>
      <c r="I1482" s="84" t="s">
        <v>3260</v>
      </c>
      <c r="J1482" s="85" t="b">
        <f ca="1">Proc[[#This Row],[Requested]]=Proc[[#This Row],[CurrentParent]]</f>
        <v>1</v>
      </c>
      <c r="K1482" s="85" t="str">
        <f ca="1"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138" t="str">
        <f ca="1"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 ca="1">IF(Proc[[#This Row],[type]]="LFF (MDG-F)",MID(Proc[[#This Row],[Obj]],13,10),"")</f>
        <v>DE10GMK004</v>
      </c>
      <c r="I1483" s="84" t="s">
        <v>3260</v>
      </c>
      <c r="J1483" s="85" t="b">
        <f ca="1">Proc[[#This Row],[Requested]]=Proc[[#This Row],[CurrentParent]]</f>
        <v>1</v>
      </c>
      <c r="K1483" s="85" t="str">
        <f ca="1"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138" t="str">
        <f ca="1"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 ca="1">IF(Proc[[#This Row],[type]]="LFF (MDG-F)",MID(Proc[[#This Row],[Obj]],13,10),"")</f>
        <v>DE10Z03107</v>
      </c>
      <c r="I1484" s="84" t="s">
        <v>3260</v>
      </c>
      <c r="J1484" s="85" t="b">
        <f ca="1">Proc[[#This Row],[Requested]]=Proc[[#This Row],[CurrentParent]]</f>
        <v>1</v>
      </c>
      <c r="K1484" s="85" t="str">
        <f ca="1"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138" t="str">
        <f ca="1"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 ca="1">IF(Proc[[#This Row],[type]]="LFF (MDG-F)",MID(Proc[[#This Row],[Obj]],13,10),"")</f>
        <v>DE10Z03108</v>
      </c>
      <c r="I1485" s="84" t="s">
        <v>3260</v>
      </c>
      <c r="J1485" s="85" t="b">
        <f ca="1">Proc[[#This Row],[Requested]]=Proc[[#This Row],[CurrentParent]]</f>
        <v>1</v>
      </c>
      <c r="K1485" s="85" t="str">
        <f ca="1"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138" t="str">
        <f ca="1"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 ca="1">IF(Proc[[#This Row],[type]]="LFF (MDG-F)",MID(Proc[[#This Row],[Obj]],13,10),"")</f>
        <v>DE10Z03109</v>
      </c>
      <c r="I1486" s="84" t="s">
        <v>3260</v>
      </c>
      <c r="J1486" s="85" t="b">
        <f ca="1">Proc[[#This Row],[Requested]]=Proc[[#This Row],[CurrentParent]]</f>
        <v>1</v>
      </c>
      <c r="K1486" s="85" t="str">
        <f ca="1"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138" t="str">
        <f ca="1"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 ca="1">IF(Proc[[#This Row],[type]]="LFF (MDG-F)",MID(Proc[[#This Row],[Obj]],13,10),"")</f>
        <v>DE10Z03110</v>
      </c>
      <c r="I1487" s="84" t="s">
        <v>3260</v>
      </c>
      <c r="J1487" s="85" t="b">
        <f ca="1">Proc[[#This Row],[Requested]]=Proc[[#This Row],[CurrentParent]]</f>
        <v>1</v>
      </c>
      <c r="K1487" s="85" t="str">
        <f ca="1"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138" t="str">
        <f ca="1"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 ca="1">IF(Proc[[#This Row],[type]]="LFF (MDG-F)",MID(Proc[[#This Row],[Obj]],13,10),"")</f>
        <v>1937GMK003</v>
      </c>
      <c r="I1488" s="84" t="s">
        <v>3260</v>
      </c>
      <c r="J1488" s="85" t="b">
        <f ca="1">Proc[[#This Row],[Requested]]=Proc[[#This Row],[CurrentParent]]</f>
        <v>1</v>
      </c>
      <c r="K1488" s="85" t="str">
        <f ca="1"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138" t="str">
        <f ca="1"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 ca="1">IF(Proc[[#This Row],[type]]="LFF (MDG-F)",MID(Proc[[#This Row],[Obj]],13,10),"")</f>
        <v>2025GMK003</v>
      </c>
      <c r="I1489" s="84" t="s">
        <v>3260</v>
      </c>
      <c r="J1489" s="85" t="b">
        <f ca="1">Proc[[#This Row],[Requested]]=Proc[[#This Row],[CurrentParent]]</f>
        <v>1</v>
      </c>
      <c r="K1489" s="85" t="str">
        <f ca="1"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138" t="str">
        <f ca="1"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 ca="1">IF(Proc[[#This Row],[type]]="LFF (MDG-F)",MID(Proc[[#This Row],[Obj]],13,10),"")</f>
        <v>2123Z03104</v>
      </c>
      <c r="I1490" t="s">
        <v>3260</v>
      </c>
      <c r="J1490" s="85" t="b">
        <f ca="1">Proc[[#This Row],[Requested]]=Proc[[#This Row],[CurrentParent]]</f>
        <v>1</v>
      </c>
      <c r="K1490" s="85" t="str">
        <f ca="1"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138" t="str">
        <f ca="1"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 ca="1">IF(Proc[[#This Row],[type]]="LFF (MDG-F)",MID(Proc[[#This Row],[Obj]],13,10),"")</f>
        <v/>
      </c>
      <c r="J1491" s="85" t="b">
        <f ca="1">Proc[[#This Row],[Requested]]=Proc[[#This Row],[CurrentParent]]</f>
        <v>1</v>
      </c>
      <c r="K1491" s="85" t="str">
        <f ca="1"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138" t="str">
        <f ca="1"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 ca="1">IF(Proc[[#This Row],[type]]="LFF (MDG-F)",MID(Proc[[#This Row],[Obj]],13,10),"")</f>
        <v/>
      </c>
      <c r="J1492" s="85" t="b">
        <f ca="1">Proc[[#This Row],[Requested]]=Proc[[#This Row],[CurrentParent]]</f>
        <v>1</v>
      </c>
      <c r="K1492" s="85" t="str">
        <f ca="1"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138" t="str">
        <f ca="1"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 ca="1">IF(Proc[[#This Row],[type]]="LFF (MDG-F)",MID(Proc[[#This Row],[Obj]],13,10),"")</f>
        <v/>
      </c>
      <c r="J1493" s="85" t="b">
        <f ca="1">Proc[[#This Row],[Requested]]=Proc[[#This Row],[CurrentParent]]</f>
        <v>1</v>
      </c>
      <c r="K1493" s="85" t="str">
        <f ca="1"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138" t="str">
        <f ca="1"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 ca="1">IF(Proc[[#This Row],[type]]="LFF (MDG-F)",MID(Proc[[#This Row],[Obj]],13,10),"")</f>
        <v/>
      </c>
      <c r="J1494" s="85" t="b">
        <f ca="1">Proc[[#This Row],[Requested]]=Proc[[#This Row],[CurrentParent]]</f>
        <v>1</v>
      </c>
      <c r="K1494" s="85" t="str">
        <f ca="1"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138" t="str">
        <f ca="1"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 ca="1">IF(Proc[[#This Row],[type]]="LFF (MDG-F)",MID(Proc[[#This Row],[Obj]],13,10),"")</f>
        <v/>
      </c>
      <c r="J1495" s="85" t="b">
        <f ca="1">Proc[[#This Row],[Requested]]=Proc[[#This Row],[CurrentParent]]</f>
        <v>1</v>
      </c>
      <c r="K1495" s="85" t="str">
        <f ca="1"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138" t="str">
        <f ca="1"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 ca="1">IF(Proc[[#This Row],[type]]="LFF (MDG-F)",MID(Proc[[#This Row],[Obj]],13,10),"")</f>
        <v/>
      </c>
      <c r="J1496" s="85" t="b">
        <f ca="1">Proc[[#This Row],[Requested]]=Proc[[#This Row],[CurrentParent]]</f>
        <v>1</v>
      </c>
      <c r="K1496" s="85" t="str">
        <f ca="1"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138" t="str">
        <f ca="1"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 ca="1">IF(Proc[[#This Row],[type]]="LFF (MDG-F)",MID(Proc[[#This Row],[Obj]],13,10),"")</f>
        <v/>
      </c>
      <c r="J1497" s="85" t="b">
        <f ca="1">Proc[[#This Row],[Requested]]=Proc[[#This Row],[CurrentParent]]</f>
        <v>1</v>
      </c>
      <c r="K1497" s="85" t="str">
        <f ca="1"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138" t="str">
        <f ca="1"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 ca="1">IF(Proc[[#This Row],[type]]="LFF (MDG-F)",MID(Proc[[#This Row],[Obj]],13,10),"")</f>
        <v/>
      </c>
      <c r="J1498" s="85" t="b">
        <f ca="1">Proc[[#This Row],[Requested]]=Proc[[#This Row],[CurrentParent]]</f>
        <v>1</v>
      </c>
      <c r="K1498" s="85" t="str">
        <f ca="1"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138" t="str">
        <f ca="1"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 ca="1">IF(Proc[[#This Row],[type]]="LFF (MDG-F)",MID(Proc[[#This Row],[Obj]],13,10),"")</f>
        <v/>
      </c>
      <c r="J1499" s="85" t="b">
        <f ca="1">Proc[[#This Row],[Requested]]=Proc[[#This Row],[CurrentParent]]</f>
        <v>1</v>
      </c>
      <c r="K1499" s="85" t="str">
        <f ca="1"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138" t="str">
        <f ca="1"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 ca="1">IF(Proc[[#This Row],[type]]="LFF (MDG-F)",MID(Proc[[#This Row],[Obj]],13,10),"")</f>
        <v/>
      </c>
      <c r="J1500" s="85" t="b">
        <f ca="1">Proc[[#This Row],[Requested]]=Proc[[#This Row],[CurrentParent]]</f>
        <v>1</v>
      </c>
      <c r="K1500" s="85" t="str">
        <f ca="1"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138" t="str">
        <f ca="1"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 ca="1">IF(Proc[[#This Row],[type]]="LFF (MDG-F)",MID(Proc[[#This Row],[Obj]],13,10),"")</f>
        <v/>
      </c>
      <c r="J1501" s="85" t="b">
        <f ca="1">Proc[[#This Row],[Requested]]=Proc[[#This Row],[CurrentParent]]</f>
        <v>1</v>
      </c>
      <c r="K1501" s="85" t="str">
        <f ca="1"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138" t="str">
        <f ca="1"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 ca="1">IF(Proc[[#This Row],[type]]="LFF (MDG-F)",MID(Proc[[#This Row],[Obj]],13,10),"")</f>
        <v/>
      </c>
      <c r="J1502" s="85" t="b">
        <f ca="1">Proc[[#This Row],[Requested]]=Proc[[#This Row],[CurrentParent]]</f>
        <v>1</v>
      </c>
      <c r="K1502" s="85" t="str">
        <f ca="1"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138" t="str">
        <f ca="1"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 ca="1">IF(Proc[[#This Row],[type]]="LFF (MDG-F)",MID(Proc[[#This Row],[Obj]],13,10),"")</f>
        <v/>
      </c>
      <c r="J1503" s="85" t="b">
        <f ca="1">Proc[[#This Row],[Requested]]=Proc[[#This Row],[CurrentParent]]</f>
        <v>1</v>
      </c>
      <c r="K1503" s="85" t="str">
        <f ca="1"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138" t="str">
        <f ca="1"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 ca="1">IF(Proc[[#This Row],[type]]="LFF (MDG-F)",MID(Proc[[#This Row],[Obj]],13,10),"")</f>
        <v/>
      </c>
      <c r="J1504" s="85" t="b">
        <f ca="1">Proc[[#This Row],[Requested]]=Proc[[#This Row],[CurrentParent]]</f>
        <v>1</v>
      </c>
      <c r="K1504" s="85" t="str">
        <f ca="1"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138" t="str">
        <f ca="1"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 ca="1">IF(Proc[[#This Row],[type]]="LFF (MDG-F)",MID(Proc[[#This Row],[Obj]],13,10),"")</f>
        <v/>
      </c>
      <c r="J1505" s="85" t="b">
        <f ca="1">Proc[[#This Row],[Requested]]=Proc[[#This Row],[CurrentParent]]</f>
        <v>1</v>
      </c>
      <c r="K1505" s="85" t="str">
        <f ca="1"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138" t="str">
        <f ca="1"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 ca="1">IF(Proc[[#This Row],[type]]="LFF (MDG-F)",MID(Proc[[#This Row],[Obj]],13,10),"")</f>
        <v/>
      </c>
      <c r="J1506" s="85" t="b">
        <f ca="1">Proc[[#This Row],[Requested]]=Proc[[#This Row],[CurrentParent]]</f>
        <v>1</v>
      </c>
      <c r="K1506" s="85" t="str">
        <f ca="1"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138" t="str">
        <f ca="1"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 ca="1">IF(Proc[[#This Row],[type]]="LFF (MDG-F)",MID(Proc[[#This Row],[Obj]],13,10),"")</f>
        <v/>
      </c>
      <c r="J1507" s="85" t="b">
        <f ca="1">Proc[[#This Row],[Requested]]=Proc[[#This Row],[CurrentParent]]</f>
        <v>1</v>
      </c>
      <c r="K1507" s="85" t="str">
        <f ca="1"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138" t="str">
        <f ca="1"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 ca="1">IF(Proc[[#This Row],[type]]="LFF (MDG-F)",MID(Proc[[#This Row],[Obj]],13,10),"")</f>
        <v/>
      </c>
      <c r="J1508" s="85" t="b">
        <f ca="1">Proc[[#This Row],[Requested]]=Proc[[#This Row],[CurrentParent]]</f>
        <v>1</v>
      </c>
      <c r="K1508" s="85" t="str">
        <f ca="1"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138" t="str">
        <f ca="1"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 ca="1">IF(Proc[[#This Row],[type]]="LFF (MDG-F)",MID(Proc[[#This Row],[Obj]],13,10),"")</f>
        <v/>
      </c>
      <c r="J1509" s="85" t="b">
        <f ca="1">Proc[[#This Row],[Requested]]=Proc[[#This Row],[CurrentParent]]</f>
        <v>1</v>
      </c>
      <c r="K1509" s="85" t="str">
        <f ca="1"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138" t="str">
        <f ca="1"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 ca="1">IF(Proc[[#This Row],[type]]="LFF (MDG-F)",MID(Proc[[#This Row],[Obj]],13,10),"")</f>
        <v/>
      </c>
      <c r="J1510" s="85" t="b">
        <f ca="1">Proc[[#This Row],[Requested]]=Proc[[#This Row],[CurrentParent]]</f>
        <v>1</v>
      </c>
      <c r="K1510" s="85" t="str">
        <f ca="1"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138" t="str">
        <f ca="1"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 ca="1">IF(Proc[[#This Row],[type]]="LFF (MDG-F)",MID(Proc[[#This Row],[Obj]],13,10),"")</f>
        <v/>
      </c>
      <c r="J1511" s="85" t="b">
        <f ca="1">Proc[[#This Row],[Requested]]=Proc[[#This Row],[CurrentParent]]</f>
        <v>1</v>
      </c>
      <c r="K1511" s="85" t="str">
        <f ca="1"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138" t="str">
        <f ca="1"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 ca="1">IF(Proc[[#This Row],[type]]="LFF (MDG-F)",MID(Proc[[#This Row],[Obj]],13,10),"")</f>
        <v/>
      </c>
      <c r="J1512" s="85" t="b">
        <f ca="1">Proc[[#This Row],[Requested]]=Proc[[#This Row],[CurrentParent]]</f>
        <v>1</v>
      </c>
      <c r="K1512" s="85" t="str">
        <f ca="1"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138" t="str">
        <f ca="1"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 ca="1">IF(Proc[[#This Row],[type]]="LFF (MDG-F)",MID(Proc[[#This Row],[Obj]],13,10),"")</f>
        <v>DZ50GM1100</v>
      </c>
      <c r="I1513" t="s">
        <v>4138</v>
      </c>
      <c r="J1513" s="85" t="b">
        <f ca="1">Proc[[#This Row],[Requested]]=Proc[[#This Row],[CurrentParent]]</f>
        <v>1</v>
      </c>
      <c r="K1513" s="85" t="str">
        <f ca="1"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82</v>
      </c>
      <c r="R1513" s="86" t="s">
        <v>515</v>
      </c>
      <c r="S1513" s="85"/>
    </row>
    <row r="1514" spans="1:19" hidden="1">
      <c r="A1514" s="84" t="s">
        <v>3292</v>
      </c>
      <c r="B1514" s="138" t="str">
        <f ca="1"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 ca="1">IF(Proc[[#This Row],[type]]="LFF (MDG-F)",MID(Proc[[#This Row],[Obj]],13,10),"")</f>
        <v>ZA50GM2100</v>
      </c>
      <c r="I1514" s="103" t="s">
        <v>4138</v>
      </c>
      <c r="J1514" s="85" t="b">
        <f ca="1">Proc[[#This Row],[Requested]]=Proc[[#This Row],[CurrentParent]]</f>
        <v>1</v>
      </c>
      <c r="K1514" s="85" t="str">
        <f ca="1"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82</v>
      </c>
      <c r="R1514" s="86" t="s">
        <v>515</v>
      </c>
      <c r="S1514" s="85"/>
    </row>
    <row r="1515" spans="1:19" s="103" customFormat="1" hidden="1">
      <c r="A1515" s="103" t="s">
        <v>3292</v>
      </c>
      <c r="B1515" s="138" t="str">
        <f ca="1"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 ca="1">IF(Proc[[#This Row],[type]]="LFF (MDG-F)",MID(Proc[[#This Row],[Obj]],13,10),"")</f>
        <v>2053OF0000</v>
      </c>
      <c r="I1515" s="103" t="s">
        <v>4138</v>
      </c>
      <c r="J1515" s="94" t="b">
        <f ca="1">Proc[[#This Row],[Requested]]=Proc[[#This Row],[CurrentParent]]</f>
        <v>1</v>
      </c>
      <c r="K1515" s="94" t="str">
        <f ca="1"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138" t="str">
        <f ca="1"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 ca="1">IF(Proc[[#This Row],[type]]="LFF (MDG-F)",MID(Proc[[#This Row],[Obj]],13,10),"")</f>
        <v/>
      </c>
      <c r="I1516" s="103" t="s">
        <v>4139</v>
      </c>
      <c r="J1516" s="94" t="b">
        <f ca="1">Proc[[#This Row],[Requested]]=Proc[[#This Row],[CurrentParent]]</f>
        <v>1</v>
      </c>
      <c r="K1516" s="94" t="str">
        <f ca="1"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138" t="str">
        <f ca="1"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 ca="1">IF(Proc[[#This Row],[type]]="LFF (MDG-F)",MID(Proc[[#This Row],[Obj]],13,10),"")</f>
        <v/>
      </c>
      <c r="J1517" s="85" t="b">
        <f ca="1">Proc[[#This Row],[Requested]]=Proc[[#This Row],[CurrentParent]]</f>
        <v>1</v>
      </c>
      <c r="K1517" s="85" t="str">
        <f ca="1"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82</v>
      </c>
      <c r="R1517" s="86" t="s">
        <v>3291</v>
      </c>
      <c r="S1517" s="85"/>
    </row>
    <row r="1518" spans="1:19" hidden="1">
      <c r="A1518" t="s">
        <v>3298</v>
      </c>
      <c r="B1518" s="138" t="str">
        <f ca="1"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 ca="1">IF(Proc[[#This Row],[type]]="LFF (MDG-F)",MID(Proc[[#This Row],[Obj]],13,10),"")</f>
        <v>2137C00001</v>
      </c>
      <c r="I1518" t="s">
        <v>3330</v>
      </c>
      <c r="J1518" s="85" t="b">
        <f ca="1">Proc[[#This Row],[Requested]]=Proc[[#This Row],[CurrentParent]]</f>
        <v>1</v>
      </c>
      <c r="K1518" s="85" t="str">
        <f ca="1"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82</v>
      </c>
      <c r="R1518" s="86" t="s">
        <v>3291</v>
      </c>
      <c r="S1518" s="85"/>
    </row>
    <row r="1519" spans="1:19" hidden="1">
      <c r="A1519" t="s">
        <v>3327</v>
      </c>
      <c r="B1519" s="138" t="str">
        <f ca="1"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 ca="1">IF(Proc[[#This Row],[type]]="LFF (MDG-F)",MID(Proc[[#This Row],[Obj]],13,10),"")</f>
        <v/>
      </c>
      <c r="J1519" s="85" t="b">
        <f ca="1">Proc[[#This Row],[Requested]]=Proc[[#This Row],[CurrentParent]]</f>
        <v>1</v>
      </c>
      <c r="K1519" s="85" t="str">
        <f ca="1"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81</v>
      </c>
      <c r="R1519" s="86" t="s">
        <v>478</v>
      </c>
      <c r="S1519" s="85"/>
    </row>
    <row r="1520" spans="1:19" hidden="1">
      <c r="A1520" s="84" t="s">
        <v>3327</v>
      </c>
      <c r="B1520" s="138" t="str">
        <f ca="1"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 ca="1">IF(Proc[[#This Row],[type]]="LFF (MDG-F)",MID(Proc[[#This Row],[Obj]],13,10),"")</f>
        <v/>
      </c>
      <c r="J1520" s="85" t="b">
        <f ca="1">Proc[[#This Row],[Requested]]=Proc[[#This Row],[CurrentParent]]</f>
        <v>1</v>
      </c>
      <c r="K1520" s="85" t="str">
        <f ca="1"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81</v>
      </c>
      <c r="R1520" s="86" t="s">
        <v>478</v>
      </c>
      <c r="S1520" s="85"/>
    </row>
    <row r="1521" spans="1:19" hidden="1">
      <c r="A1521" s="84" t="s">
        <v>3327</v>
      </c>
      <c r="B1521" s="138" t="str">
        <f ca="1"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 ca="1">IF(Proc[[#This Row],[type]]="LFF (MDG-F)",MID(Proc[[#This Row],[Obj]],13,10),"")</f>
        <v/>
      </c>
      <c r="J1521" s="85" t="b">
        <f ca="1">Proc[[#This Row],[Requested]]=Proc[[#This Row],[CurrentParent]]</f>
        <v>1</v>
      </c>
      <c r="K1521" s="85" t="str">
        <f ca="1"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81</v>
      </c>
      <c r="R1521" s="86" t="s">
        <v>478</v>
      </c>
      <c r="S1521" s="85"/>
    </row>
    <row r="1522" spans="1:19" hidden="1">
      <c r="A1522" s="84" t="s">
        <v>3327</v>
      </c>
      <c r="B1522" s="138" t="str">
        <f ca="1"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 ca="1">IF(Proc[[#This Row],[type]]="LFF (MDG-F)",MID(Proc[[#This Row],[Obj]],13,10),"")</f>
        <v/>
      </c>
      <c r="J1522" s="85" t="b">
        <f ca="1">Proc[[#This Row],[Requested]]=Proc[[#This Row],[CurrentParent]]</f>
        <v>1</v>
      </c>
      <c r="K1522" s="85" t="str">
        <f ca="1"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81</v>
      </c>
      <c r="R1522" s="86" t="s">
        <v>478</v>
      </c>
      <c r="S1522" s="85"/>
    </row>
    <row r="1523" spans="1:19" hidden="1">
      <c r="A1523" s="84" t="s">
        <v>3327</v>
      </c>
      <c r="B1523" s="138" t="str">
        <f ca="1"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 ca="1">IF(Proc[[#This Row],[type]]="LFF (MDG-F)",MID(Proc[[#This Row],[Obj]],13,10),"")</f>
        <v/>
      </c>
      <c r="J1523" s="85" t="b">
        <f ca="1">Proc[[#This Row],[Requested]]=Proc[[#This Row],[CurrentParent]]</f>
        <v>1</v>
      </c>
      <c r="K1523" s="85" t="str">
        <f ca="1"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81</v>
      </c>
      <c r="R1523" s="86" t="s">
        <v>478</v>
      </c>
      <c r="S1523" s="85"/>
    </row>
    <row r="1524" spans="1:19" hidden="1">
      <c r="A1524" s="84" t="s">
        <v>3327</v>
      </c>
      <c r="B1524" s="138" t="str">
        <f ca="1"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 ca="1">IF(Proc[[#This Row],[type]]="LFF (MDG-F)",MID(Proc[[#This Row],[Obj]],13,10),"")</f>
        <v/>
      </c>
      <c r="J1524" s="85" t="b">
        <f ca="1">Proc[[#This Row],[Requested]]=Proc[[#This Row],[CurrentParent]]</f>
        <v>1</v>
      </c>
      <c r="K1524" s="85" t="str">
        <f ca="1"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81</v>
      </c>
      <c r="R1524" s="86" t="s">
        <v>478</v>
      </c>
      <c r="S1524" s="85"/>
    </row>
    <row r="1525" spans="1:19" hidden="1">
      <c r="A1525" s="84" t="s">
        <v>3327</v>
      </c>
      <c r="B1525" s="138" t="str">
        <f ca="1"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 ca="1">IF(Proc[[#This Row],[type]]="LFF (MDG-F)",MID(Proc[[#This Row],[Obj]],13,10),"")</f>
        <v/>
      </c>
      <c r="J1525" s="85" t="b">
        <f ca="1">Proc[[#This Row],[Requested]]=Proc[[#This Row],[CurrentParent]]</f>
        <v>1</v>
      </c>
      <c r="K1525" s="85" t="str">
        <f ca="1"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81</v>
      </c>
      <c r="R1525" s="86" t="s">
        <v>478</v>
      </c>
      <c r="S1525" s="85"/>
    </row>
    <row r="1526" spans="1:19" hidden="1">
      <c r="A1526" s="84" t="s">
        <v>3327</v>
      </c>
      <c r="B1526" s="138" t="str">
        <f ca="1"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 ca="1">IF(Proc[[#This Row],[type]]="LFF (MDG-F)",MID(Proc[[#This Row],[Obj]],13,10),"")</f>
        <v/>
      </c>
      <c r="J1526" s="85" t="b">
        <f ca="1">Proc[[#This Row],[Requested]]=Proc[[#This Row],[CurrentParent]]</f>
        <v>1</v>
      </c>
      <c r="K1526" s="85" t="str">
        <f ca="1"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81</v>
      </c>
      <c r="R1526" s="86" t="s">
        <v>478</v>
      </c>
      <c r="S1526" s="85"/>
    </row>
    <row r="1527" spans="1:19" hidden="1">
      <c r="A1527" s="84" t="s">
        <v>3327</v>
      </c>
      <c r="B1527" s="138" t="str">
        <f ca="1"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 ca="1">IF(Proc[[#This Row],[type]]="LFF (MDG-F)",MID(Proc[[#This Row],[Obj]],13,10),"")</f>
        <v/>
      </c>
      <c r="J1527" s="85" t="b">
        <f ca="1">Proc[[#This Row],[Requested]]=Proc[[#This Row],[CurrentParent]]</f>
        <v>1</v>
      </c>
      <c r="K1527" s="85" t="str">
        <f ca="1"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81</v>
      </c>
      <c r="R1527" s="86" t="s">
        <v>478</v>
      </c>
      <c r="S1527" s="85"/>
    </row>
    <row r="1528" spans="1:19" hidden="1">
      <c r="A1528" s="84" t="s">
        <v>3327</v>
      </c>
      <c r="B1528" s="138" t="str">
        <f ca="1"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 ca="1">IF(Proc[[#This Row],[type]]="LFF (MDG-F)",MID(Proc[[#This Row],[Obj]],13,10),"")</f>
        <v/>
      </c>
      <c r="J1528" s="85" t="b">
        <f ca="1">Proc[[#This Row],[Requested]]=Proc[[#This Row],[CurrentParent]]</f>
        <v>1</v>
      </c>
      <c r="K1528" s="85" t="str">
        <f ca="1"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81</v>
      </c>
      <c r="R1528" s="86" t="s">
        <v>478</v>
      </c>
      <c r="S1528" s="85"/>
    </row>
    <row r="1529" spans="1:19" hidden="1">
      <c r="A1529" s="84" t="s">
        <v>3327</v>
      </c>
      <c r="B1529" s="138" t="str">
        <f ca="1"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 ca="1">IF(Proc[[#This Row],[type]]="LFF (MDG-F)",MID(Proc[[#This Row],[Obj]],13,10),"")</f>
        <v/>
      </c>
      <c r="J1529" s="85" t="b">
        <f ca="1">Proc[[#This Row],[Requested]]=Proc[[#This Row],[CurrentParent]]</f>
        <v>1</v>
      </c>
      <c r="K1529" s="85" t="str">
        <f ca="1"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81</v>
      </c>
      <c r="R1529" s="86" t="s">
        <v>478</v>
      </c>
      <c r="S1529" s="85"/>
    </row>
    <row r="1530" spans="1:19" hidden="1">
      <c r="A1530" s="84" t="s">
        <v>3327</v>
      </c>
      <c r="B1530" s="138" t="str">
        <f ca="1"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 ca="1">IF(Proc[[#This Row],[type]]="LFF (MDG-F)",MID(Proc[[#This Row],[Obj]],13,10),"")</f>
        <v/>
      </c>
      <c r="J1530" s="85" t="b">
        <f ca="1">Proc[[#This Row],[Requested]]=Proc[[#This Row],[CurrentParent]]</f>
        <v>1</v>
      </c>
      <c r="K1530" s="85" t="str">
        <f ca="1"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81</v>
      </c>
      <c r="R1530" s="86" t="s">
        <v>478</v>
      </c>
      <c r="S1530" s="85"/>
    </row>
    <row r="1531" spans="1:19" hidden="1">
      <c r="A1531" s="84" t="s">
        <v>3327</v>
      </c>
      <c r="B1531" s="138" t="str">
        <f ca="1"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 ca="1">IF(Proc[[#This Row],[type]]="LFF (MDG-F)",MID(Proc[[#This Row],[Obj]],13,10),"")</f>
        <v/>
      </c>
      <c r="J1531" s="85" t="b">
        <f ca="1">Proc[[#This Row],[Requested]]=Proc[[#This Row],[CurrentParent]]</f>
        <v>1</v>
      </c>
      <c r="K1531" s="85" t="str">
        <f ca="1"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81</v>
      </c>
      <c r="R1531" s="86" t="s">
        <v>478</v>
      </c>
      <c r="S1531" s="85"/>
    </row>
    <row r="1532" spans="1:19" hidden="1">
      <c r="A1532" s="84" t="s">
        <v>3327</v>
      </c>
      <c r="B1532" s="138" t="str">
        <f ca="1"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 ca="1">IF(Proc[[#This Row],[type]]="LFF (MDG-F)",MID(Proc[[#This Row],[Obj]],13,10),"")</f>
        <v/>
      </c>
      <c r="J1532" s="85" t="b">
        <f ca="1">Proc[[#This Row],[Requested]]=Proc[[#This Row],[CurrentParent]]</f>
        <v>1</v>
      </c>
      <c r="K1532" s="85" t="str">
        <f ca="1"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81</v>
      </c>
      <c r="R1532" s="86" t="s">
        <v>478</v>
      </c>
      <c r="S1532" s="85"/>
    </row>
    <row r="1533" spans="1:19" hidden="1">
      <c r="A1533" s="84" t="s">
        <v>3327</v>
      </c>
      <c r="B1533" s="138" t="str">
        <f ca="1"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 ca="1">IF(Proc[[#This Row],[type]]="LFF (MDG-F)",MID(Proc[[#This Row],[Obj]],13,10),"")</f>
        <v/>
      </c>
      <c r="J1533" s="85" t="b">
        <f ca="1">Proc[[#This Row],[Requested]]=Proc[[#This Row],[CurrentParent]]</f>
        <v>1</v>
      </c>
      <c r="K1533" s="85" t="str">
        <f ca="1"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81</v>
      </c>
      <c r="R1533" s="86" t="s">
        <v>478</v>
      </c>
      <c r="S1533" s="85"/>
    </row>
    <row r="1534" spans="1:19" hidden="1">
      <c r="A1534" s="84" t="s">
        <v>3327</v>
      </c>
      <c r="B1534" s="138" t="str">
        <f ca="1"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 ca="1">IF(Proc[[#This Row],[type]]="LFF (MDG-F)",MID(Proc[[#This Row],[Obj]],13,10),"")</f>
        <v/>
      </c>
      <c r="J1534" s="85" t="b">
        <f ca="1">Proc[[#This Row],[Requested]]=Proc[[#This Row],[CurrentParent]]</f>
        <v>1</v>
      </c>
      <c r="K1534" s="85" t="str">
        <f ca="1"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81</v>
      </c>
      <c r="R1534" s="86" t="s">
        <v>478</v>
      </c>
      <c r="S1534" s="85"/>
    </row>
    <row r="1535" spans="1:19" hidden="1">
      <c r="A1535" s="84" t="s">
        <v>3327</v>
      </c>
      <c r="B1535" s="138" t="str">
        <f ca="1"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 ca="1">IF(Proc[[#This Row],[type]]="LFF (MDG-F)",MID(Proc[[#This Row],[Obj]],13,10),"")</f>
        <v/>
      </c>
      <c r="J1535" s="85" t="b">
        <f ca="1">Proc[[#This Row],[Requested]]=Proc[[#This Row],[CurrentParent]]</f>
        <v>1</v>
      </c>
      <c r="K1535" s="85" t="str">
        <f ca="1"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81</v>
      </c>
      <c r="R1535" s="86" t="s">
        <v>478</v>
      </c>
      <c r="S1535" s="85"/>
    </row>
    <row r="1536" spans="1:19" hidden="1">
      <c r="A1536" s="84" t="s">
        <v>3327</v>
      </c>
      <c r="B1536" s="138" t="str">
        <f ca="1"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 ca="1">IF(Proc[[#This Row],[type]]="LFF (MDG-F)",MID(Proc[[#This Row],[Obj]],13,10),"")</f>
        <v/>
      </c>
      <c r="J1536" s="85" t="b">
        <f ca="1">Proc[[#This Row],[Requested]]=Proc[[#This Row],[CurrentParent]]</f>
        <v>1</v>
      </c>
      <c r="K1536" s="85" t="str">
        <f ca="1"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81</v>
      </c>
      <c r="R1536" s="86" t="s">
        <v>478</v>
      </c>
      <c r="S1536" s="85"/>
    </row>
    <row r="1537" spans="1:19" hidden="1">
      <c r="A1537" s="84" t="s">
        <v>3327</v>
      </c>
      <c r="B1537" s="138" t="str">
        <f ca="1"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 ca="1">IF(Proc[[#This Row],[type]]="LFF (MDG-F)",MID(Proc[[#This Row],[Obj]],13,10),"")</f>
        <v/>
      </c>
      <c r="J1537" s="85" t="b">
        <f ca="1">Proc[[#This Row],[Requested]]=Proc[[#This Row],[CurrentParent]]</f>
        <v>1</v>
      </c>
      <c r="K1537" s="85" t="str">
        <f ca="1"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81</v>
      </c>
      <c r="R1537" s="86" t="s">
        <v>478</v>
      </c>
      <c r="S1537" s="85"/>
    </row>
    <row r="1538" spans="1:19" hidden="1">
      <c r="A1538" s="84" t="s">
        <v>3327</v>
      </c>
      <c r="B1538" s="138" t="str">
        <f ca="1"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 ca="1">IF(Proc[[#This Row],[type]]="LFF (MDG-F)",MID(Proc[[#This Row],[Obj]],13,10),"")</f>
        <v/>
      </c>
      <c r="J1538" s="85" t="b">
        <f ca="1">Proc[[#This Row],[Requested]]=Proc[[#This Row],[CurrentParent]]</f>
        <v>1</v>
      </c>
      <c r="K1538" s="85" t="str">
        <f ca="1"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81</v>
      </c>
      <c r="R1538" s="86" t="s">
        <v>478</v>
      </c>
      <c r="S1538" s="85"/>
    </row>
    <row r="1539" spans="1:19" hidden="1">
      <c r="A1539" s="84" t="s">
        <v>3327</v>
      </c>
      <c r="B1539" s="138" t="str">
        <f ca="1"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 ca="1">IF(Proc[[#This Row],[type]]="LFF (MDG-F)",MID(Proc[[#This Row],[Obj]],13,10),"")</f>
        <v/>
      </c>
      <c r="J1539" s="85" t="b">
        <f ca="1">Proc[[#This Row],[Requested]]=Proc[[#This Row],[CurrentParent]]</f>
        <v>1</v>
      </c>
      <c r="K1539" s="85" t="str">
        <f ca="1"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81</v>
      </c>
      <c r="R1539" s="86" t="s">
        <v>478</v>
      </c>
      <c r="S1539" s="85"/>
    </row>
    <row r="1540" spans="1:19" hidden="1">
      <c r="A1540" s="84" t="s">
        <v>3327</v>
      </c>
      <c r="B1540" s="138" t="str">
        <f ca="1"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 ca="1">IF(Proc[[#This Row],[type]]="LFF (MDG-F)",MID(Proc[[#This Row],[Obj]],13,10),"")</f>
        <v/>
      </c>
      <c r="J1540" s="85" t="b">
        <f ca="1">Proc[[#This Row],[Requested]]=Proc[[#This Row],[CurrentParent]]</f>
        <v>1</v>
      </c>
      <c r="K1540" s="85" t="str">
        <f ca="1"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81</v>
      </c>
      <c r="R1540" s="86" t="s">
        <v>478</v>
      </c>
      <c r="S1540" s="85"/>
    </row>
    <row r="1541" spans="1:19" hidden="1">
      <c r="A1541" s="84" t="s">
        <v>3327</v>
      </c>
      <c r="B1541" s="138" t="str">
        <f ca="1"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 ca="1">IF(Proc[[#This Row],[type]]="LFF (MDG-F)",MID(Proc[[#This Row],[Obj]],13,10),"")</f>
        <v/>
      </c>
      <c r="J1541" s="85" t="b">
        <f ca="1">Proc[[#This Row],[Requested]]=Proc[[#This Row],[CurrentParent]]</f>
        <v>1</v>
      </c>
      <c r="K1541" s="85" t="str">
        <f ca="1"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81</v>
      </c>
      <c r="R1541" s="86" t="s">
        <v>478</v>
      </c>
      <c r="S1541" s="85"/>
    </row>
    <row r="1542" spans="1:19" hidden="1">
      <c r="A1542" s="84" t="s">
        <v>3327</v>
      </c>
      <c r="B1542" s="138" t="str">
        <f ca="1"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 ca="1">IF(Proc[[#This Row],[type]]="LFF (MDG-F)",MID(Proc[[#This Row],[Obj]],13,10),"")</f>
        <v/>
      </c>
      <c r="J1542" s="85" t="b">
        <f ca="1">Proc[[#This Row],[Requested]]=Proc[[#This Row],[CurrentParent]]</f>
        <v>1</v>
      </c>
      <c r="K1542" s="85" t="str">
        <f ca="1"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81</v>
      </c>
      <c r="R1542" s="86" t="s">
        <v>478</v>
      </c>
      <c r="S1542" s="85"/>
    </row>
    <row r="1543" spans="1:19" hidden="1">
      <c r="A1543" s="84" t="s">
        <v>3327</v>
      </c>
      <c r="B1543" s="138" t="str">
        <f ca="1"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 ca="1">IF(Proc[[#This Row],[type]]="LFF (MDG-F)",MID(Proc[[#This Row],[Obj]],13,10),"")</f>
        <v/>
      </c>
      <c r="J1543" s="85" t="b">
        <f ca="1">Proc[[#This Row],[Requested]]=Proc[[#This Row],[CurrentParent]]</f>
        <v>1</v>
      </c>
      <c r="K1543" s="85" t="str">
        <f ca="1"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81</v>
      </c>
      <c r="R1543" s="86" t="s">
        <v>478</v>
      </c>
      <c r="S1543" s="85"/>
    </row>
    <row r="1544" spans="1:19" hidden="1">
      <c r="A1544" s="84" t="s">
        <v>3327</v>
      </c>
      <c r="B1544" s="138" t="str">
        <f ca="1"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 ca="1">IF(Proc[[#This Row],[type]]="LFF (MDG-F)",MID(Proc[[#This Row],[Obj]],13,10),"")</f>
        <v/>
      </c>
      <c r="J1544" s="85" t="b">
        <f ca="1">Proc[[#This Row],[Requested]]=Proc[[#This Row],[CurrentParent]]</f>
        <v>1</v>
      </c>
      <c r="K1544" s="85" t="str">
        <f ca="1"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81</v>
      </c>
      <c r="R1544" s="86" t="s">
        <v>478</v>
      </c>
      <c r="S1544" s="85"/>
    </row>
    <row r="1545" spans="1:19" hidden="1">
      <c r="A1545" s="84" t="s">
        <v>3327</v>
      </c>
      <c r="B1545" s="138" t="str">
        <f ca="1"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 ca="1">IF(Proc[[#This Row],[type]]="LFF (MDG-F)",MID(Proc[[#This Row],[Obj]],13,10),"")</f>
        <v/>
      </c>
      <c r="J1545" s="85" t="b">
        <f ca="1">Proc[[#This Row],[Requested]]=Proc[[#This Row],[CurrentParent]]</f>
        <v>1</v>
      </c>
      <c r="K1545" s="85" t="str">
        <f ca="1"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81</v>
      </c>
      <c r="R1545" s="86" t="s">
        <v>478</v>
      </c>
      <c r="S1545" s="85"/>
    </row>
    <row r="1546" spans="1:19" hidden="1">
      <c r="A1546" s="84" t="s">
        <v>3327</v>
      </c>
      <c r="B1546" s="138" t="str">
        <f ca="1"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 ca="1">IF(Proc[[#This Row],[type]]="LFF (MDG-F)",MID(Proc[[#This Row],[Obj]],13,10),"")</f>
        <v/>
      </c>
      <c r="J1546" s="85" t="b">
        <f ca="1">Proc[[#This Row],[Requested]]=Proc[[#This Row],[CurrentParent]]</f>
        <v>1</v>
      </c>
      <c r="K1546" s="85" t="str">
        <f ca="1"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81</v>
      </c>
      <c r="R1546" s="86" t="s">
        <v>478</v>
      </c>
      <c r="S1546" s="85"/>
    </row>
    <row r="1547" spans="1:19" hidden="1">
      <c r="A1547" t="s">
        <v>3328</v>
      </c>
      <c r="B1547" s="138" t="str">
        <f ca="1"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 ca="1">IF(Proc[[#This Row],[type]]="LFF (MDG-F)",MID(Proc[[#This Row],[Obj]],13,10),"")</f>
        <v/>
      </c>
      <c r="J1547" s="85" t="b">
        <f ca="1">Proc[[#This Row],[Requested]]=Proc[[#This Row],[CurrentParent]]</f>
        <v>1</v>
      </c>
      <c r="K1547" s="85" t="str">
        <f ca="1"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81</v>
      </c>
      <c r="R1547" s="86" t="s">
        <v>478</v>
      </c>
      <c r="S1547" s="85"/>
    </row>
    <row r="1548" spans="1:19" hidden="1">
      <c r="A1548" t="s">
        <v>3332</v>
      </c>
      <c r="B1548" s="138" t="str">
        <f ca="1"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 ca="1">IF(Proc[[#This Row],[type]]="LFF (MDG-F)",MID(Proc[[#This Row],[Obj]],13,10),"")</f>
        <v/>
      </c>
      <c r="J1548" s="85" t="b">
        <f ca="1">Proc[[#This Row],[Requested]]=Proc[[#This Row],[CurrentParent]]</f>
        <v>1</v>
      </c>
      <c r="K1548" s="85" t="str">
        <f ca="1"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81</v>
      </c>
      <c r="R1548" s="86" t="s">
        <v>3285</v>
      </c>
      <c r="S1548" s="85"/>
    </row>
    <row r="1549" spans="1:19" hidden="1">
      <c r="A1549" t="s">
        <v>3333</v>
      </c>
      <c r="B1549" s="138" t="str">
        <f ca="1"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 ca="1">IF(Proc[[#This Row],[type]]="LFF (MDG-F)",MID(Proc[[#This Row],[Obj]],13,10),"")</f>
        <v/>
      </c>
      <c r="J1549" s="85" t="b">
        <f ca="1">Proc[[#This Row],[Requested]]=Proc[[#This Row],[CurrentParent]]</f>
        <v>1</v>
      </c>
      <c r="K1549" s="85" t="str">
        <f ca="1"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80</v>
      </c>
      <c r="R1549" s="86" t="s">
        <v>972</v>
      </c>
      <c r="S1549" s="85"/>
    </row>
    <row r="1550" spans="1:19" hidden="1">
      <c r="A1550" s="84" t="s">
        <v>3333</v>
      </c>
      <c r="B1550" s="138" t="str">
        <f ca="1"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 ca="1">IF(Proc[[#This Row],[type]]="LFF (MDG-F)",MID(Proc[[#This Row],[Obj]],13,10),"")</f>
        <v/>
      </c>
      <c r="J1550" s="85" t="b">
        <f ca="1">Proc[[#This Row],[Requested]]=Proc[[#This Row],[CurrentParent]]</f>
        <v>1</v>
      </c>
      <c r="K1550" s="85" t="str">
        <f ca="1"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80</v>
      </c>
      <c r="R1550" s="86" t="s">
        <v>972</v>
      </c>
      <c r="S1550" s="85"/>
    </row>
    <row r="1551" spans="1:19" hidden="1">
      <c r="A1551" s="84" t="s">
        <v>3333</v>
      </c>
      <c r="B1551" s="138" t="str">
        <f ca="1"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 ca="1">IF(Proc[[#This Row],[type]]="LFF (MDG-F)",MID(Proc[[#This Row],[Obj]],13,10),"")</f>
        <v/>
      </c>
      <c r="J1551" s="85" t="b">
        <f ca="1">Proc[[#This Row],[Requested]]=Proc[[#This Row],[CurrentParent]]</f>
        <v>1</v>
      </c>
      <c r="K1551" s="85" t="str">
        <f ca="1"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80</v>
      </c>
      <c r="R1551" s="86" t="s">
        <v>972</v>
      </c>
      <c r="S1551" s="85"/>
    </row>
    <row r="1552" spans="1:19" hidden="1">
      <c r="A1552" s="84" t="s">
        <v>3333</v>
      </c>
      <c r="B1552" s="138" t="str">
        <f ca="1"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 ca="1">IF(Proc[[#This Row],[type]]="LFF (MDG-F)",MID(Proc[[#This Row],[Obj]],13,10),"")</f>
        <v/>
      </c>
      <c r="J1552" s="85" t="b">
        <f ca="1">Proc[[#This Row],[Requested]]=Proc[[#This Row],[CurrentParent]]</f>
        <v>1</v>
      </c>
      <c r="K1552" s="85" t="str">
        <f ca="1"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80</v>
      </c>
      <c r="R1552" s="86" t="s">
        <v>972</v>
      </c>
      <c r="S1552" s="85"/>
    </row>
    <row r="1553" spans="1:19" hidden="1">
      <c r="A1553" s="84" t="s">
        <v>3333</v>
      </c>
      <c r="B1553" s="138" t="str">
        <f ca="1"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 ca="1">IF(Proc[[#This Row],[type]]="LFF (MDG-F)",MID(Proc[[#This Row],[Obj]],13,10),"")</f>
        <v/>
      </c>
      <c r="J1553" s="85" t="b">
        <f ca="1">Proc[[#This Row],[Requested]]=Proc[[#This Row],[CurrentParent]]</f>
        <v>1</v>
      </c>
      <c r="K1553" s="85" t="str">
        <f ca="1"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80</v>
      </c>
      <c r="R1553" s="86" t="s">
        <v>972</v>
      </c>
      <c r="S1553" s="85"/>
    </row>
    <row r="1554" spans="1:19" hidden="1">
      <c r="A1554" s="84" t="s">
        <v>3333</v>
      </c>
      <c r="B1554" s="138" t="str">
        <f ca="1"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 ca="1">IF(Proc[[#This Row],[type]]="LFF (MDG-F)",MID(Proc[[#This Row],[Obj]],13,10),"")</f>
        <v/>
      </c>
      <c r="J1554" s="85" t="b">
        <f ca="1">Proc[[#This Row],[Requested]]=Proc[[#This Row],[CurrentParent]]</f>
        <v>1</v>
      </c>
      <c r="K1554" s="85" t="str">
        <f ca="1"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80</v>
      </c>
      <c r="R1554" s="86" t="s">
        <v>972</v>
      </c>
      <c r="S1554" s="85"/>
    </row>
    <row r="1555" spans="1:19" hidden="1">
      <c r="A1555" s="84" t="s">
        <v>3333</v>
      </c>
      <c r="B1555" s="138" t="str">
        <f ca="1"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 ca="1">IF(Proc[[#This Row],[type]]="LFF (MDG-F)",MID(Proc[[#This Row],[Obj]],13,10),"")</f>
        <v/>
      </c>
      <c r="J1555" s="85" t="b">
        <f ca="1">Proc[[#This Row],[Requested]]=Proc[[#This Row],[CurrentParent]]</f>
        <v>1</v>
      </c>
      <c r="K1555" s="85" t="str">
        <f ca="1"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80</v>
      </c>
      <c r="R1555" s="86" t="s">
        <v>972</v>
      </c>
      <c r="S1555" s="85"/>
    </row>
    <row r="1556" spans="1:19" hidden="1">
      <c r="A1556" s="84" t="s">
        <v>3333</v>
      </c>
      <c r="B1556" s="138" t="str">
        <f ca="1"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 ca="1">IF(Proc[[#This Row],[type]]="LFF (MDG-F)",MID(Proc[[#This Row],[Obj]],13,10),"")</f>
        <v/>
      </c>
      <c r="J1556" s="85" t="b">
        <f ca="1">Proc[[#This Row],[Requested]]=Proc[[#This Row],[CurrentParent]]</f>
        <v>1</v>
      </c>
      <c r="K1556" s="85" t="str">
        <f ca="1"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80</v>
      </c>
      <c r="R1556" s="86" t="s">
        <v>972</v>
      </c>
      <c r="S1556" s="85"/>
    </row>
    <row r="1557" spans="1:19" hidden="1">
      <c r="A1557" s="84" t="s">
        <v>3333</v>
      </c>
      <c r="B1557" s="138" t="str">
        <f ca="1"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 ca="1">IF(Proc[[#This Row],[type]]="LFF (MDG-F)",MID(Proc[[#This Row],[Obj]],13,10),"")</f>
        <v/>
      </c>
      <c r="J1557" s="85" t="b">
        <f ca="1">Proc[[#This Row],[Requested]]=Proc[[#This Row],[CurrentParent]]</f>
        <v>1</v>
      </c>
      <c r="K1557" s="85" t="str">
        <f ca="1"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80</v>
      </c>
      <c r="R1557" s="86" t="s">
        <v>972</v>
      </c>
      <c r="S1557" s="85"/>
    </row>
    <row r="1558" spans="1:19" hidden="1">
      <c r="A1558" s="84" t="s">
        <v>3333</v>
      </c>
      <c r="B1558" s="138" t="str">
        <f ca="1"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 ca="1">IF(Proc[[#This Row],[type]]="LFF (MDG-F)",MID(Proc[[#This Row],[Obj]],13,10),"")</f>
        <v/>
      </c>
      <c r="J1558" s="85" t="b">
        <f ca="1">Proc[[#This Row],[Requested]]=Proc[[#This Row],[CurrentParent]]</f>
        <v>1</v>
      </c>
      <c r="K1558" s="85" t="str">
        <f ca="1"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80</v>
      </c>
      <c r="R1558" s="86" t="s">
        <v>972</v>
      </c>
      <c r="S1558" s="85"/>
    </row>
    <row r="1559" spans="1:19" hidden="1">
      <c r="A1559" t="s">
        <v>3346</v>
      </c>
      <c r="B1559" s="138" t="str">
        <f ca="1"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 ca="1">IF(Proc[[#This Row],[type]]="LFF (MDG-F)",MID(Proc[[#This Row],[Obj]],13,10),"")</f>
        <v/>
      </c>
      <c r="J1559" s="85" t="b">
        <f ca="1">Proc[[#This Row],[Requested]]=Proc[[#This Row],[CurrentParent]]</f>
        <v>1</v>
      </c>
      <c r="K1559" s="85" t="str">
        <f ca="1"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80</v>
      </c>
      <c r="R1559" s="86" t="s">
        <v>551</v>
      </c>
      <c r="S1559" s="85"/>
    </row>
    <row r="1560" spans="1:19" hidden="1">
      <c r="A1560" s="88" t="s">
        <v>3346</v>
      </c>
      <c r="B1560" s="138" t="str">
        <f ca="1"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 ca="1">IF(Proc[[#This Row],[type]]="LFF (MDG-F)",MID(Proc[[#This Row],[Obj]],13,10),"")</f>
        <v/>
      </c>
      <c r="I1560" s="89"/>
      <c r="J1560" s="85" t="b">
        <f ca="1">Proc[[#This Row],[Requested]]=Proc[[#This Row],[CurrentParent]]</f>
        <v>1</v>
      </c>
      <c r="K1560" s="85" t="str">
        <f ca="1"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80</v>
      </c>
      <c r="R1560" s="86" t="s">
        <v>551</v>
      </c>
      <c r="S1560" s="85"/>
    </row>
    <row r="1561" spans="1:19" hidden="1">
      <c r="A1561" s="88" t="s">
        <v>3346</v>
      </c>
      <c r="B1561" s="138" t="str">
        <f ca="1"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 ca="1">IF(Proc[[#This Row],[type]]="LFF (MDG-F)",MID(Proc[[#This Row],[Obj]],13,10),"")</f>
        <v/>
      </c>
      <c r="I1561" s="89"/>
      <c r="J1561" s="85" t="b">
        <f ca="1">Proc[[#This Row],[Requested]]=Proc[[#This Row],[CurrentParent]]</f>
        <v>1</v>
      </c>
      <c r="K1561" s="85" t="str">
        <f ca="1"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80</v>
      </c>
      <c r="R1561" s="86" t="s">
        <v>551</v>
      </c>
      <c r="S1561" s="85"/>
    </row>
    <row r="1562" spans="1:19" hidden="1">
      <c r="A1562" t="s">
        <v>3348</v>
      </c>
      <c r="B1562" s="138" t="str">
        <f ca="1"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 ca="1">IF(Proc[[#This Row],[type]]="LFF (MDG-F)",MID(Proc[[#This Row],[Obj]],13,10),"")</f>
        <v/>
      </c>
      <c r="J1562" s="85" t="b">
        <f ca="1">Proc[[#This Row],[Requested]]=Proc[[#This Row],[CurrentParent]]</f>
        <v>1</v>
      </c>
      <c r="K1562" s="85" t="str">
        <f ca="1"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138" t="str">
        <f ca="1"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 ca="1">IF(Proc[[#This Row],[type]]="LFF (MDG-F)",MID(Proc[[#This Row],[Obj]],13,10),"")</f>
        <v/>
      </c>
      <c r="J1563" s="85" t="b">
        <f ca="1">Proc[[#This Row],[Requested]]=Proc[[#This Row],[CurrentParent]]</f>
        <v>1</v>
      </c>
      <c r="K1563" s="85" t="str">
        <f ca="1"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138" t="str">
        <f ca="1"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 ca="1">IF(Proc[[#This Row],[type]]="LFF (MDG-F)",MID(Proc[[#This Row],[Obj]],13,10),"")</f>
        <v>DE10GMW030</v>
      </c>
      <c r="I1564" t="s">
        <v>3368</v>
      </c>
      <c r="J1564" s="85" t="b">
        <f ca="1">Proc[[#This Row],[Requested]]=Proc[[#This Row],[CurrentParent]]</f>
        <v>1</v>
      </c>
      <c r="K1564" s="85" t="str">
        <f ca="1"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138" t="str">
        <f ca="1"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 ca="1">IF(Proc[[#This Row],[type]]="LFF (MDG-F)",MID(Proc[[#This Row],[Obj]],13,10),"")</f>
        <v/>
      </c>
      <c r="J1565" s="85" t="b">
        <f ca="1">Proc[[#This Row],[Requested]]=Proc[[#This Row],[CurrentParent]]</f>
        <v>1</v>
      </c>
      <c r="K1565" s="85" t="str">
        <f ca="1"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138" t="str">
        <f ca="1"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 ca="1">IF(Proc[[#This Row],[type]]="LFF (MDG-F)",MID(Proc[[#This Row],[Obj]],13,10),"")</f>
        <v/>
      </c>
      <c r="J1566" s="85" t="b">
        <f ca="1">Proc[[#This Row],[Requested]]=Proc[[#This Row],[CurrentParent]]</f>
        <v>1</v>
      </c>
      <c r="K1566" s="85" t="str">
        <f ca="1"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138" t="str">
        <f ca="1"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 ca="1">IF(Proc[[#This Row],[type]]="LFF (MDG-F)",MID(Proc[[#This Row],[Obj]],13,10),"")</f>
        <v>CN90GHR110</v>
      </c>
      <c r="I1567" s="89" t="s">
        <v>3368</v>
      </c>
      <c r="J1567" s="85" t="b">
        <f ca="1">Proc[[#This Row],[Requested]]=Proc[[#This Row],[CurrentParent]]</f>
        <v>1</v>
      </c>
      <c r="K1567" s="85" t="str">
        <f ca="1"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138" t="str">
        <f ca="1"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 ca="1">IF(Proc[[#This Row],[type]]="LFF (MDG-F)",MID(Proc[[#This Row],[Obj]],13,10),"")</f>
        <v/>
      </c>
      <c r="I1568" s="89"/>
      <c r="J1568" s="85" t="b">
        <f ca="1">Proc[[#This Row],[Requested]]=Proc[[#This Row],[CurrentParent]]</f>
        <v>1</v>
      </c>
      <c r="K1568" s="85" t="str">
        <f ca="1"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80</v>
      </c>
      <c r="R1568" s="86" t="s">
        <v>551</v>
      </c>
      <c r="S1568" s="85"/>
    </row>
    <row r="1569" spans="1:19" hidden="1">
      <c r="A1569" t="s">
        <v>3358</v>
      </c>
      <c r="B1569" s="138" t="str">
        <f ca="1"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 ca="1">IF(Proc[[#This Row],[type]]="LFF (MDG-F)",MID(Proc[[#This Row],[Obj]],13,10),"")</f>
        <v/>
      </c>
      <c r="I1569" s="89"/>
      <c r="J1569" s="85" t="b">
        <f ca="1">Proc[[#This Row],[Requested]]=Proc[[#This Row],[CurrentParent]]</f>
        <v>1</v>
      </c>
      <c r="K1569" s="85" t="str">
        <f ca="1"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80</v>
      </c>
      <c r="R1569" s="86" t="s">
        <v>551</v>
      </c>
      <c r="S1569" s="85"/>
    </row>
    <row r="1570" spans="1:19" hidden="1">
      <c r="A1570" s="89" t="s">
        <v>3358</v>
      </c>
      <c r="B1570" s="138" t="str">
        <f ca="1"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 ca="1">IF(Proc[[#This Row],[type]]="LFF (MDG-F)",MID(Proc[[#This Row],[Obj]],13,10),"")</f>
        <v/>
      </c>
      <c r="I1570" s="89"/>
      <c r="J1570" s="85" t="b">
        <f ca="1">Proc[[#This Row],[Requested]]=Proc[[#This Row],[CurrentParent]]</f>
        <v>1</v>
      </c>
      <c r="K1570" s="85" t="str">
        <f ca="1"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80</v>
      </c>
      <c r="R1570" s="86" t="s">
        <v>551</v>
      </c>
      <c r="S1570" s="85"/>
    </row>
    <row r="1571" spans="1:19" hidden="1">
      <c r="A1571" s="89" t="s">
        <v>3358</v>
      </c>
      <c r="B1571" s="138" t="str">
        <f ca="1"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 ca="1">IF(Proc[[#This Row],[type]]="LFF (MDG-F)",MID(Proc[[#This Row],[Obj]],13,10),"")</f>
        <v/>
      </c>
      <c r="I1571" s="89"/>
      <c r="J1571" s="85" t="b">
        <f ca="1">Proc[[#This Row],[Requested]]=Proc[[#This Row],[CurrentParent]]</f>
        <v>1</v>
      </c>
      <c r="K1571" s="85" t="str">
        <f ca="1"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80</v>
      </c>
      <c r="R1571" s="86" t="s">
        <v>551</v>
      </c>
      <c r="S1571" s="85"/>
    </row>
    <row r="1572" spans="1:19" hidden="1">
      <c r="A1572" s="89" t="s">
        <v>3358</v>
      </c>
      <c r="B1572" s="138" t="str">
        <f ca="1"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 ca="1">IF(Proc[[#This Row],[type]]="LFF (MDG-F)",MID(Proc[[#This Row],[Obj]],13,10),"")</f>
        <v/>
      </c>
      <c r="I1572" s="89"/>
      <c r="J1572" s="85" t="b">
        <f ca="1">Proc[[#This Row],[Requested]]=Proc[[#This Row],[CurrentParent]]</f>
        <v>1</v>
      </c>
      <c r="K1572" s="85" t="str">
        <f ca="1"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80</v>
      </c>
      <c r="R1572" s="86" t="s">
        <v>551</v>
      </c>
      <c r="S1572" s="85"/>
    </row>
    <row r="1573" spans="1:19" hidden="1">
      <c r="A1573" t="s">
        <v>3369</v>
      </c>
      <c r="B1573" s="138" t="str">
        <f ca="1"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 ca="1">IF(Proc[[#This Row],[type]]="LFF (MDG-F)",MID(Proc[[#This Row],[Obj]],13,10),"")</f>
        <v/>
      </c>
      <c r="J1573" s="85" t="b">
        <f ca="1">Proc[[#This Row],[Requested]]=Proc[[#This Row],[CurrentParent]]</f>
        <v>1</v>
      </c>
      <c r="K1573" s="85" t="str">
        <f ca="1"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138" t="str">
        <f ca="1"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 ca="1">IF(Proc[[#This Row],[type]]="LFF (MDG-F)",MID(Proc[[#This Row],[Obj]],13,10),"")</f>
        <v/>
      </c>
      <c r="J1574" s="85" t="b">
        <f ca="1">Proc[[#This Row],[Requested]]=Proc[[#This Row],[CurrentParent]]</f>
        <v>1</v>
      </c>
      <c r="K1574" s="85" t="str">
        <f ca="1"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138" t="str">
        <f ca="1"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 ca="1">IF(Proc[[#This Row],[type]]="LFF (MDG-F)",MID(Proc[[#This Row],[Obj]],13,10),"")</f>
        <v/>
      </c>
      <c r="J1575" s="85" t="b">
        <f ca="1">Proc[[#This Row],[Requested]]=Proc[[#This Row],[CurrentParent]]</f>
        <v>1</v>
      </c>
      <c r="K1575" s="85" t="str">
        <f ca="1"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138" t="str">
        <f ca="1"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 ca="1">IF(Proc[[#This Row],[type]]="LFF (MDG-F)",MID(Proc[[#This Row],[Obj]],13,10),"")</f>
        <v/>
      </c>
      <c r="J1576" s="85" t="b">
        <f ca="1">Proc[[#This Row],[Requested]]=Proc[[#This Row],[CurrentParent]]</f>
        <v>1</v>
      </c>
      <c r="K1576" s="85" t="str">
        <f ca="1"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138" t="str">
        <f ca="1"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 ca="1">IF(Proc[[#This Row],[type]]="LFF (MDG-F)",MID(Proc[[#This Row],[Obj]],13,10),"")</f>
        <v>DE20538638</v>
      </c>
      <c r="I1577" t="s">
        <v>3384</v>
      </c>
      <c r="J1577" s="85" t="b">
        <f ca="1">Proc[[#This Row],[Requested]]=Proc[[#This Row],[CurrentParent]]</f>
        <v>1</v>
      </c>
      <c r="K1577" s="85" t="str">
        <f ca="1"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138" t="str">
        <f ca="1"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 ca="1">IF(Proc[[#This Row],[type]]="LFF (MDG-F)",MID(Proc[[#This Row],[Obj]],13,10),"")</f>
        <v>DE10538638</v>
      </c>
      <c r="I1578" s="89" t="s">
        <v>3384</v>
      </c>
      <c r="J1578" s="85" t="b">
        <f ca="1">Proc[[#This Row],[Requested]]=Proc[[#This Row],[CurrentParent]]</f>
        <v>1</v>
      </c>
      <c r="K1578" s="85" t="str">
        <f ca="1"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138" t="str">
        <f ca="1"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 ca="1">IF(Proc[[#This Row],[type]]="LFF (MDG-F)",MID(Proc[[#This Row],[Obj]],13,10),"")</f>
        <v/>
      </c>
      <c r="J1579" s="85" t="b">
        <f ca="1">Proc[[#This Row],[Requested]]=Proc[[#This Row],[CurrentParent]]</f>
        <v>1</v>
      </c>
      <c r="K1579" s="85" t="str">
        <f ca="1"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138" t="str">
        <f ca="1"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 ca="1">IF(Proc[[#This Row],[type]]="LFF (MDG-F)",MID(Proc[[#This Row],[Obj]],13,10),"")</f>
        <v/>
      </c>
      <c r="J1580" s="85" t="b">
        <f ca="1">Proc[[#This Row],[Requested]]=Proc[[#This Row],[CurrentParent]]</f>
        <v>1</v>
      </c>
      <c r="K1580" s="85" t="str">
        <f ca="1"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138" t="str">
        <f ca="1"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 ca="1">IF(Proc[[#This Row],[type]]="LFF (MDG-F)",MID(Proc[[#This Row],[Obj]],13,10),"")</f>
        <v/>
      </c>
      <c r="J1581" s="85" t="b">
        <f ca="1">Proc[[#This Row],[Requested]]=Proc[[#This Row],[CurrentParent]]</f>
        <v>1</v>
      </c>
      <c r="K1581" s="85" t="str">
        <f ca="1"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138" t="str">
        <f ca="1"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 ca="1">IF(Proc[[#This Row],[type]]="LFF (MDG-F)",MID(Proc[[#This Row],[Obj]],13,10),"")</f>
        <v/>
      </c>
      <c r="J1582" s="85" t="b">
        <f ca="1">Proc[[#This Row],[Requested]]=Proc[[#This Row],[CurrentParent]]</f>
        <v>1</v>
      </c>
      <c r="K1582" s="85" t="str">
        <f ca="1"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138" t="str">
        <f ca="1"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 ca="1">IF(Proc[[#This Row],[type]]="LFF (MDG-F)",MID(Proc[[#This Row],[Obj]],13,10),"")</f>
        <v/>
      </c>
      <c r="J1583" s="85" t="b">
        <f ca="1">Proc[[#This Row],[Requested]]=Proc[[#This Row],[CurrentParent]]</f>
        <v>1</v>
      </c>
      <c r="K1583" s="85" t="str">
        <f ca="1"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138" t="str">
        <f ca="1"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 ca="1">IF(Proc[[#This Row],[type]]="LFF (MDG-F)",MID(Proc[[#This Row],[Obj]],13,10),"")</f>
        <v/>
      </c>
      <c r="J1584" s="85" t="b">
        <f ca="1">Proc[[#This Row],[Requested]]=Proc[[#This Row],[CurrentParent]]</f>
        <v>1</v>
      </c>
      <c r="K1584" s="85" t="str">
        <f ca="1"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138" t="str">
        <f ca="1"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 ca="1">IF(Proc[[#This Row],[type]]="LFF (MDG-F)",MID(Proc[[#This Row],[Obj]],13,10),"")</f>
        <v/>
      </c>
      <c r="J1585" s="85" t="b">
        <f ca="1">Proc[[#This Row],[Requested]]=Proc[[#This Row],[CurrentParent]]</f>
        <v>1</v>
      </c>
      <c r="K1585" s="85" t="str">
        <f ca="1"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138" t="str">
        <f ca="1"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 ca="1">IF(Proc[[#This Row],[type]]="LFF (MDG-F)",MID(Proc[[#This Row],[Obj]],13,10),"")</f>
        <v/>
      </c>
      <c r="J1586" s="85" t="b">
        <f ca="1">Proc[[#This Row],[Requested]]=Proc[[#This Row],[CurrentParent]]</f>
        <v>1</v>
      </c>
      <c r="K1586" s="85" t="str">
        <f ca="1"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138" t="str">
        <f ca="1"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 ca="1">IF(Proc[[#This Row],[type]]="LFF (MDG-F)",MID(Proc[[#This Row],[Obj]],13,10),"")</f>
        <v/>
      </c>
      <c r="J1587" s="85" t="b">
        <f ca="1">Proc[[#This Row],[Requested]]=Proc[[#This Row],[CurrentParent]]</f>
        <v>1</v>
      </c>
      <c r="K1587" s="85" t="str">
        <f ca="1"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138" t="str">
        <f ca="1"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 ca="1">IF(Proc[[#This Row],[type]]="LFF (MDG-F)",MID(Proc[[#This Row],[Obj]],13,10),"")</f>
        <v/>
      </c>
      <c r="J1588" s="85" t="b">
        <f ca="1">Proc[[#This Row],[Requested]]=Proc[[#This Row],[CurrentParent]]</f>
        <v>1</v>
      </c>
      <c r="K1588" s="85" t="str">
        <f ca="1"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138" t="str">
        <f ca="1"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 ca="1">IF(Proc[[#This Row],[type]]="LFF (MDG-F)",MID(Proc[[#This Row],[Obj]],13,10),"")</f>
        <v/>
      </c>
      <c r="J1589" s="85" t="b">
        <f ca="1">Proc[[#This Row],[Requested]]=Proc[[#This Row],[CurrentParent]]</f>
        <v>1</v>
      </c>
      <c r="K1589" s="85" t="str">
        <f ca="1"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138" t="str">
        <f ca="1"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 ca="1">IF(Proc[[#This Row],[type]]="LFF (MDG-F)",MID(Proc[[#This Row],[Obj]],13,10),"")</f>
        <v/>
      </c>
      <c r="J1590" s="85" t="b">
        <f ca="1">Proc[[#This Row],[Requested]]=Proc[[#This Row],[CurrentParent]]</f>
        <v>1</v>
      </c>
      <c r="K1590" s="85" t="str">
        <f ca="1"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138" t="str">
        <f ca="1"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 ca="1">IF(Proc[[#This Row],[type]]="LFF (MDG-F)",MID(Proc[[#This Row],[Obj]],13,10),"")</f>
        <v/>
      </c>
      <c r="J1591" s="85" t="b">
        <f ca="1">Proc[[#This Row],[Requested]]=Proc[[#This Row],[CurrentParent]]</f>
        <v>1</v>
      </c>
      <c r="K1591" s="85" t="str">
        <f ca="1"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138" t="str">
        <f ca="1"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 ca="1">IF(Proc[[#This Row],[type]]="LFF (MDG-F)",MID(Proc[[#This Row],[Obj]],13,10),"")</f>
        <v/>
      </c>
      <c r="J1592" s="85" t="b">
        <f ca="1">Proc[[#This Row],[Requested]]=Proc[[#This Row],[CurrentParent]]</f>
        <v>1</v>
      </c>
      <c r="K1592" s="85" t="str">
        <f ca="1"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138" t="str">
        <f ca="1"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 ca="1">IF(Proc[[#This Row],[type]]="LFF (MDG-F)",MID(Proc[[#This Row],[Obj]],13,10),"")</f>
        <v/>
      </c>
      <c r="J1593" s="85" t="b">
        <f ca="1">Proc[[#This Row],[Requested]]=Proc[[#This Row],[CurrentParent]]</f>
        <v>1</v>
      </c>
      <c r="K1593" s="85" t="str">
        <f ca="1"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138" t="str">
        <f ca="1"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 ca="1">IF(Proc[[#This Row],[type]]="LFF (MDG-F)",MID(Proc[[#This Row],[Obj]],13,10),"")</f>
        <v/>
      </c>
      <c r="J1594" s="85" t="b">
        <f ca="1">Proc[[#This Row],[Requested]]=Proc[[#This Row],[CurrentParent]]</f>
        <v>1</v>
      </c>
      <c r="K1594" s="85" t="str">
        <f ca="1"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138" t="str">
        <f ca="1"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 ca="1">IF(Proc[[#This Row],[type]]="LFF (MDG-F)",MID(Proc[[#This Row],[Obj]],13,10),"")</f>
        <v/>
      </c>
      <c r="J1595" s="85" t="b">
        <f ca="1">Proc[[#This Row],[Requested]]=Proc[[#This Row],[CurrentParent]]</f>
        <v>1</v>
      </c>
      <c r="K1595" s="85" t="str">
        <f ca="1"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138" t="str">
        <f ca="1"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 ca="1">IF(Proc[[#This Row],[type]]="LFF (MDG-F)",MID(Proc[[#This Row],[Obj]],13,10),"")</f>
        <v/>
      </c>
      <c r="J1596" s="85" t="b">
        <f ca="1">Proc[[#This Row],[Requested]]=Proc[[#This Row],[CurrentParent]]</f>
        <v>1</v>
      </c>
      <c r="K1596" s="85" t="str">
        <f ca="1"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138" t="str">
        <f ca="1"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 ca="1">IF(Proc[[#This Row],[type]]="LFF (MDG-F)",MID(Proc[[#This Row],[Obj]],13,10),"")</f>
        <v/>
      </c>
      <c r="J1597" s="85" t="b">
        <f ca="1">Proc[[#This Row],[Requested]]=Proc[[#This Row],[CurrentParent]]</f>
        <v>1</v>
      </c>
      <c r="K1597" s="85" t="str">
        <f ca="1"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138" t="str">
        <f ca="1"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 ca="1">IF(Proc[[#This Row],[type]]="LFF (MDG-F)",MID(Proc[[#This Row],[Obj]],13,10),"")</f>
        <v/>
      </c>
      <c r="J1598" s="85" t="b">
        <f ca="1">Proc[[#This Row],[Requested]]=Proc[[#This Row],[CurrentParent]]</f>
        <v>1</v>
      </c>
      <c r="K1598" s="85" t="str">
        <f ca="1"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138" t="str">
        <f ca="1"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 ca="1">IF(Proc[[#This Row],[type]]="LFF (MDG-F)",MID(Proc[[#This Row],[Obj]],13,10),"")</f>
        <v/>
      </c>
      <c r="J1599" s="85" t="b">
        <f ca="1">Proc[[#This Row],[Requested]]=Proc[[#This Row],[CurrentParent]]</f>
        <v>1</v>
      </c>
      <c r="K1599" s="85" t="str">
        <f ca="1"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138" t="str">
        <f ca="1"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 ca="1">IF(Proc[[#This Row],[type]]="LFF (MDG-F)",MID(Proc[[#This Row],[Obj]],13,10),"")</f>
        <v/>
      </c>
      <c r="J1600" s="85" t="b">
        <f ca="1">Proc[[#This Row],[Requested]]=Proc[[#This Row],[CurrentParent]]</f>
        <v>1</v>
      </c>
      <c r="K1600" s="85" t="str">
        <f ca="1"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138" t="str">
        <f ca="1"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 ca="1">IF(Proc[[#This Row],[type]]="LFF (MDG-F)",MID(Proc[[#This Row],[Obj]],13,10),"")</f>
        <v/>
      </c>
      <c r="J1601" s="85" t="b">
        <f ca="1">Proc[[#This Row],[Requested]]=Proc[[#This Row],[CurrentParent]]</f>
        <v>1</v>
      </c>
      <c r="K1601" s="85" t="str">
        <f ca="1"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138" t="str">
        <f ca="1"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 ca="1">IF(Proc[[#This Row],[type]]="LFF (MDG-F)",MID(Proc[[#This Row],[Obj]],13,10),"")</f>
        <v/>
      </c>
      <c r="J1602" s="85" t="b">
        <f ca="1">Proc[[#This Row],[Requested]]=Proc[[#This Row],[CurrentParent]]</f>
        <v>1</v>
      </c>
      <c r="K1602" s="85" t="str">
        <f ca="1"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138" t="str">
        <f ca="1"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 ca="1">IF(Proc[[#This Row],[type]]="LFF (MDG-F)",MID(Proc[[#This Row],[Obj]],13,10),"")</f>
        <v/>
      </c>
      <c r="J1603" s="85" t="b">
        <f ca="1">Proc[[#This Row],[Requested]]=Proc[[#This Row],[CurrentParent]]</f>
        <v>1</v>
      </c>
      <c r="K1603" s="85" t="str">
        <f ca="1"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138" t="str">
        <f ca="1"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 ca="1">IF(Proc[[#This Row],[type]]="LFF (MDG-F)",MID(Proc[[#This Row],[Obj]],13,10),"")</f>
        <v/>
      </c>
      <c r="J1604" s="85" t="b">
        <f ca="1">Proc[[#This Row],[Requested]]=Proc[[#This Row],[CurrentParent]]</f>
        <v>1</v>
      </c>
      <c r="K1604" s="85" t="str">
        <f ca="1"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138" t="str">
        <f ca="1"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 ca="1">IF(Proc[[#This Row],[type]]="LFF (MDG-F)",MID(Proc[[#This Row],[Obj]],13,10),"")</f>
        <v/>
      </c>
      <c r="J1605" s="85" t="b">
        <f ca="1">Proc[[#This Row],[Requested]]=Proc[[#This Row],[CurrentParent]]</f>
        <v>1</v>
      </c>
      <c r="K1605" s="85" t="str">
        <f ca="1"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138" t="str">
        <f ca="1"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 ca="1">IF(Proc[[#This Row],[type]]="LFF (MDG-F)",MID(Proc[[#This Row],[Obj]],13,10),"")</f>
        <v/>
      </c>
      <c r="J1606" s="85" t="b">
        <f ca="1">Proc[[#This Row],[Requested]]=Proc[[#This Row],[CurrentParent]]</f>
        <v>1</v>
      </c>
      <c r="K1606" s="85" t="str">
        <f ca="1"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138" t="str">
        <f ca="1"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 ca="1">IF(Proc[[#This Row],[type]]="LFF (MDG-F)",MID(Proc[[#This Row],[Obj]],13,10),"")</f>
        <v/>
      </c>
      <c r="J1607" s="85" t="b">
        <f ca="1">Proc[[#This Row],[Requested]]=Proc[[#This Row],[CurrentParent]]</f>
        <v>1</v>
      </c>
      <c r="K1607" s="85" t="str">
        <f ca="1"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138" t="str">
        <f ca="1"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 ca="1">IF(Proc[[#This Row],[type]]="LFF (MDG-F)",MID(Proc[[#This Row],[Obj]],13,10),"")</f>
        <v/>
      </c>
      <c r="J1608" s="85" t="b">
        <f ca="1">Proc[[#This Row],[Requested]]=Proc[[#This Row],[CurrentParent]]</f>
        <v>1</v>
      </c>
      <c r="K1608" s="85" t="str">
        <f ca="1"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138" t="str">
        <f ca="1"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 ca="1">IF(Proc[[#This Row],[type]]="LFF (MDG-F)",MID(Proc[[#This Row],[Obj]],13,10),"")</f>
        <v/>
      </c>
      <c r="J1609" s="85" t="b">
        <f ca="1">Proc[[#This Row],[Requested]]=Proc[[#This Row],[CurrentParent]]</f>
        <v>1</v>
      </c>
      <c r="K1609" s="85" t="str">
        <f ca="1"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138" t="str">
        <f ca="1"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 ca="1">IF(Proc[[#This Row],[type]]="LFF (MDG-F)",MID(Proc[[#This Row],[Obj]],13,10),"")</f>
        <v/>
      </c>
      <c r="J1610" s="85" t="b">
        <f ca="1">Proc[[#This Row],[Requested]]=Proc[[#This Row],[CurrentParent]]</f>
        <v>1</v>
      </c>
      <c r="K1610" s="85" t="str">
        <f ca="1"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138" t="str">
        <f ca="1"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 ca="1">IF(Proc[[#This Row],[type]]="LFF (MDG-F)",MID(Proc[[#This Row],[Obj]],13,10),"")</f>
        <v/>
      </c>
      <c r="J1611" s="85" t="b">
        <f ca="1">Proc[[#This Row],[Requested]]=Proc[[#This Row],[CurrentParent]]</f>
        <v>1</v>
      </c>
      <c r="K1611" s="85" t="str">
        <f ca="1"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138" t="str">
        <f ca="1"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 ca="1">IF(Proc[[#This Row],[type]]="LFF (MDG-F)",MID(Proc[[#This Row],[Obj]],13,10),"")</f>
        <v/>
      </c>
      <c r="J1612" s="85" t="b">
        <f ca="1">Proc[[#This Row],[Requested]]=Proc[[#This Row],[CurrentParent]]</f>
        <v>1</v>
      </c>
      <c r="K1612" s="85" t="str">
        <f ca="1"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138" t="str">
        <f ca="1"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 ca="1">IF(Proc[[#This Row],[type]]="LFF (MDG-F)",MID(Proc[[#This Row],[Obj]],13,10),"")</f>
        <v/>
      </c>
      <c r="J1613" s="85" t="b">
        <f ca="1">Proc[[#This Row],[Requested]]=Proc[[#This Row],[CurrentParent]]</f>
        <v>1</v>
      </c>
      <c r="K1613" s="85" t="str">
        <f ca="1"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138" t="str">
        <f ca="1"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 ca="1">IF(Proc[[#This Row],[type]]="LFF (MDG-F)",MID(Proc[[#This Row],[Obj]],13,10),"")</f>
        <v/>
      </c>
      <c r="J1614" s="85" t="b">
        <f ca="1">Proc[[#This Row],[Requested]]=Proc[[#This Row],[CurrentParent]]</f>
        <v>1</v>
      </c>
      <c r="K1614" s="85" t="str">
        <f ca="1"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138" t="str">
        <f ca="1"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 ca="1">IF(Proc[[#This Row],[type]]="LFF (MDG-F)",MID(Proc[[#This Row],[Obj]],13,10),"")</f>
        <v/>
      </c>
      <c r="J1615" s="85" t="b">
        <f ca="1">Proc[[#This Row],[Requested]]=Proc[[#This Row],[CurrentParent]]</f>
        <v>1</v>
      </c>
      <c r="K1615" s="85" t="str">
        <f ca="1"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138" t="str">
        <f ca="1"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 ca="1">IF(Proc[[#This Row],[type]]="LFF (MDG-F)",MID(Proc[[#This Row],[Obj]],13,10),"")</f>
        <v/>
      </c>
      <c r="J1616" s="85" t="b">
        <f ca="1">Proc[[#This Row],[Requested]]=Proc[[#This Row],[CurrentParent]]</f>
        <v>1</v>
      </c>
      <c r="K1616" s="85" t="str">
        <f ca="1"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138" t="str">
        <f ca="1"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 ca="1">IF(Proc[[#This Row],[type]]="LFF (MDG-F)",MID(Proc[[#This Row],[Obj]],13,10),"")</f>
        <v/>
      </c>
      <c r="J1617" s="85" t="b">
        <f ca="1">Proc[[#This Row],[Requested]]=Proc[[#This Row],[CurrentParent]]</f>
        <v>1</v>
      </c>
      <c r="K1617" s="85" t="str">
        <f ca="1"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138" t="str">
        <f ca="1"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 ca="1">IF(Proc[[#This Row],[type]]="LFF (MDG-F)",MID(Proc[[#This Row],[Obj]],13,10),"")</f>
        <v/>
      </c>
      <c r="J1618" s="85" t="b">
        <f ca="1">Proc[[#This Row],[Requested]]=Proc[[#This Row],[CurrentParent]]</f>
        <v>1</v>
      </c>
      <c r="K1618" s="85" t="str">
        <f ca="1"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138" t="str">
        <f ca="1"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 ca="1">IF(Proc[[#This Row],[type]]="LFF (MDG-F)",MID(Proc[[#This Row],[Obj]],13,10),"")</f>
        <v/>
      </c>
      <c r="J1619" s="85" t="b">
        <f ca="1">Proc[[#This Row],[Requested]]=Proc[[#This Row],[CurrentParent]]</f>
        <v>1</v>
      </c>
      <c r="K1619" s="85" t="str">
        <f ca="1"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138" t="str">
        <f ca="1"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 ca="1">IF(Proc[[#This Row],[type]]="LFF (MDG-F)",MID(Proc[[#This Row],[Obj]],13,10),"")</f>
        <v/>
      </c>
      <c r="J1620" s="85" t="b">
        <f ca="1">Proc[[#This Row],[Requested]]=Proc[[#This Row],[CurrentParent]]</f>
        <v>1</v>
      </c>
      <c r="K1620" s="85" t="str">
        <f ca="1"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138" t="str">
        <f ca="1"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 ca="1">IF(Proc[[#This Row],[type]]="LFF (MDG-F)",MID(Proc[[#This Row],[Obj]],13,10),"")</f>
        <v/>
      </c>
      <c r="J1621" s="85" t="b">
        <f ca="1">Proc[[#This Row],[Requested]]=Proc[[#This Row],[CurrentParent]]</f>
        <v>1</v>
      </c>
      <c r="K1621" s="85" t="str">
        <f ca="1"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138" t="str">
        <f ca="1"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 ca="1">IF(Proc[[#This Row],[type]]="LFF (MDG-F)",MID(Proc[[#This Row],[Obj]],13,10),"")</f>
        <v/>
      </c>
      <c r="J1622" s="85" t="b">
        <f ca="1">Proc[[#This Row],[Requested]]=Proc[[#This Row],[CurrentParent]]</f>
        <v>1</v>
      </c>
      <c r="K1622" s="85" t="str">
        <f ca="1"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138" t="str">
        <f ca="1"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 ca="1">IF(Proc[[#This Row],[type]]="LFF (MDG-F)",MID(Proc[[#This Row],[Obj]],13,10),"")</f>
        <v/>
      </c>
      <c r="J1623" s="85" t="b">
        <f ca="1">Proc[[#This Row],[Requested]]=Proc[[#This Row],[CurrentParent]]</f>
        <v>1</v>
      </c>
      <c r="K1623" s="85" t="str">
        <f ca="1"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138" t="str">
        <f ca="1"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 ca="1">IF(Proc[[#This Row],[type]]="LFF (MDG-F)",MID(Proc[[#This Row],[Obj]],13,10),"")</f>
        <v/>
      </c>
      <c r="J1624" s="85" t="b">
        <f ca="1">Proc[[#This Row],[Requested]]=Proc[[#This Row],[CurrentParent]]</f>
        <v>1</v>
      </c>
      <c r="K1624" s="85" t="str">
        <f ca="1"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138" t="str">
        <f ca="1"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 ca="1">IF(Proc[[#This Row],[type]]="LFF (MDG-F)",MID(Proc[[#This Row],[Obj]],13,10),"")</f>
        <v/>
      </c>
      <c r="J1625" s="85" t="b">
        <f ca="1">Proc[[#This Row],[Requested]]=Proc[[#This Row],[CurrentParent]]</f>
        <v>1</v>
      </c>
      <c r="K1625" s="85" t="str">
        <f ca="1"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138" t="str">
        <f ca="1"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 ca="1">IF(Proc[[#This Row],[type]]="LFF (MDG-F)",MID(Proc[[#This Row],[Obj]],13,10),"")</f>
        <v/>
      </c>
      <c r="J1626" s="85" t="b">
        <f ca="1">Proc[[#This Row],[Requested]]=Proc[[#This Row],[CurrentParent]]</f>
        <v>1</v>
      </c>
      <c r="K1626" s="85" t="str">
        <f ca="1"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138" t="str">
        <f ca="1"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 ca="1">IF(Proc[[#This Row],[type]]="LFF (MDG-F)",MID(Proc[[#This Row],[Obj]],13,10),"")</f>
        <v/>
      </c>
      <c r="J1627" s="85" t="b">
        <f ca="1">Proc[[#This Row],[Requested]]=Proc[[#This Row],[CurrentParent]]</f>
        <v>1</v>
      </c>
      <c r="K1627" s="85" t="str">
        <f ca="1"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138" t="str">
        <f ca="1"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 ca="1">IF(Proc[[#This Row],[type]]="LFF (MDG-F)",MID(Proc[[#This Row],[Obj]],13,10),"")</f>
        <v/>
      </c>
      <c r="J1628" s="85" t="b">
        <f ca="1">Proc[[#This Row],[Requested]]=Proc[[#This Row],[CurrentParent]]</f>
        <v>1</v>
      </c>
      <c r="K1628" s="85" t="str">
        <f ca="1"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138" t="str">
        <f ca="1"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 ca="1">IF(Proc[[#This Row],[type]]="LFF (MDG-F)",MID(Proc[[#This Row],[Obj]],13,10),"")</f>
        <v/>
      </c>
      <c r="J1629" s="85" t="b">
        <f ca="1">Proc[[#This Row],[Requested]]=Proc[[#This Row],[CurrentParent]]</f>
        <v>1</v>
      </c>
      <c r="K1629" s="85" t="str">
        <f ca="1"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138" t="str">
        <f ca="1"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 ca="1">IF(Proc[[#This Row],[type]]="LFF (MDG-F)",MID(Proc[[#This Row],[Obj]],13,10),"")</f>
        <v/>
      </c>
      <c r="J1630" s="85" t="b">
        <f ca="1">Proc[[#This Row],[Requested]]=Proc[[#This Row],[CurrentParent]]</f>
        <v>1</v>
      </c>
      <c r="K1630" s="85" t="str">
        <f ca="1"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138" t="str">
        <f ca="1"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 ca="1">IF(Proc[[#This Row],[type]]="LFF (MDG-F)",MID(Proc[[#This Row],[Obj]],13,10),"")</f>
        <v/>
      </c>
      <c r="J1631" s="85" t="b">
        <f ca="1">Proc[[#This Row],[Requested]]=Proc[[#This Row],[CurrentParent]]</f>
        <v>1</v>
      </c>
      <c r="K1631" s="85" t="str">
        <f ca="1"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138" t="str">
        <f ca="1"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 ca="1">IF(Proc[[#This Row],[type]]="LFF (MDG-F)",MID(Proc[[#This Row],[Obj]],13,10),"")</f>
        <v/>
      </c>
      <c r="J1632" s="85" t="b">
        <f ca="1">Proc[[#This Row],[Requested]]=Proc[[#This Row],[CurrentParent]]</f>
        <v>1</v>
      </c>
      <c r="K1632" s="85" t="str">
        <f ca="1"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138" t="str">
        <f ca="1"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 ca="1">IF(Proc[[#This Row],[type]]="LFF (MDG-F)",MID(Proc[[#This Row],[Obj]],13,10),"")</f>
        <v/>
      </c>
      <c r="J1633" s="85" t="b">
        <f ca="1">Proc[[#This Row],[Requested]]=Proc[[#This Row],[CurrentParent]]</f>
        <v>1</v>
      </c>
      <c r="K1633" s="85" t="str">
        <f ca="1"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138" t="str">
        <f ca="1"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 ca="1">IF(Proc[[#This Row],[type]]="LFF (MDG-F)",MID(Proc[[#This Row],[Obj]],13,10),"")</f>
        <v/>
      </c>
      <c r="J1634" s="85" t="b">
        <f ca="1">Proc[[#This Row],[Requested]]=Proc[[#This Row],[CurrentParent]]</f>
        <v>1</v>
      </c>
      <c r="K1634" s="85" t="str">
        <f ca="1"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138" t="str">
        <f ca="1"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 ca="1">IF(Proc[[#This Row],[type]]="LFF (MDG-F)",MID(Proc[[#This Row],[Obj]],13,10),"")</f>
        <v/>
      </c>
      <c r="J1635" s="85" t="b">
        <f ca="1">Proc[[#This Row],[Requested]]=Proc[[#This Row],[CurrentParent]]</f>
        <v>1</v>
      </c>
      <c r="K1635" s="85" t="str">
        <f ca="1"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138" t="str">
        <f ca="1"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 ca="1">IF(Proc[[#This Row],[type]]="LFF (MDG-F)",MID(Proc[[#This Row],[Obj]],13,10),"")</f>
        <v/>
      </c>
      <c r="J1636" s="85" t="b">
        <f ca="1">Proc[[#This Row],[Requested]]=Proc[[#This Row],[CurrentParent]]</f>
        <v>1</v>
      </c>
      <c r="K1636" s="85" t="str">
        <f ca="1"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138" t="str">
        <f ca="1"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 ca="1">IF(Proc[[#This Row],[type]]="LFF (MDG-F)",MID(Proc[[#This Row],[Obj]],13,10),"")</f>
        <v/>
      </c>
      <c r="J1637" s="85" t="b">
        <f ca="1">Proc[[#This Row],[Requested]]=Proc[[#This Row],[CurrentParent]]</f>
        <v>1</v>
      </c>
      <c r="K1637" s="85" t="str">
        <f ca="1"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138" t="str">
        <f ca="1"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 ca="1">IF(Proc[[#This Row],[type]]="LFF (MDG-F)",MID(Proc[[#This Row],[Obj]],13,10),"")</f>
        <v/>
      </c>
      <c r="J1638" s="85" t="b">
        <f ca="1">Proc[[#This Row],[Requested]]=Proc[[#This Row],[CurrentParent]]</f>
        <v>1</v>
      </c>
      <c r="K1638" s="85" t="str">
        <f ca="1"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138" t="str">
        <f ca="1"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 ca="1">IF(Proc[[#This Row],[type]]="LFF (MDG-F)",MID(Proc[[#This Row],[Obj]],13,10),"")</f>
        <v/>
      </c>
      <c r="J1639" s="85" t="b">
        <f ca="1">Proc[[#This Row],[Requested]]=Proc[[#This Row],[CurrentParent]]</f>
        <v>1</v>
      </c>
      <c r="K1639" s="85" t="str">
        <f ca="1"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138" t="str">
        <f ca="1"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 ca="1">IF(Proc[[#This Row],[type]]="LFF (MDG-F)",MID(Proc[[#This Row],[Obj]],13,10),"")</f>
        <v/>
      </c>
      <c r="J1640" s="85" t="b">
        <f ca="1">Proc[[#This Row],[Requested]]=Proc[[#This Row],[CurrentParent]]</f>
        <v>1</v>
      </c>
      <c r="K1640" s="85" t="str">
        <f ca="1"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138" t="str">
        <f ca="1"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 ca="1">IF(Proc[[#This Row],[type]]="LFF (MDG-F)",MID(Proc[[#This Row],[Obj]],13,10),"")</f>
        <v/>
      </c>
      <c r="J1641" s="85" t="b">
        <f ca="1">Proc[[#This Row],[Requested]]=Proc[[#This Row],[CurrentParent]]</f>
        <v>1</v>
      </c>
      <c r="K1641" s="85" t="str">
        <f ca="1"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138" t="str">
        <f ca="1"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 ca="1">IF(Proc[[#This Row],[type]]="LFF (MDG-F)",MID(Proc[[#This Row],[Obj]],13,10),"")</f>
        <v/>
      </c>
      <c r="J1642" s="85" t="b">
        <f ca="1">Proc[[#This Row],[Requested]]=Proc[[#This Row],[CurrentParent]]</f>
        <v>1</v>
      </c>
      <c r="K1642" s="85" t="str">
        <f ca="1"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138" t="str">
        <f ca="1"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 ca="1">IF(Proc[[#This Row],[type]]="LFF (MDG-F)",MID(Proc[[#This Row],[Obj]],13,10),"")</f>
        <v/>
      </c>
      <c r="J1643" s="85" t="b">
        <f ca="1">Proc[[#This Row],[Requested]]=Proc[[#This Row],[CurrentParent]]</f>
        <v>1</v>
      </c>
      <c r="K1643" s="85" t="str">
        <f ca="1"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138" t="str">
        <f ca="1"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 ca="1">IF(Proc[[#This Row],[type]]="LFF (MDG-F)",MID(Proc[[#This Row],[Obj]],13,10),"")</f>
        <v/>
      </c>
      <c r="J1644" s="85" t="b">
        <f ca="1">Proc[[#This Row],[Requested]]=Proc[[#This Row],[CurrentParent]]</f>
        <v>1</v>
      </c>
      <c r="K1644" s="85" t="str">
        <f ca="1"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76</v>
      </c>
      <c r="R1644" s="90" t="s">
        <v>489</v>
      </c>
      <c r="S1644" s="85"/>
    </row>
    <row r="1645" spans="1:19" hidden="1">
      <c r="A1645" s="89" t="s">
        <v>3405</v>
      </c>
      <c r="B1645" s="138" t="str">
        <f ca="1"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 ca="1">IF(Proc[[#This Row],[type]]="LFF (MDG-F)",MID(Proc[[#This Row],[Obj]],13,10),"")</f>
        <v/>
      </c>
      <c r="J1645" s="85" t="b">
        <f ca="1">Proc[[#This Row],[Requested]]=Proc[[#This Row],[CurrentParent]]</f>
        <v>1</v>
      </c>
      <c r="K1645" s="85" t="str">
        <f ca="1"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76</v>
      </c>
      <c r="R1645" s="90" t="s">
        <v>489</v>
      </c>
      <c r="S1645" s="85"/>
    </row>
    <row r="1646" spans="1:19" hidden="1">
      <c r="A1646" s="89" t="s">
        <v>3405</v>
      </c>
      <c r="B1646" s="138" t="str">
        <f ca="1"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 ca="1">IF(Proc[[#This Row],[type]]="LFF (MDG-F)",MID(Proc[[#This Row],[Obj]],13,10),"")</f>
        <v/>
      </c>
      <c r="J1646" s="85" t="b">
        <f ca="1">Proc[[#This Row],[Requested]]=Proc[[#This Row],[CurrentParent]]</f>
        <v>1</v>
      </c>
      <c r="K1646" s="85" t="str">
        <f ca="1"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76</v>
      </c>
      <c r="R1646" s="90" t="s">
        <v>489</v>
      </c>
      <c r="S1646" s="85"/>
    </row>
    <row r="1647" spans="1:19" hidden="1">
      <c r="A1647" s="89" t="s">
        <v>3405</v>
      </c>
      <c r="B1647" s="138" t="str">
        <f ca="1"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 ca="1">IF(Proc[[#This Row],[type]]="LFF (MDG-F)",MID(Proc[[#This Row],[Obj]],13,10),"")</f>
        <v/>
      </c>
      <c r="J1647" s="85" t="b">
        <f ca="1">Proc[[#This Row],[Requested]]=Proc[[#This Row],[CurrentParent]]</f>
        <v>1</v>
      </c>
      <c r="K1647" s="85" t="str">
        <f ca="1"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76</v>
      </c>
      <c r="R1647" s="90" t="s">
        <v>489</v>
      </c>
      <c r="S1647" s="85"/>
    </row>
    <row r="1648" spans="1:19" hidden="1">
      <c r="A1648" s="89" t="s">
        <v>3405</v>
      </c>
      <c r="B1648" s="138" t="str">
        <f ca="1"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 ca="1">IF(Proc[[#This Row],[type]]="LFF (MDG-F)",MID(Proc[[#This Row],[Obj]],13,10),"")</f>
        <v/>
      </c>
      <c r="J1648" s="85" t="b">
        <f ca="1">Proc[[#This Row],[Requested]]=Proc[[#This Row],[CurrentParent]]</f>
        <v>1</v>
      </c>
      <c r="K1648" s="85" t="str">
        <f ca="1"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76</v>
      </c>
      <c r="R1648" s="90" t="s">
        <v>489</v>
      </c>
      <c r="S1648" s="85"/>
    </row>
    <row r="1649" spans="1:19" hidden="1">
      <c r="A1649" s="89" t="s">
        <v>3405</v>
      </c>
      <c r="B1649" s="138" t="str">
        <f ca="1"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 ca="1">IF(Proc[[#This Row],[type]]="LFF (MDG-F)",MID(Proc[[#This Row],[Obj]],13,10),"")</f>
        <v/>
      </c>
      <c r="J1649" s="85" t="b">
        <f ca="1">Proc[[#This Row],[Requested]]=Proc[[#This Row],[CurrentParent]]</f>
        <v>1</v>
      </c>
      <c r="K1649" s="85" t="str">
        <f ca="1"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76</v>
      </c>
      <c r="R1649" s="90" t="s">
        <v>489</v>
      </c>
      <c r="S1649" s="85"/>
    </row>
    <row r="1650" spans="1:19" hidden="1">
      <c r="A1650" s="89" t="s">
        <v>3405</v>
      </c>
      <c r="B1650" s="138" t="str">
        <f ca="1"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 ca="1">IF(Proc[[#This Row],[type]]="LFF (MDG-F)",MID(Proc[[#This Row],[Obj]],13,10),"")</f>
        <v/>
      </c>
      <c r="J1650" s="85" t="b">
        <f ca="1">Proc[[#This Row],[Requested]]=Proc[[#This Row],[CurrentParent]]</f>
        <v>1</v>
      </c>
      <c r="K1650" s="85" t="str">
        <f ca="1"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76</v>
      </c>
      <c r="R1650" s="90" t="s">
        <v>489</v>
      </c>
      <c r="S1650" s="85"/>
    </row>
    <row r="1651" spans="1:19" hidden="1">
      <c r="A1651" s="89" t="s">
        <v>3405</v>
      </c>
      <c r="B1651" s="138" t="str">
        <f ca="1"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 ca="1">IF(Proc[[#This Row],[type]]="LFF (MDG-F)",MID(Proc[[#This Row],[Obj]],13,10),"")</f>
        <v/>
      </c>
      <c r="J1651" s="85" t="b">
        <f ca="1">Proc[[#This Row],[Requested]]=Proc[[#This Row],[CurrentParent]]</f>
        <v>1</v>
      </c>
      <c r="K1651" s="85" t="str">
        <f ca="1"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76</v>
      </c>
      <c r="R1651" s="90" t="s">
        <v>489</v>
      </c>
      <c r="S1651" s="85"/>
    </row>
    <row r="1652" spans="1:19" hidden="1">
      <c r="A1652" s="89" t="s">
        <v>3405</v>
      </c>
      <c r="B1652" s="138" t="str">
        <f ca="1"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 ca="1">IF(Proc[[#This Row],[type]]="LFF (MDG-F)",MID(Proc[[#This Row],[Obj]],13,10),"")</f>
        <v/>
      </c>
      <c r="J1652" s="85" t="b">
        <f ca="1">Proc[[#This Row],[Requested]]=Proc[[#This Row],[CurrentParent]]</f>
        <v>1</v>
      </c>
      <c r="K1652" s="85" t="str">
        <f ca="1"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76</v>
      </c>
      <c r="R1652" s="90" t="s">
        <v>489</v>
      </c>
      <c r="S1652" s="85"/>
    </row>
    <row r="1653" spans="1:19" hidden="1">
      <c r="A1653" s="89" t="s">
        <v>3405</v>
      </c>
      <c r="B1653" s="138" t="str">
        <f ca="1"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 ca="1">IF(Proc[[#This Row],[type]]="LFF (MDG-F)",MID(Proc[[#This Row],[Obj]],13,10),"")</f>
        <v/>
      </c>
      <c r="J1653" s="85" t="b">
        <f ca="1">Proc[[#This Row],[Requested]]=Proc[[#This Row],[CurrentParent]]</f>
        <v>1</v>
      </c>
      <c r="K1653" s="85" t="str">
        <f ca="1"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76</v>
      </c>
      <c r="R1653" s="90" t="s">
        <v>489</v>
      </c>
      <c r="S1653" s="85"/>
    </row>
    <row r="1654" spans="1:19" hidden="1">
      <c r="A1654" s="89" t="s">
        <v>3405</v>
      </c>
      <c r="B1654" s="138" t="str">
        <f ca="1"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 ca="1">IF(Proc[[#This Row],[type]]="LFF (MDG-F)",MID(Proc[[#This Row],[Obj]],13,10),"")</f>
        <v/>
      </c>
      <c r="J1654" s="85" t="b">
        <f ca="1">Proc[[#This Row],[Requested]]=Proc[[#This Row],[CurrentParent]]</f>
        <v>1</v>
      </c>
      <c r="K1654" s="85" t="str">
        <f ca="1"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76</v>
      </c>
      <c r="R1654" s="90" t="s">
        <v>489</v>
      </c>
      <c r="S1654" s="85"/>
    </row>
    <row r="1655" spans="1:19" hidden="1">
      <c r="A1655" s="89" t="s">
        <v>3405</v>
      </c>
      <c r="B1655" s="138" t="str">
        <f ca="1"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 ca="1">IF(Proc[[#This Row],[type]]="LFF (MDG-F)",MID(Proc[[#This Row],[Obj]],13,10),"")</f>
        <v/>
      </c>
      <c r="J1655" s="85" t="b">
        <f ca="1">Proc[[#This Row],[Requested]]=Proc[[#This Row],[CurrentParent]]</f>
        <v>1</v>
      </c>
      <c r="K1655" s="85" t="str">
        <f ca="1"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76</v>
      </c>
      <c r="R1655" s="90" t="s">
        <v>489</v>
      </c>
      <c r="S1655" s="85"/>
    </row>
    <row r="1656" spans="1:19" hidden="1">
      <c r="A1656" s="89" t="s">
        <v>3405</v>
      </c>
      <c r="B1656" s="138" t="str">
        <f ca="1"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 ca="1">IF(Proc[[#This Row],[type]]="LFF (MDG-F)",MID(Proc[[#This Row],[Obj]],13,10),"")</f>
        <v/>
      </c>
      <c r="J1656" s="85" t="b">
        <f ca="1">Proc[[#This Row],[Requested]]=Proc[[#This Row],[CurrentParent]]</f>
        <v>1</v>
      </c>
      <c r="K1656" s="85" t="str">
        <f ca="1"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76</v>
      </c>
      <c r="R1656" s="90" t="s">
        <v>489</v>
      </c>
      <c r="S1656" s="85"/>
    </row>
    <row r="1657" spans="1:19" hidden="1">
      <c r="A1657" s="89" t="s">
        <v>3405</v>
      </c>
      <c r="B1657" s="138" t="str">
        <f ca="1"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 ca="1">IF(Proc[[#This Row],[type]]="LFF (MDG-F)",MID(Proc[[#This Row],[Obj]],13,10),"")</f>
        <v/>
      </c>
      <c r="J1657" s="85" t="b">
        <f ca="1">Proc[[#This Row],[Requested]]=Proc[[#This Row],[CurrentParent]]</f>
        <v>1</v>
      </c>
      <c r="K1657" s="85" t="str">
        <f ca="1"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76</v>
      </c>
      <c r="R1657" s="90" t="s">
        <v>489</v>
      </c>
      <c r="S1657" s="85"/>
    </row>
    <row r="1658" spans="1:19" hidden="1">
      <c r="A1658" s="89" t="s">
        <v>3405</v>
      </c>
      <c r="B1658" s="138" t="str">
        <f ca="1"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 ca="1">IF(Proc[[#This Row],[type]]="LFF (MDG-F)",MID(Proc[[#This Row],[Obj]],13,10),"")</f>
        <v/>
      </c>
      <c r="J1658" s="85" t="b">
        <f ca="1">Proc[[#This Row],[Requested]]=Proc[[#This Row],[CurrentParent]]</f>
        <v>1</v>
      </c>
      <c r="K1658" s="85" t="str">
        <f ca="1"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76</v>
      </c>
      <c r="R1658" s="90" t="s">
        <v>489</v>
      </c>
      <c r="S1658" s="85"/>
    </row>
    <row r="1659" spans="1:19" hidden="1">
      <c r="A1659" s="89" t="s">
        <v>3405</v>
      </c>
      <c r="B1659" s="138" t="str">
        <f ca="1"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 ca="1">IF(Proc[[#This Row],[type]]="LFF (MDG-F)",MID(Proc[[#This Row],[Obj]],13,10),"")</f>
        <v/>
      </c>
      <c r="J1659" s="85" t="b">
        <f ca="1">Proc[[#This Row],[Requested]]=Proc[[#This Row],[CurrentParent]]</f>
        <v>1</v>
      </c>
      <c r="K1659" s="85" t="str">
        <f ca="1"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76</v>
      </c>
      <c r="R1659" s="90" t="s">
        <v>489</v>
      </c>
      <c r="S1659" s="85"/>
    </row>
    <row r="1660" spans="1:19" hidden="1">
      <c r="A1660" s="89" t="s">
        <v>3405</v>
      </c>
      <c r="B1660" s="138" t="str">
        <f ca="1"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 ca="1">IF(Proc[[#This Row],[type]]="LFF (MDG-F)",MID(Proc[[#This Row],[Obj]],13,10),"")</f>
        <v/>
      </c>
      <c r="J1660" s="85" t="b">
        <f ca="1">Proc[[#This Row],[Requested]]=Proc[[#This Row],[CurrentParent]]</f>
        <v>1</v>
      </c>
      <c r="K1660" s="85" t="str">
        <f ca="1"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76</v>
      </c>
      <c r="R1660" s="90" t="s">
        <v>489</v>
      </c>
      <c r="S1660" s="85"/>
    </row>
    <row r="1661" spans="1:19" hidden="1">
      <c r="A1661" s="89" t="s">
        <v>3405</v>
      </c>
      <c r="B1661" s="138" t="str">
        <f ca="1"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 ca="1">IF(Proc[[#This Row],[type]]="LFF (MDG-F)",MID(Proc[[#This Row],[Obj]],13,10),"")</f>
        <v/>
      </c>
      <c r="J1661" s="85" t="b">
        <f ca="1">Proc[[#This Row],[Requested]]=Proc[[#This Row],[CurrentParent]]</f>
        <v>1</v>
      </c>
      <c r="K1661" s="85" t="str">
        <f ca="1"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76</v>
      </c>
      <c r="R1661" s="90" t="s">
        <v>489</v>
      </c>
      <c r="S1661" s="85"/>
    </row>
    <row r="1662" spans="1:19" hidden="1">
      <c r="A1662" s="89" t="s">
        <v>3405</v>
      </c>
      <c r="B1662" s="138" t="str">
        <f ca="1"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 ca="1">IF(Proc[[#This Row],[type]]="LFF (MDG-F)",MID(Proc[[#This Row],[Obj]],13,10),"")</f>
        <v/>
      </c>
      <c r="J1662" s="85" t="b">
        <f ca="1">Proc[[#This Row],[Requested]]=Proc[[#This Row],[CurrentParent]]</f>
        <v>1</v>
      </c>
      <c r="K1662" s="85" t="str">
        <f ca="1"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76</v>
      </c>
      <c r="R1662" s="90" t="s">
        <v>489</v>
      </c>
      <c r="S1662" s="85"/>
    </row>
    <row r="1663" spans="1:19" hidden="1">
      <c r="A1663" s="89" t="s">
        <v>3405</v>
      </c>
      <c r="B1663" s="138" t="str">
        <f ca="1"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 ca="1">IF(Proc[[#This Row],[type]]="LFF (MDG-F)",MID(Proc[[#This Row],[Obj]],13,10),"")</f>
        <v/>
      </c>
      <c r="J1663" s="85" t="b">
        <f ca="1">Proc[[#This Row],[Requested]]=Proc[[#This Row],[CurrentParent]]</f>
        <v>1</v>
      </c>
      <c r="K1663" s="85" t="str">
        <f ca="1"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76</v>
      </c>
      <c r="R1663" s="90" t="s">
        <v>489</v>
      </c>
      <c r="S1663" s="85"/>
    </row>
    <row r="1664" spans="1:19" hidden="1">
      <c r="A1664" s="89" t="s">
        <v>3405</v>
      </c>
      <c r="B1664" s="138" t="str">
        <f ca="1"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 ca="1">IF(Proc[[#This Row],[type]]="LFF (MDG-F)",MID(Proc[[#This Row],[Obj]],13,10),"")</f>
        <v/>
      </c>
      <c r="J1664" s="85" t="b">
        <f ca="1">Proc[[#This Row],[Requested]]=Proc[[#This Row],[CurrentParent]]</f>
        <v>1</v>
      </c>
      <c r="K1664" s="85" t="str">
        <f ca="1"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76</v>
      </c>
      <c r="R1664" s="90" t="s">
        <v>489</v>
      </c>
      <c r="S1664" s="85"/>
    </row>
    <row r="1665" spans="1:19" hidden="1">
      <c r="A1665" s="89" t="s">
        <v>3405</v>
      </c>
      <c r="B1665" s="138" t="str">
        <f ca="1"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 ca="1">IF(Proc[[#This Row],[type]]="LFF (MDG-F)",MID(Proc[[#This Row],[Obj]],13,10),"")</f>
        <v/>
      </c>
      <c r="J1665" s="85" t="b">
        <f ca="1">Proc[[#This Row],[Requested]]=Proc[[#This Row],[CurrentParent]]</f>
        <v>1</v>
      </c>
      <c r="K1665" s="85" t="str">
        <f ca="1"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76</v>
      </c>
      <c r="R1665" s="90" t="s">
        <v>489</v>
      </c>
      <c r="S1665" s="85"/>
    </row>
    <row r="1666" spans="1:19" hidden="1">
      <c r="A1666" s="89" t="s">
        <v>3405</v>
      </c>
      <c r="B1666" s="138" t="str">
        <f ca="1"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 ca="1">IF(Proc[[#This Row],[type]]="LFF (MDG-F)",MID(Proc[[#This Row],[Obj]],13,10),"")</f>
        <v/>
      </c>
      <c r="J1666" s="85" t="b">
        <f ca="1">Proc[[#This Row],[Requested]]=Proc[[#This Row],[CurrentParent]]</f>
        <v>1</v>
      </c>
      <c r="K1666" s="85" t="str">
        <f ca="1"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76</v>
      </c>
      <c r="R1666" s="90" t="s">
        <v>489</v>
      </c>
      <c r="S1666" s="85"/>
    </row>
    <row r="1667" spans="1:19" hidden="1">
      <c r="A1667" s="89" t="s">
        <v>3405</v>
      </c>
      <c r="B1667" s="138" t="str">
        <f ca="1"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 ca="1">IF(Proc[[#This Row],[type]]="LFF (MDG-F)",MID(Proc[[#This Row],[Obj]],13,10),"")</f>
        <v/>
      </c>
      <c r="J1667" s="85" t="b">
        <f ca="1">Proc[[#This Row],[Requested]]=Proc[[#This Row],[CurrentParent]]</f>
        <v>1</v>
      </c>
      <c r="K1667" s="85" t="str">
        <f ca="1"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76</v>
      </c>
      <c r="R1667" s="90" t="s">
        <v>489</v>
      </c>
      <c r="S1667" s="85"/>
    </row>
    <row r="1668" spans="1:19" hidden="1">
      <c r="A1668" s="89" t="s">
        <v>3405</v>
      </c>
      <c r="B1668" s="138" t="str">
        <f ca="1"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 ca="1">IF(Proc[[#This Row],[type]]="LFF (MDG-F)",MID(Proc[[#This Row],[Obj]],13,10),"")</f>
        <v/>
      </c>
      <c r="J1668" s="85" t="b">
        <f ca="1">Proc[[#This Row],[Requested]]=Proc[[#This Row],[CurrentParent]]</f>
        <v>1</v>
      </c>
      <c r="K1668" s="85" t="str">
        <f ca="1"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76</v>
      </c>
      <c r="R1668" s="90" t="s">
        <v>489</v>
      </c>
      <c r="S1668" s="85"/>
    </row>
    <row r="1669" spans="1:19" hidden="1">
      <c r="A1669" s="89" t="s">
        <v>3405</v>
      </c>
      <c r="B1669" s="138" t="str">
        <f ca="1"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 ca="1">IF(Proc[[#This Row],[type]]="LFF (MDG-F)",MID(Proc[[#This Row],[Obj]],13,10),"")</f>
        <v>KE50C0FF10</v>
      </c>
      <c r="I1669" t="s">
        <v>1198</v>
      </c>
      <c r="J1669" s="85" t="b">
        <f ca="1">Proc[[#This Row],[Requested]]=Proc[[#This Row],[CurrentParent]]</f>
        <v>1</v>
      </c>
      <c r="K1669" s="85" t="str">
        <f ca="1"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138" t="str">
        <f ca="1"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 ca="1">IF(Proc[[#This Row],[type]]="LFF (MDG-F)",MID(Proc[[#This Row],[Obj]],13,10),"")</f>
        <v>1756C00005</v>
      </c>
      <c r="I1670" t="s">
        <v>3559</v>
      </c>
      <c r="J1670" s="85" t="b">
        <f ca="1">Proc[[#This Row],[Requested]]=Proc[[#This Row],[CurrentParent]]</f>
        <v>1</v>
      </c>
      <c r="K1670" s="85" t="str">
        <f ca="1"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138" t="str">
        <f ca="1"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 ca="1">IF(Proc[[#This Row],[type]]="LFF (MDG-F)",MID(Proc[[#This Row],[Obj]],13,10),"")</f>
        <v>1756CS7063</v>
      </c>
      <c r="I1671" t="s">
        <v>3559</v>
      </c>
      <c r="J1671" s="85" t="b">
        <f ca="1">Proc[[#This Row],[Requested]]=Proc[[#This Row],[CurrentParent]]</f>
        <v>1</v>
      </c>
      <c r="K1671" s="85" t="str">
        <f ca="1"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138" t="str">
        <f ca="1"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 ca="1">IF(Proc[[#This Row],[type]]="LFF (MDG-F)",MID(Proc[[#This Row],[Obj]],13,10),"")</f>
        <v>1756CS7346</v>
      </c>
      <c r="I1672" t="s">
        <v>3559</v>
      </c>
      <c r="J1672" s="85" t="b">
        <f ca="1">Proc[[#This Row],[Requested]]=Proc[[#This Row],[CurrentParent]]</f>
        <v>1</v>
      </c>
      <c r="K1672" s="85" t="str">
        <f ca="1"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138" t="str">
        <f ca="1"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 ca="1">IF(Proc[[#This Row],[type]]="LFF (MDG-F)",MID(Proc[[#This Row],[Obj]],13,10),"")</f>
        <v>1756OF0007</v>
      </c>
      <c r="I1673" t="s">
        <v>3559</v>
      </c>
      <c r="J1673" s="85" t="b">
        <f ca="1">Proc[[#This Row],[Requested]]=Proc[[#This Row],[CurrentParent]]</f>
        <v>1</v>
      </c>
      <c r="K1673" s="85" t="str">
        <f ca="1"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138" t="str">
        <f ca="1"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 ca="1">IF(Proc[[#This Row],[type]]="LFF (MDG-F)",MID(Proc[[#This Row],[Obj]],13,10),"")</f>
        <v>1937L52686</v>
      </c>
      <c r="I1674" t="s">
        <v>3559</v>
      </c>
      <c r="J1674" s="85" t="b">
        <f ca="1">Proc[[#This Row],[Requested]]=Proc[[#This Row],[CurrentParent]]</f>
        <v>1</v>
      </c>
      <c r="K1674" s="85" t="str">
        <f ca="1"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138" t="str">
        <f ca="1"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 ca="1">IF(Proc[[#This Row],[type]]="LFF (MDG-F)",MID(Proc[[#This Row],[Obj]],13,10),"")</f>
        <v>2025C01122</v>
      </c>
      <c r="I1675" t="s">
        <v>3559</v>
      </c>
      <c r="J1675" s="85" t="b">
        <f ca="1">Proc[[#This Row],[Requested]]=Proc[[#This Row],[CurrentParent]]</f>
        <v>1</v>
      </c>
      <c r="K1675" s="85" t="str">
        <f ca="1"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138" t="str">
        <f ca="1"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 ca="1">IF(Proc[[#This Row],[type]]="LFF (MDG-F)",MID(Proc[[#This Row],[Obj]],13,10),"")</f>
        <v>2063C05891</v>
      </c>
      <c r="I1676" t="s">
        <v>3559</v>
      </c>
      <c r="J1676" s="85" t="b">
        <f ca="1">Proc[[#This Row],[Requested]]=Proc[[#This Row],[CurrentParent]]</f>
        <v>1</v>
      </c>
      <c r="K1676" s="85" t="str">
        <f ca="1"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138" t="str">
        <f ca="1"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 ca="1">IF(Proc[[#This Row],[type]]="LFF (MDG-F)",MID(Proc[[#This Row],[Obj]],13,10),"")</f>
        <v>2063C06245</v>
      </c>
      <c r="I1677" t="s">
        <v>3559</v>
      </c>
      <c r="J1677" s="85" t="b">
        <f ca="1">Proc[[#This Row],[Requested]]=Proc[[#This Row],[CurrentParent]]</f>
        <v>1</v>
      </c>
      <c r="K1677" s="85" t="str">
        <f ca="1"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138" t="str">
        <f ca="1"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 ca="1">IF(Proc[[#This Row],[type]]="LFF (MDG-F)",MID(Proc[[#This Row],[Obj]],13,10),"")</f>
        <v>2088C00662</v>
      </c>
      <c r="I1678" t="s">
        <v>3559</v>
      </c>
      <c r="J1678" s="85" t="b">
        <f ca="1">Proc[[#This Row],[Requested]]=Proc[[#This Row],[CurrentParent]]</f>
        <v>1</v>
      </c>
      <c r="K1678" s="85" t="str">
        <f ca="1"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138" t="str">
        <f ca="1"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 ca="1">IF(Proc[[#This Row],[type]]="LFF (MDG-F)",MID(Proc[[#This Row],[Obj]],13,10),"")</f>
        <v>2088L50001</v>
      </c>
      <c r="I1679" t="s">
        <v>3559</v>
      </c>
      <c r="J1679" s="85" t="b">
        <f ca="1">Proc[[#This Row],[Requested]]=Proc[[#This Row],[CurrentParent]]</f>
        <v>1</v>
      </c>
      <c r="K1679" s="85" t="str">
        <f ca="1"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138" t="str">
        <f ca="1"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 ca="1">IF(Proc[[#This Row],[type]]="LFF (MDG-F)",MID(Proc[[#This Row],[Obj]],13,10),"")</f>
        <v>2102CS0020</v>
      </c>
      <c r="I1680" t="s">
        <v>3559</v>
      </c>
      <c r="J1680" s="85" t="b">
        <f ca="1">Proc[[#This Row],[Requested]]=Proc[[#This Row],[CurrentParent]]</f>
        <v>1</v>
      </c>
      <c r="K1680" s="85" t="str">
        <f ca="1"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138" t="str">
        <f ca="1"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 ca="1">IF(Proc[[#This Row],[type]]="LFF (MDG-F)",MID(Proc[[#This Row],[Obj]],13,10),"")</f>
        <v>2102CS0713</v>
      </c>
      <c r="I1681" t="s">
        <v>3559</v>
      </c>
      <c r="J1681" s="85" t="b">
        <f ca="1">Proc[[#This Row],[Requested]]=Proc[[#This Row],[CurrentParent]]</f>
        <v>1</v>
      </c>
      <c r="K1681" s="85" t="str">
        <f ca="1"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138" t="str">
        <f ca="1"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 ca="1">IF(Proc[[#This Row],[type]]="LFF (MDG-F)",MID(Proc[[#This Row],[Obj]],13,10),"")</f>
        <v>2102OF0002</v>
      </c>
      <c r="I1682" t="s">
        <v>3559</v>
      </c>
      <c r="J1682" s="85" t="b">
        <f ca="1">Proc[[#This Row],[Requested]]=Proc[[#This Row],[CurrentParent]]</f>
        <v>1</v>
      </c>
      <c r="K1682" s="85" t="str">
        <f ca="1"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138" t="str">
        <f ca="1"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 ca="1">IF(Proc[[#This Row],[type]]="LFF (MDG-F)",MID(Proc[[#This Row],[Obj]],13,10),"")</f>
        <v>2102TESZ81</v>
      </c>
      <c r="I1683" t="s">
        <v>3559</v>
      </c>
      <c r="J1683" s="85" t="b">
        <f ca="1">Proc[[#This Row],[Requested]]=Proc[[#This Row],[CurrentParent]]</f>
        <v>1</v>
      </c>
      <c r="K1683" s="85" t="str">
        <f ca="1"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138" t="str">
        <f ca="1"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 ca="1">IF(Proc[[#This Row],[type]]="LFF (MDG-F)",MID(Proc[[#This Row],[Obj]],13,10),"")</f>
        <v>2103OF0001</v>
      </c>
      <c r="I1684" t="s">
        <v>3559</v>
      </c>
      <c r="J1684" s="85" t="b">
        <f ca="1">Proc[[#This Row],[Requested]]=Proc[[#This Row],[CurrentParent]]</f>
        <v>1</v>
      </c>
      <c r="K1684" s="85" t="str">
        <f ca="1"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138" t="str">
        <f ca="1"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 ca="1">IF(Proc[[#This Row],[type]]="LFF (MDG-F)",MID(Proc[[#This Row],[Obj]],13,10),"")</f>
        <v>2123C00049</v>
      </c>
      <c r="I1685" t="s">
        <v>3559</v>
      </c>
      <c r="J1685" s="85" t="b">
        <f ca="1">Proc[[#This Row],[Requested]]=Proc[[#This Row],[CurrentParent]]</f>
        <v>1</v>
      </c>
      <c r="K1685" s="85" t="str">
        <f ca="1"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138" t="str">
        <f ca="1"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 ca="1">IF(Proc[[#This Row],[type]]="LFF (MDG-F)",MID(Proc[[#This Row],[Obj]],13,10),"")</f>
        <v>2123CS0002</v>
      </c>
      <c r="I1686" t="s">
        <v>3559</v>
      </c>
      <c r="J1686" s="85" t="b">
        <f ca="1">Proc[[#This Row],[Requested]]=Proc[[#This Row],[CurrentParent]]</f>
        <v>1</v>
      </c>
      <c r="K1686" s="85" t="str">
        <f ca="1"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138" t="str">
        <f ca="1"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 ca="1">IF(Proc[[#This Row],[type]]="LFF (MDG-F)",MID(Proc[[#This Row],[Obj]],13,10),"")</f>
        <v>2123L50008</v>
      </c>
      <c r="I1687" t="s">
        <v>3559</v>
      </c>
      <c r="J1687" s="85" t="b">
        <f ca="1">Proc[[#This Row],[Requested]]=Proc[[#This Row],[CurrentParent]]</f>
        <v>1</v>
      </c>
      <c r="K1687" s="85" t="str">
        <f ca="1"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138" t="str">
        <f ca="1"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 ca="1">IF(Proc[[#This Row],[type]]="LFF (MDG-F)",MID(Proc[[#This Row],[Obj]],13,10),"")</f>
        <v>2125C00005</v>
      </c>
      <c r="I1688" t="s">
        <v>3559</v>
      </c>
      <c r="J1688" s="85" t="b">
        <f ca="1">Proc[[#This Row],[Requested]]=Proc[[#This Row],[CurrentParent]]</f>
        <v>1</v>
      </c>
      <c r="K1688" s="85" t="str">
        <f ca="1"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138" t="str">
        <f ca="1"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 ca="1">IF(Proc[[#This Row],[type]]="LFF (MDG-F)",MID(Proc[[#This Row],[Obj]],13,10),"")</f>
        <v>2128C00002</v>
      </c>
      <c r="I1689" t="s">
        <v>3559</v>
      </c>
      <c r="J1689" s="85" t="b">
        <f ca="1">Proc[[#This Row],[Requested]]=Proc[[#This Row],[CurrentParent]]</f>
        <v>1</v>
      </c>
      <c r="K1689" s="85" t="str">
        <f ca="1"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138" t="str">
        <f ca="1"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 ca="1">IF(Proc[[#This Row],[type]]="LFF (MDG-F)",MID(Proc[[#This Row],[Obj]],13,10),"")</f>
        <v>2137TPM813</v>
      </c>
      <c r="I1690" t="s">
        <v>3559</v>
      </c>
      <c r="J1690" s="85" t="b">
        <f ca="1">Proc[[#This Row],[Requested]]=Proc[[#This Row],[CurrentParent]]</f>
        <v>1</v>
      </c>
      <c r="K1690" s="85" t="str">
        <f ca="1"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138" t="str">
        <f ca="1"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 ca="1">IF(Proc[[#This Row],[type]]="LFF (MDG-F)",MID(Proc[[#This Row],[Obj]],13,10),"")</f>
        <v>2137TPM819</v>
      </c>
      <c r="I1691" t="s">
        <v>3559</v>
      </c>
      <c r="J1691" s="85" t="b">
        <f ca="1">Proc[[#This Row],[Requested]]=Proc[[#This Row],[CurrentParent]]</f>
        <v>1</v>
      </c>
      <c r="K1691" s="85" t="str">
        <f ca="1"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138" t="str">
        <f ca="1"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 ca="1">IF(Proc[[#This Row],[type]]="LFF (MDG-F)",MID(Proc[[#This Row],[Obj]],13,10),"")</f>
        <v>2148L50220</v>
      </c>
      <c r="I1692" t="s">
        <v>3559</v>
      </c>
      <c r="J1692" s="85" t="b">
        <f ca="1">Proc[[#This Row],[Requested]]=Proc[[#This Row],[CurrentParent]]</f>
        <v>1</v>
      </c>
      <c r="K1692" s="85" t="str">
        <f ca="1"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138" t="str">
        <f ca="1"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 ca="1">IF(Proc[[#This Row],[type]]="LFF (MDG-F)",MID(Proc[[#This Row],[Obj]],13,10),"")</f>
        <v/>
      </c>
      <c r="J1693" s="85" t="b">
        <f ca="1">Proc[[#This Row],[Requested]]=Proc[[#This Row],[CurrentParent]]</f>
        <v>1</v>
      </c>
      <c r="K1693" s="85" t="str">
        <f ca="1"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76</v>
      </c>
      <c r="R1693" s="90" t="s">
        <v>489</v>
      </c>
      <c r="S1693" s="85"/>
    </row>
    <row r="1694" spans="1:19" hidden="1">
      <c r="A1694" s="89" t="s">
        <v>3405</v>
      </c>
      <c r="B1694" s="138" t="str">
        <f ca="1"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 ca="1">IF(Proc[[#This Row],[type]]="LFF (MDG-F)",MID(Proc[[#This Row],[Obj]],13,10),"")</f>
        <v/>
      </c>
      <c r="J1694" s="85" t="b">
        <f ca="1">Proc[[#This Row],[Requested]]=Proc[[#This Row],[CurrentParent]]</f>
        <v>1</v>
      </c>
      <c r="K1694" s="85" t="str">
        <f ca="1"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76</v>
      </c>
      <c r="R1694" s="90" t="s">
        <v>489</v>
      </c>
      <c r="S1694" s="85"/>
    </row>
    <row r="1695" spans="1:19" hidden="1">
      <c r="A1695" s="89" t="s">
        <v>3405</v>
      </c>
      <c r="B1695" s="138" t="str">
        <f ca="1"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 ca="1">IF(Proc[[#This Row],[type]]="LFF (MDG-F)",MID(Proc[[#This Row],[Obj]],13,10),"")</f>
        <v/>
      </c>
      <c r="J1695" s="85" t="b">
        <f ca="1">Proc[[#This Row],[Requested]]=Proc[[#This Row],[CurrentParent]]</f>
        <v>1</v>
      </c>
      <c r="K1695" s="85" t="str">
        <f ca="1"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76</v>
      </c>
      <c r="R1695" s="90" t="s">
        <v>489</v>
      </c>
      <c r="S1695" s="85"/>
    </row>
    <row r="1696" spans="1:19" hidden="1">
      <c r="A1696" s="89" t="s">
        <v>3405</v>
      </c>
      <c r="B1696" s="138" t="str">
        <f ca="1"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 ca="1">IF(Proc[[#This Row],[type]]="LFF (MDG-F)",MID(Proc[[#This Row],[Obj]],13,10),"")</f>
        <v/>
      </c>
      <c r="J1696" s="85" t="b">
        <f ca="1">Proc[[#This Row],[Requested]]=Proc[[#This Row],[CurrentParent]]</f>
        <v>1</v>
      </c>
      <c r="K1696" s="85" t="str">
        <f ca="1"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76</v>
      </c>
      <c r="R1696" s="90" t="s">
        <v>489</v>
      </c>
      <c r="S1696" s="85"/>
    </row>
    <row r="1697" spans="1:19" hidden="1">
      <c r="A1697" s="89" t="s">
        <v>3405</v>
      </c>
      <c r="B1697" s="138" t="str">
        <f ca="1"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 ca="1">IF(Proc[[#This Row],[type]]="LFF (MDG-F)",MID(Proc[[#This Row],[Obj]],13,10),"")</f>
        <v/>
      </c>
      <c r="J1697" s="85" t="b">
        <f ca="1">Proc[[#This Row],[Requested]]=Proc[[#This Row],[CurrentParent]]</f>
        <v>1</v>
      </c>
      <c r="K1697" s="85" t="str">
        <f ca="1"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76</v>
      </c>
      <c r="R1697" s="90" t="s">
        <v>489</v>
      </c>
      <c r="S1697" s="85"/>
    </row>
    <row r="1698" spans="1:19" hidden="1">
      <c r="A1698" s="89" t="s">
        <v>3405</v>
      </c>
      <c r="B1698" s="138" t="str">
        <f ca="1"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 ca="1">IF(Proc[[#This Row],[type]]="LFF (MDG-F)",MID(Proc[[#This Row],[Obj]],13,10),"")</f>
        <v/>
      </c>
      <c r="J1698" s="85" t="b">
        <f ca="1">Proc[[#This Row],[Requested]]=Proc[[#This Row],[CurrentParent]]</f>
        <v>1</v>
      </c>
      <c r="K1698" s="85" t="str">
        <f ca="1"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76</v>
      </c>
      <c r="R1698" s="90" t="s">
        <v>489</v>
      </c>
      <c r="S1698" s="85"/>
    </row>
    <row r="1699" spans="1:19" hidden="1">
      <c r="A1699" s="89" t="s">
        <v>3405</v>
      </c>
      <c r="B1699" s="138" t="str">
        <f ca="1"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 ca="1">IF(Proc[[#This Row],[type]]="LFF (MDG-F)",MID(Proc[[#This Row],[Obj]],13,10),"")</f>
        <v/>
      </c>
      <c r="J1699" s="85" t="b">
        <f ca="1">Proc[[#This Row],[Requested]]=Proc[[#This Row],[CurrentParent]]</f>
        <v>1</v>
      </c>
      <c r="K1699" s="85" t="str">
        <f ca="1"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76</v>
      </c>
      <c r="R1699" s="90" t="s">
        <v>489</v>
      </c>
      <c r="S1699" s="85"/>
    </row>
    <row r="1700" spans="1:19" hidden="1">
      <c r="A1700" s="89" t="s">
        <v>3405</v>
      </c>
      <c r="B1700" s="138" t="str">
        <f ca="1"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 ca="1">IF(Proc[[#This Row],[type]]="LFF (MDG-F)",MID(Proc[[#This Row],[Obj]],13,10),"")</f>
        <v/>
      </c>
      <c r="J1700" s="85" t="b">
        <f ca="1">Proc[[#This Row],[Requested]]=Proc[[#This Row],[CurrentParent]]</f>
        <v>1</v>
      </c>
      <c r="K1700" s="85" t="str">
        <f ca="1"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76</v>
      </c>
      <c r="R1700" s="90" t="s">
        <v>489</v>
      </c>
      <c r="S1700" s="85"/>
    </row>
    <row r="1701" spans="1:19" hidden="1">
      <c r="A1701" s="89" t="s">
        <v>3405</v>
      </c>
      <c r="B1701" s="138" t="str">
        <f ca="1"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 ca="1">IF(Proc[[#This Row],[type]]="LFF (MDG-F)",MID(Proc[[#This Row],[Obj]],13,10),"")</f>
        <v/>
      </c>
      <c r="J1701" s="85" t="b">
        <f ca="1">Proc[[#This Row],[Requested]]=Proc[[#This Row],[CurrentParent]]</f>
        <v>1</v>
      </c>
      <c r="K1701" s="85" t="str">
        <f ca="1"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76</v>
      </c>
      <c r="R1701" s="90" t="s">
        <v>489</v>
      </c>
      <c r="S1701" s="85"/>
    </row>
    <row r="1702" spans="1:19" hidden="1">
      <c r="A1702" s="89" t="s">
        <v>3405</v>
      </c>
      <c r="B1702" s="138" t="str">
        <f ca="1"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 ca="1">IF(Proc[[#This Row],[type]]="LFF (MDG-F)",MID(Proc[[#This Row],[Obj]],13,10),"")</f>
        <v/>
      </c>
      <c r="J1702" s="85" t="b">
        <f ca="1">Proc[[#This Row],[Requested]]=Proc[[#This Row],[CurrentParent]]</f>
        <v>1</v>
      </c>
      <c r="K1702" s="85" t="str">
        <f ca="1"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76</v>
      </c>
      <c r="R1702" s="90" t="s">
        <v>489</v>
      </c>
      <c r="S1702" s="85"/>
    </row>
    <row r="1703" spans="1:19" hidden="1">
      <c r="A1703" s="89" t="s">
        <v>3405</v>
      </c>
      <c r="B1703" s="138" t="str">
        <f ca="1"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 ca="1">IF(Proc[[#This Row],[type]]="LFF (MDG-F)",MID(Proc[[#This Row],[Obj]],13,10),"")</f>
        <v/>
      </c>
      <c r="J1703" s="85" t="b">
        <f ca="1">Proc[[#This Row],[Requested]]=Proc[[#This Row],[CurrentParent]]</f>
        <v>1</v>
      </c>
      <c r="K1703" s="85" t="str">
        <f ca="1"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76</v>
      </c>
      <c r="R1703" s="90" t="s">
        <v>489</v>
      </c>
      <c r="S1703" s="85"/>
    </row>
    <row r="1704" spans="1:19" hidden="1">
      <c r="A1704" s="89" t="s">
        <v>3405</v>
      </c>
      <c r="B1704" s="138" t="str">
        <f ca="1"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 ca="1">IF(Proc[[#This Row],[type]]="LFF (MDG-F)",MID(Proc[[#This Row],[Obj]],13,10),"")</f>
        <v/>
      </c>
      <c r="J1704" s="85" t="b">
        <f ca="1">Proc[[#This Row],[Requested]]=Proc[[#This Row],[CurrentParent]]</f>
        <v>1</v>
      </c>
      <c r="K1704" s="85" t="str">
        <f ca="1"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76</v>
      </c>
      <c r="R1704" s="90" t="s">
        <v>489</v>
      </c>
      <c r="S1704" s="85"/>
    </row>
    <row r="1705" spans="1:19" hidden="1">
      <c r="A1705" s="89" t="s">
        <v>3405</v>
      </c>
      <c r="B1705" s="138" t="str">
        <f ca="1"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 ca="1">IF(Proc[[#This Row],[type]]="LFF (MDG-F)",MID(Proc[[#This Row],[Obj]],13,10),"")</f>
        <v/>
      </c>
      <c r="J1705" s="85" t="b">
        <f ca="1">Proc[[#This Row],[Requested]]=Proc[[#This Row],[CurrentParent]]</f>
        <v>1</v>
      </c>
      <c r="K1705" s="85" t="str">
        <f ca="1"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76</v>
      </c>
      <c r="R1705" s="90" t="s">
        <v>489</v>
      </c>
      <c r="S1705" s="85"/>
    </row>
    <row r="1706" spans="1:19" hidden="1">
      <c r="A1706" s="89" t="s">
        <v>3405</v>
      </c>
      <c r="B1706" s="138" t="str">
        <f ca="1"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 ca="1">IF(Proc[[#This Row],[type]]="LFF (MDG-F)",MID(Proc[[#This Row],[Obj]],13,10),"")</f>
        <v/>
      </c>
      <c r="J1706" s="85" t="b">
        <f ca="1">Proc[[#This Row],[Requested]]=Proc[[#This Row],[CurrentParent]]</f>
        <v>1</v>
      </c>
      <c r="K1706" s="85" t="str">
        <f ca="1"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76</v>
      </c>
      <c r="R1706" s="90" t="s">
        <v>489</v>
      </c>
      <c r="S1706" s="85"/>
    </row>
    <row r="1707" spans="1:19" hidden="1">
      <c r="A1707" s="89" t="s">
        <v>3405</v>
      </c>
      <c r="B1707" s="138" t="str">
        <f ca="1"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 ca="1">IF(Proc[[#This Row],[type]]="LFF (MDG-F)",MID(Proc[[#This Row],[Obj]],13,10),"")</f>
        <v/>
      </c>
      <c r="J1707" s="85" t="b">
        <f ca="1">Proc[[#This Row],[Requested]]=Proc[[#This Row],[CurrentParent]]</f>
        <v>1</v>
      </c>
      <c r="K1707" s="85" t="str">
        <f ca="1"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76</v>
      </c>
      <c r="R1707" s="90" t="s">
        <v>489</v>
      </c>
      <c r="S1707" s="85"/>
    </row>
    <row r="1708" spans="1:19" hidden="1">
      <c r="A1708" s="89" t="s">
        <v>3405</v>
      </c>
      <c r="B1708" s="138" t="str">
        <f ca="1"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 ca="1">IF(Proc[[#This Row],[type]]="LFF (MDG-F)",MID(Proc[[#This Row],[Obj]],13,10),"")</f>
        <v/>
      </c>
      <c r="J1708" s="85" t="b">
        <f ca="1">Proc[[#This Row],[Requested]]=Proc[[#This Row],[CurrentParent]]</f>
        <v>1</v>
      </c>
      <c r="K1708" s="85" t="str">
        <f ca="1"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76</v>
      </c>
      <c r="R1708" s="90" t="s">
        <v>489</v>
      </c>
      <c r="S1708" s="85"/>
    </row>
    <row r="1709" spans="1:19" hidden="1">
      <c r="A1709" s="89" t="s">
        <v>3405</v>
      </c>
      <c r="B1709" s="138" t="str">
        <f ca="1"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 ca="1">IF(Proc[[#This Row],[type]]="LFF (MDG-F)",MID(Proc[[#This Row],[Obj]],13,10),"")</f>
        <v/>
      </c>
      <c r="J1709" s="85" t="b">
        <f ca="1">Proc[[#This Row],[Requested]]=Proc[[#This Row],[CurrentParent]]</f>
        <v>1</v>
      </c>
      <c r="K1709" s="85" t="str">
        <f ca="1"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76</v>
      </c>
      <c r="R1709" s="90" t="s">
        <v>489</v>
      </c>
      <c r="S1709" s="85"/>
    </row>
    <row r="1710" spans="1:19" hidden="1">
      <c r="A1710" s="89" t="s">
        <v>3405</v>
      </c>
      <c r="B1710" s="138" t="str">
        <f ca="1"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 ca="1">IF(Proc[[#This Row],[type]]="LFF (MDG-F)",MID(Proc[[#This Row],[Obj]],13,10),"")</f>
        <v/>
      </c>
      <c r="J1710" s="85" t="b">
        <f ca="1">Proc[[#This Row],[Requested]]=Proc[[#This Row],[CurrentParent]]</f>
        <v>1</v>
      </c>
      <c r="K1710" s="85" t="str">
        <f ca="1"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76</v>
      </c>
      <c r="R1710" s="90" t="s">
        <v>489</v>
      </c>
      <c r="S1710" s="85"/>
    </row>
    <row r="1711" spans="1:19" hidden="1">
      <c r="A1711" s="89" t="s">
        <v>3405</v>
      </c>
      <c r="B1711" s="138" t="str">
        <f ca="1"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 ca="1">IF(Proc[[#This Row],[type]]="LFF (MDG-F)",MID(Proc[[#This Row],[Obj]],13,10),"")</f>
        <v/>
      </c>
      <c r="J1711" s="85" t="b">
        <f ca="1">Proc[[#This Row],[Requested]]=Proc[[#This Row],[CurrentParent]]</f>
        <v>1</v>
      </c>
      <c r="K1711" s="85" t="str">
        <f ca="1"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76</v>
      </c>
      <c r="R1711" s="90" t="s">
        <v>489</v>
      </c>
      <c r="S1711" s="85"/>
    </row>
    <row r="1712" spans="1:19" hidden="1">
      <c r="A1712" s="89" t="s">
        <v>3405</v>
      </c>
      <c r="B1712" s="138" t="str">
        <f ca="1"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 ca="1">IF(Proc[[#This Row],[type]]="LFF (MDG-F)",MID(Proc[[#This Row],[Obj]],13,10),"")</f>
        <v/>
      </c>
      <c r="J1712" s="85" t="b">
        <f ca="1">Proc[[#This Row],[Requested]]=Proc[[#This Row],[CurrentParent]]</f>
        <v>1</v>
      </c>
      <c r="K1712" s="85" t="str">
        <f ca="1"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76</v>
      </c>
      <c r="R1712" s="90" t="s">
        <v>489</v>
      </c>
      <c r="S1712" s="85"/>
    </row>
    <row r="1713" spans="1:19" hidden="1">
      <c r="A1713" s="89" t="s">
        <v>3405</v>
      </c>
      <c r="B1713" s="138" t="str">
        <f ca="1"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 ca="1">IF(Proc[[#This Row],[type]]="LFF (MDG-F)",MID(Proc[[#This Row],[Obj]],13,10),"")</f>
        <v/>
      </c>
      <c r="J1713" s="85" t="b">
        <f ca="1">Proc[[#This Row],[Requested]]=Proc[[#This Row],[CurrentParent]]</f>
        <v>1</v>
      </c>
      <c r="K1713" s="85" t="str">
        <f ca="1"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76</v>
      </c>
      <c r="R1713" s="90" t="s">
        <v>489</v>
      </c>
      <c r="S1713" s="85"/>
    </row>
    <row r="1714" spans="1:19" hidden="1">
      <c r="A1714" s="89" t="s">
        <v>3405</v>
      </c>
      <c r="B1714" s="138" t="str">
        <f ca="1"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 ca="1">IF(Proc[[#This Row],[type]]="LFF (MDG-F)",MID(Proc[[#This Row],[Obj]],13,10),"")</f>
        <v/>
      </c>
      <c r="J1714" s="85" t="b">
        <f ca="1">Proc[[#This Row],[Requested]]=Proc[[#This Row],[CurrentParent]]</f>
        <v>1</v>
      </c>
      <c r="K1714" s="85" t="str">
        <f ca="1"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76</v>
      </c>
      <c r="R1714" s="90" t="s">
        <v>489</v>
      </c>
      <c r="S1714" s="85"/>
    </row>
    <row r="1715" spans="1:19" hidden="1">
      <c r="A1715" s="89" t="s">
        <v>3405</v>
      </c>
      <c r="B1715" s="138" t="str">
        <f ca="1"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 ca="1">IF(Proc[[#This Row],[type]]="LFF (MDG-F)",MID(Proc[[#This Row],[Obj]],13,10),"")</f>
        <v/>
      </c>
      <c r="J1715" s="85" t="b">
        <f ca="1">Proc[[#This Row],[Requested]]=Proc[[#This Row],[CurrentParent]]</f>
        <v>1</v>
      </c>
      <c r="K1715" s="85" t="str">
        <f ca="1"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76</v>
      </c>
      <c r="R1715" s="90" t="s">
        <v>489</v>
      </c>
      <c r="S1715" s="85"/>
    </row>
    <row r="1716" spans="1:19" hidden="1">
      <c r="A1716" s="89" t="s">
        <v>3405</v>
      </c>
      <c r="B1716" s="138" t="str">
        <f ca="1"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 ca="1">IF(Proc[[#This Row],[type]]="LFF (MDG-F)",MID(Proc[[#This Row],[Obj]],13,10),"")</f>
        <v/>
      </c>
      <c r="J1716" s="85" t="b">
        <f ca="1">Proc[[#This Row],[Requested]]=Proc[[#This Row],[CurrentParent]]</f>
        <v>1</v>
      </c>
      <c r="K1716" s="85" t="str">
        <f ca="1"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76</v>
      </c>
      <c r="R1716" s="90" t="s">
        <v>489</v>
      </c>
      <c r="S1716" s="85"/>
    </row>
    <row r="1717" spans="1:19" hidden="1">
      <c r="A1717" s="89" t="s">
        <v>3405</v>
      </c>
      <c r="B1717" s="138" t="str">
        <f ca="1"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 ca="1">IF(Proc[[#This Row],[type]]="LFF (MDG-F)",MID(Proc[[#This Row],[Obj]],13,10),"")</f>
        <v/>
      </c>
      <c r="J1717" s="85" t="b">
        <f ca="1">Proc[[#This Row],[Requested]]=Proc[[#This Row],[CurrentParent]]</f>
        <v>1</v>
      </c>
      <c r="K1717" s="85" t="str">
        <f ca="1"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76</v>
      </c>
      <c r="R1717" s="90" t="s">
        <v>489</v>
      </c>
      <c r="S1717" s="85"/>
    </row>
    <row r="1718" spans="1:19" hidden="1">
      <c r="A1718" s="89" t="s">
        <v>3405</v>
      </c>
      <c r="B1718" s="138" t="str">
        <f ca="1"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 ca="1">IF(Proc[[#This Row],[type]]="LFF (MDG-F)",MID(Proc[[#This Row],[Obj]],13,10),"")</f>
        <v/>
      </c>
      <c r="J1718" s="85" t="b">
        <f ca="1">Proc[[#This Row],[Requested]]=Proc[[#This Row],[CurrentParent]]</f>
        <v>1</v>
      </c>
      <c r="K1718" s="85" t="str">
        <f ca="1"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76</v>
      </c>
      <c r="R1718" s="90" t="s">
        <v>489</v>
      </c>
      <c r="S1718" s="85"/>
    </row>
    <row r="1719" spans="1:19" hidden="1">
      <c r="A1719" s="89" t="s">
        <v>3405</v>
      </c>
      <c r="B1719" s="138" t="str">
        <f ca="1"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 ca="1">IF(Proc[[#This Row],[type]]="LFF (MDG-F)",MID(Proc[[#This Row],[Obj]],13,10),"")</f>
        <v/>
      </c>
      <c r="J1719" s="85" t="b">
        <f ca="1">Proc[[#This Row],[Requested]]=Proc[[#This Row],[CurrentParent]]</f>
        <v>1</v>
      </c>
      <c r="K1719" s="85" t="str">
        <f ca="1"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76</v>
      </c>
      <c r="R1719" s="90" t="s">
        <v>489</v>
      </c>
      <c r="S1719" s="85"/>
    </row>
    <row r="1720" spans="1:19" hidden="1">
      <c r="A1720" s="89" t="s">
        <v>3405</v>
      </c>
      <c r="B1720" s="138" t="str">
        <f ca="1"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 ca="1">IF(Proc[[#This Row],[type]]="LFF (MDG-F)",MID(Proc[[#This Row],[Obj]],13,10),"")</f>
        <v/>
      </c>
      <c r="J1720" s="85" t="b">
        <f ca="1">Proc[[#This Row],[Requested]]=Proc[[#This Row],[CurrentParent]]</f>
        <v>1</v>
      </c>
      <c r="K1720" s="85" t="str">
        <f ca="1"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76</v>
      </c>
      <c r="R1720" s="90" t="s">
        <v>489</v>
      </c>
      <c r="S1720" s="85"/>
    </row>
    <row r="1721" spans="1:19" hidden="1">
      <c r="A1721" s="89" t="s">
        <v>3405</v>
      </c>
      <c r="B1721" s="138" t="str">
        <f ca="1"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 ca="1">IF(Proc[[#This Row],[type]]="LFF (MDG-F)",MID(Proc[[#This Row],[Obj]],13,10),"")</f>
        <v/>
      </c>
      <c r="J1721" s="85" t="b">
        <f ca="1">Proc[[#This Row],[Requested]]=Proc[[#This Row],[CurrentParent]]</f>
        <v>1</v>
      </c>
      <c r="K1721" s="85" t="str">
        <f ca="1"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76</v>
      </c>
      <c r="R1721" s="90" t="s">
        <v>489</v>
      </c>
      <c r="S1721" s="85"/>
    </row>
    <row r="1722" spans="1:19" hidden="1">
      <c r="A1722" s="89" t="s">
        <v>3405</v>
      </c>
      <c r="B1722" s="138" t="str">
        <f ca="1"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 ca="1">IF(Proc[[#This Row],[type]]="LFF (MDG-F)",MID(Proc[[#This Row],[Obj]],13,10),"")</f>
        <v/>
      </c>
      <c r="J1722" s="85" t="b">
        <f ca="1">Proc[[#This Row],[Requested]]=Proc[[#This Row],[CurrentParent]]</f>
        <v>1</v>
      </c>
      <c r="K1722" s="85" t="str">
        <f ca="1"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76</v>
      </c>
      <c r="R1722" s="90" t="s">
        <v>489</v>
      </c>
      <c r="S1722" s="85"/>
    </row>
    <row r="1723" spans="1:19" hidden="1">
      <c r="A1723" s="89" t="s">
        <v>3405</v>
      </c>
      <c r="B1723" s="138" t="str">
        <f ca="1"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 ca="1">IF(Proc[[#This Row],[type]]="LFF (MDG-F)",MID(Proc[[#This Row],[Obj]],13,10),"")</f>
        <v/>
      </c>
      <c r="J1723" s="85" t="b">
        <f ca="1">Proc[[#This Row],[Requested]]=Proc[[#This Row],[CurrentParent]]</f>
        <v>1</v>
      </c>
      <c r="K1723" s="85" t="str">
        <f ca="1"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76</v>
      </c>
      <c r="R1723" s="90" t="s">
        <v>489</v>
      </c>
      <c r="S1723" s="85"/>
    </row>
    <row r="1724" spans="1:19" hidden="1">
      <c r="A1724" s="89" t="s">
        <v>3405</v>
      </c>
      <c r="B1724" s="138" t="str">
        <f ca="1"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 ca="1">IF(Proc[[#This Row],[type]]="LFF (MDG-F)",MID(Proc[[#This Row],[Obj]],13,10),"")</f>
        <v/>
      </c>
      <c r="J1724" s="85" t="b">
        <f ca="1">Proc[[#This Row],[Requested]]=Proc[[#This Row],[CurrentParent]]</f>
        <v>1</v>
      </c>
      <c r="K1724" s="85" t="str">
        <f ca="1"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76</v>
      </c>
      <c r="R1724" s="90" t="s">
        <v>489</v>
      </c>
      <c r="S1724" s="85"/>
    </row>
    <row r="1725" spans="1:19" hidden="1">
      <c r="A1725" s="89" t="s">
        <v>3405</v>
      </c>
      <c r="B1725" s="138" t="str">
        <f ca="1"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 ca="1">IF(Proc[[#This Row],[type]]="LFF (MDG-F)",MID(Proc[[#This Row],[Obj]],13,10),"")</f>
        <v/>
      </c>
      <c r="J1725" s="85" t="b">
        <f ca="1">Proc[[#This Row],[Requested]]=Proc[[#This Row],[CurrentParent]]</f>
        <v>1</v>
      </c>
      <c r="K1725" s="85" t="str">
        <f ca="1"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76</v>
      </c>
      <c r="R1725" s="90" t="s">
        <v>489</v>
      </c>
      <c r="S1725" s="85"/>
    </row>
    <row r="1726" spans="1:19" hidden="1">
      <c r="A1726" s="89" t="s">
        <v>3405</v>
      </c>
      <c r="B1726" s="138" t="str">
        <f ca="1"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 ca="1">IF(Proc[[#This Row],[type]]="LFF (MDG-F)",MID(Proc[[#This Row],[Obj]],13,10),"")</f>
        <v/>
      </c>
      <c r="J1726" s="85" t="b">
        <f ca="1">Proc[[#This Row],[Requested]]=Proc[[#This Row],[CurrentParent]]</f>
        <v>1</v>
      </c>
      <c r="K1726" s="85" t="str">
        <f ca="1"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76</v>
      </c>
      <c r="R1726" s="90" t="s">
        <v>489</v>
      </c>
      <c r="S1726" s="85"/>
    </row>
    <row r="1727" spans="1:19" hidden="1">
      <c r="A1727" s="89" t="s">
        <v>3405</v>
      </c>
      <c r="B1727" s="138" t="str">
        <f ca="1"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 ca="1">IF(Proc[[#This Row],[type]]="LFF (MDG-F)",MID(Proc[[#This Row],[Obj]],13,10),"")</f>
        <v/>
      </c>
      <c r="J1727" s="85" t="b">
        <f ca="1">Proc[[#This Row],[Requested]]=Proc[[#This Row],[CurrentParent]]</f>
        <v>1</v>
      </c>
      <c r="K1727" s="85" t="str">
        <f ca="1"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76</v>
      </c>
      <c r="R1727" s="90" t="s">
        <v>489</v>
      </c>
      <c r="S1727" s="85"/>
    </row>
    <row r="1728" spans="1:19" hidden="1">
      <c r="A1728" s="89" t="s">
        <v>3405</v>
      </c>
      <c r="B1728" s="138" t="str">
        <f ca="1"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 ca="1">IF(Proc[[#This Row],[type]]="LFF (MDG-F)",MID(Proc[[#This Row],[Obj]],13,10),"")</f>
        <v/>
      </c>
      <c r="J1728" s="85" t="b">
        <f ca="1">Proc[[#This Row],[Requested]]=Proc[[#This Row],[CurrentParent]]</f>
        <v>1</v>
      </c>
      <c r="K1728" s="85" t="str">
        <f ca="1"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76</v>
      </c>
      <c r="R1728" s="90" t="s">
        <v>489</v>
      </c>
      <c r="S1728" s="85"/>
    </row>
    <row r="1729" spans="1:19" hidden="1">
      <c r="A1729" s="89" t="s">
        <v>3405</v>
      </c>
      <c r="B1729" s="138" t="str">
        <f ca="1"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 ca="1">IF(Proc[[#This Row],[type]]="LFF (MDG-F)",MID(Proc[[#This Row],[Obj]],13,10),"")</f>
        <v/>
      </c>
      <c r="J1729" s="85" t="b">
        <f ca="1">Proc[[#This Row],[Requested]]=Proc[[#This Row],[CurrentParent]]</f>
        <v>1</v>
      </c>
      <c r="K1729" s="85" t="str">
        <f ca="1"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76</v>
      </c>
      <c r="R1729" s="90" t="s">
        <v>489</v>
      </c>
      <c r="S1729" s="85"/>
    </row>
    <row r="1730" spans="1:19" hidden="1">
      <c r="A1730" s="89" t="s">
        <v>3405</v>
      </c>
      <c r="B1730" s="138" t="str">
        <f ca="1"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 ca="1">IF(Proc[[#This Row],[type]]="LFF (MDG-F)",MID(Proc[[#This Row],[Obj]],13,10),"")</f>
        <v/>
      </c>
      <c r="J1730" s="85" t="b">
        <f ca="1">Proc[[#This Row],[Requested]]=Proc[[#This Row],[CurrentParent]]</f>
        <v>1</v>
      </c>
      <c r="K1730" s="85" t="str">
        <f ca="1"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76</v>
      </c>
      <c r="R1730" s="90" t="s">
        <v>489</v>
      </c>
      <c r="S1730" s="85"/>
    </row>
    <row r="1731" spans="1:19" hidden="1">
      <c r="A1731" s="89" t="s">
        <v>3405</v>
      </c>
      <c r="B1731" s="138" t="str">
        <f ca="1"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 ca="1">IF(Proc[[#This Row],[type]]="LFF (MDG-F)",MID(Proc[[#This Row],[Obj]],13,10),"")</f>
        <v/>
      </c>
      <c r="J1731" s="85" t="b">
        <f ca="1">Proc[[#This Row],[Requested]]=Proc[[#This Row],[CurrentParent]]</f>
        <v>1</v>
      </c>
      <c r="K1731" s="85" t="str">
        <f ca="1"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76</v>
      </c>
      <c r="R1731" s="90" t="s">
        <v>489</v>
      </c>
      <c r="S1731" s="85"/>
    </row>
    <row r="1732" spans="1:19" hidden="1">
      <c r="A1732" s="89" t="s">
        <v>3405</v>
      </c>
      <c r="B1732" s="138" t="str">
        <f ca="1"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 ca="1">IF(Proc[[#This Row],[type]]="LFF (MDG-F)",MID(Proc[[#This Row],[Obj]],13,10),"")</f>
        <v/>
      </c>
      <c r="J1732" s="85" t="b">
        <f ca="1">Proc[[#This Row],[Requested]]=Proc[[#This Row],[CurrentParent]]</f>
        <v>1</v>
      </c>
      <c r="K1732" s="85" t="str">
        <f ca="1"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76</v>
      </c>
      <c r="R1732" s="90" t="s">
        <v>489</v>
      </c>
      <c r="S1732" s="85"/>
    </row>
    <row r="1733" spans="1:19" hidden="1">
      <c r="A1733" s="89" t="s">
        <v>3405</v>
      </c>
      <c r="B1733" s="138" t="str">
        <f ca="1"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 ca="1">IF(Proc[[#This Row],[type]]="LFF (MDG-F)",MID(Proc[[#This Row],[Obj]],13,10),"")</f>
        <v/>
      </c>
      <c r="J1733" s="85" t="b">
        <f ca="1">Proc[[#This Row],[Requested]]=Proc[[#This Row],[CurrentParent]]</f>
        <v>1</v>
      </c>
      <c r="K1733" s="85" t="str">
        <f ca="1"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76</v>
      </c>
      <c r="R1733" s="90" t="s">
        <v>489</v>
      </c>
      <c r="S1733" s="85"/>
    </row>
    <row r="1734" spans="1:19" hidden="1">
      <c r="A1734" s="89" t="s">
        <v>3405</v>
      </c>
      <c r="B1734" s="138" t="str">
        <f ca="1"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 ca="1">IF(Proc[[#This Row],[type]]="LFF (MDG-F)",MID(Proc[[#This Row],[Obj]],13,10),"")</f>
        <v/>
      </c>
      <c r="J1734" s="85" t="b">
        <f ca="1">Proc[[#This Row],[Requested]]=Proc[[#This Row],[CurrentParent]]</f>
        <v>1</v>
      </c>
      <c r="K1734" s="85" t="str">
        <f ca="1"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76</v>
      </c>
      <c r="R1734" s="90" t="s">
        <v>489</v>
      </c>
      <c r="S1734" s="85"/>
    </row>
    <row r="1735" spans="1:19" hidden="1">
      <c r="A1735" s="89" t="s">
        <v>3405</v>
      </c>
      <c r="B1735" s="138" t="str">
        <f ca="1"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 ca="1">IF(Proc[[#This Row],[type]]="LFF (MDG-F)",MID(Proc[[#This Row],[Obj]],13,10),"")</f>
        <v/>
      </c>
      <c r="J1735" s="85" t="b">
        <f ca="1">Proc[[#This Row],[Requested]]=Proc[[#This Row],[CurrentParent]]</f>
        <v>1</v>
      </c>
      <c r="K1735" s="85" t="str">
        <f ca="1"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76</v>
      </c>
      <c r="R1735" s="90" t="s">
        <v>489</v>
      </c>
      <c r="S1735" s="85"/>
    </row>
    <row r="1736" spans="1:19" hidden="1">
      <c r="A1736" s="89" t="s">
        <v>3405</v>
      </c>
      <c r="B1736" s="138" t="str">
        <f ca="1"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 ca="1">IF(Proc[[#This Row],[type]]="LFF (MDG-F)",MID(Proc[[#This Row],[Obj]],13,10),"")</f>
        <v/>
      </c>
      <c r="J1736" s="85" t="b">
        <f ca="1">Proc[[#This Row],[Requested]]=Proc[[#This Row],[CurrentParent]]</f>
        <v>1</v>
      </c>
      <c r="K1736" s="85" t="str">
        <f ca="1"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76</v>
      </c>
      <c r="R1736" s="90" t="s">
        <v>489</v>
      </c>
      <c r="S1736" s="85"/>
    </row>
    <row r="1737" spans="1:19" hidden="1">
      <c r="A1737" s="89" t="s">
        <v>3405</v>
      </c>
      <c r="B1737" s="138" t="str">
        <f ca="1"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 ca="1">IF(Proc[[#This Row],[type]]="LFF (MDG-F)",MID(Proc[[#This Row],[Obj]],13,10),"")</f>
        <v/>
      </c>
      <c r="J1737" s="85" t="b">
        <f ca="1">Proc[[#This Row],[Requested]]=Proc[[#This Row],[CurrentParent]]</f>
        <v>1</v>
      </c>
      <c r="K1737" s="85" t="str">
        <f ca="1"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76</v>
      </c>
      <c r="R1737" s="90" t="s">
        <v>489</v>
      </c>
      <c r="S1737" s="85"/>
    </row>
    <row r="1738" spans="1:19" hidden="1">
      <c r="A1738" s="89" t="s">
        <v>3405</v>
      </c>
      <c r="B1738" s="138" t="str">
        <f ca="1"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 ca="1">IF(Proc[[#This Row],[type]]="LFF (MDG-F)",MID(Proc[[#This Row],[Obj]],13,10),"")</f>
        <v/>
      </c>
      <c r="J1738" s="85" t="b">
        <f ca="1">Proc[[#This Row],[Requested]]=Proc[[#This Row],[CurrentParent]]</f>
        <v>1</v>
      </c>
      <c r="K1738" s="85" t="str">
        <f ca="1"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76</v>
      </c>
      <c r="R1738" s="90" t="s">
        <v>489</v>
      </c>
      <c r="S1738" s="85"/>
    </row>
    <row r="1739" spans="1:19" hidden="1">
      <c r="A1739" s="89" t="s">
        <v>3405</v>
      </c>
      <c r="B1739" s="138" t="str">
        <f ca="1"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 ca="1">IF(Proc[[#This Row],[type]]="LFF (MDG-F)",MID(Proc[[#This Row],[Obj]],13,10),"")</f>
        <v/>
      </c>
      <c r="J1739" s="85" t="b">
        <f ca="1">Proc[[#This Row],[Requested]]=Proc[[#This Row],[CurrentParent]]</f>
        <v>1</v>
      </c>
      <c r="K1739" s="85" t="str">
        <f ca="1"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76</v>
      </c>
      <c r="R1739" s="90" t="s">
        <v>489</v>
      </c>
      <c r="S1739" s="85"/>
    </row>
    <row r="1740" spans="1:19" hidden="1">
      <c r="A1740" s="89" t="s">
        <v>3405</v>
      </c>
      <c r="B1740" s="138" t="str">
        <f ca="1"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 ca="1">IF(Proc[[#This Row],[type]]="LFF (MDG-F)",MID(Proc[[#This Row],[Obj]],13,10),"")</f>
        <v/>
      </c>
      <c r="J1740" s="85" t="b">
        <f ca="1">Proc[[#This Row],[Requested]]=Proc[[#This Row],[CurrentParent]]</f>
        <v>1</v>
      </c>
      <c r="K1740" s="85" t="str">
        <f ca="1"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76</v>
      </c>
      <c r="R1740" s="90" t="s">
        <v>489</v>
      </c>
      <c r="S1740" s="85"/>
    </row>
    <row r="1741" spans="1:19" hidden="1">
      <c r="A1741" s="89" t="s">
        <v>3405</v>
      </c>
      <c r="B1741" s="138" t="str">
        <f ca="1"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 ca="1">IF(Proc[[#This Row],[type]]="LFF (MDG-F)",MID(Proc[[#This Row],[Obj]],13,10),"")</f>
        <v/>
      </c>
      <c r="J1741" s="85" t="b">
        <f ca="1">Proc[[#This Row],[Requested]]=Proc[[#This Row],[CurrentParent]]</f>
        <v>1</v>
      </c>
      <c r="K1741" s="85" t="str">
        <f ca="1"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76</v>
      </c>
      <c r="R1741" s="90" t="s">
        <v>489</v>
      </c>
      <c r="S1741" s="85"/>
    </row>
    <row r="1742" spans="1:19" hidden="1">
      <c r="A1742" s="89" t="s">
        <v>3405</v>
      </c>
      <c r="B1742" s="138" t="str">
        <f ca="1"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 ca="1">IF(Proc[[#This Row],[type]]="LFF (MDG-F)",MID(Proc[[#This Row],[Obj]],13,10),"")</f>
        <v/>
      </c>
      <c r="J1742" s="85" t="b">
        <f ca="1">Proc[[#This Row],[Requested]]=Proc[[#This Row],[CurrentParent]]</f>
        <v>1</v>
      </c>
      <c r="K1742" s="85" t="str">
        <f ca="1"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76</v>
      </c>
      <c r="R1742" s="90" t="s">
        <v>489</v>
      </c>
      <c r="S1742" s="85"/>
    </row>
    <row r="1743" spans="1:19" hidden="1">
      <c r="A1743" s="89" t="s">
        <v>3405</v>
      </c>
      <c r="B1743" s="138" t="str">
        <f ca="1"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 ca="1">IF(Proc[[#This Row],[type]]="LFF (MDG-F)",MID(Proc[[#This Row],[Obj]],13,10),"")</f>
        <v/>
      </c>
      <c r="J1743" s="85" t="b">
        <f ca="1">Proc[[#This Row],[Requested]]=Proc[[#This Row],[CurrentParent]]</f>
        <v>1</v>
      </c>
      <c r="K1743" s="85" t="str">
        <f ca="1"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76</v>
      </c>
      <c r="R1743" s="90" t="s">
        <v>489</v>
      </c>
      <c r="S1743" s="85"/>
    </row>
    <row r="1744" spans="1:19" hidden="1">
      <c r="A1744" s="89" t="s">
        <v>3405</v>
      </c>
      <c r="B1744" s="138" t="str">
        <f ca="1"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 ca="1">IF(Proc[[#This Row],[type]]="LFF (MDG-F)",MID(Proc[[#This Row],[Obj]],13,10),"")</f>
        <v/>
      </c>
      <c r="J1744" s="85" t="b">
        <f ca="1">Proc[[#This Row],[Requested]]=Proc[[#This Row],[CurrentParent]]</f>
        <v>1</v>
      </c>
      <c r="K1744" s="85" t="str">
        <f ca="1"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76</v>
      </c>
      <c r="R1744" s="90" t="s">
        <v>489</v>
      </c>
      <c r="S1744" s="85"/>
    </row>
    <row r="1745" spans="1:19" hidden="1">
      <c r="A1745" s="89" t="s">
        <v>3405</v>
      </c>
      <c r="B1745" s="138" t="str">
        <f ca="1"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 ca="1">IF(Proc[[#This Row],[type]]="LFF (MDG-F)",MID(Proc[[#This Row],[Obj]],13,10),"")</f>
        <v/>
      </c>
      <c r="J1745" s="85" t="b">
        <f ca="1">Proc[[#This Row],[Requested]]=Proc[[#This Row],[CurrentParent]]</f>
        <v>1</v>
      </c>
      <c r="K1745" s="85" t="str">
        <f ca="1"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76</v>
      </c>
      <c r="R1745" s="90" t="s">
        <v>489</v>
      </c>
      <c r="S1745" s="85"/>
    </row>
    <row r="1746" spans="1:19" hidden="1">
      <c r="A1746" s="89" t="s">
        <v>3405</v>
      </c>
      <c r="B1746" s="138" t="str">
        <f ca="1"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 ca="1">IF(Proc[[#This Row],[type]]="LFF (MDG-F)",MID(Proc[[#This Row],[Obj]],13,10),"")</f>
        <v/>
      </c>
      <c r="J1746" s="85" t="b">
        <f ca="1">Proc[[#This Row],[Requested]]=Proc[[#This Row],[CurrentParent]]</f>
        <v>1</v>
      </c>
      <c r="K1746" s="85" t="str">
        <f ca="1"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76</v>
      </c>
      <c r="R1746" s="90" t="s">
        <v>489</v>
      </c>
      <c r="S1746" s="85"/>
    </row>
    <row r="1747" spans="1:19" hidden="1">
      <c r="A1747" s="89" t="s">
        <v>3405</v>
      </c>
      <c r="B1747" s="138" t="str">
        <f ca="1"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 ca="1">IF(Proc[[#This Row],[type]]="LFF (MDG-F)",MID(Proc[[#This Row],[Obj]],13,10),"")</f>
        <v/>
      </c>
      <c r="J1747" s="85" t="b">
        <f ca="1">Proc[[#This Row],[Requested]]=Proc[[#This Row],[CurrentParent]]</f>
        <v>1</v>
      </c>
      <c r="K1747" s="85" t="str">
        <f ca="1"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76</v>
      </c>
      <c r="R1747" s="90" t="s">
        <v>489</v>
      </c>
      <c r="S1747" s="85"/>
    </row>
    <row r="1748" spans="1:19" hidden="1">
      <c r="A1748" s="89" t="s">
        <v>3405</v>
      </c>
      <c r="B1748" s="138" t="str">
        <f ca="1"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 ca="1">IF(Proc[[#This Row],[type]]="LFF (MDG-F)",MID(Proc[[#This Row],[Obj]],13,10),"")</f>
        <v/>
      </c>
      <c r="J1748" s="85" t="b">
        <f ca="1">Proc[[#This Row],[Requested]]=Proc[[#This Row],[CurrentParent]]</f>
        <v>1</v>
      </c>
      <c r="K1748" s="85" t="str">
        <f ca="1"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76</v>
      </c>
      <c r="R1748" s="90" t="s">
        <v>489</v>
      </c>
      <c r="S1748" s="85"/>
    </row>
    <row r="1749" spans="1:19" hidden="1">
      <c r="A1749" s="89" t="s">
        <v>3405</v>
      </c>
      <c r="B1749" s="138" t="str">
        <f ca="1"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 ca="1">IF(Proc[[#This Row],[type]]="LFF (MDG-F)",MID(Proc[[#This Row],[Obj]],13,10),"")</f>
        <v/>
      </c>
      <c r="J1749" s="85" t="b">
        <f ca="1">Proc[[#This Row],[Requested]]=Proc[[#This Row],[CurrentParent]]</f>
        <v>1</v>
      </c>
      <c r="K1749" s="85" t="str">
        <f ca="1"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76</v>
      </c>
      <c r="R1749" s="90" t="s">
        <v>489</v>
      </c>
      <c r="S1749" s="85"/>
    </row>
    <row r="1750" spans="1:19" hidden="1">
      <c r="A1750" s="89" t="s">
        <v>3405</v>
      </c>
      <c r="B1750" s="138" t="str">
        <f ca="1"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 ca="1">IF(Proc[[#This Row],[type]]="LFF (MDG-F)",MID(Proc[[#This Row],[Obj]],13,10),"")</f>
        <v/>
      </c>
      <c r="J1750" s="85" t="b">
        <f ca="1">Proc[[#This Row],[Requested]]=Proc[[#This Row],[CurrentParent]]</f>
        <v>1</v>
      </c>
      <c r="K1750" s="85" t="str">
        <f ca="1"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76</v>
      </c>
      <c r="R1750" s="90" t="s">
        <v>489</v>
      </c>
      <c r="S1750" s="85"/>
    </row>
    <row r="1751" spans="1:19" hidden="1">
      <c r="A1751" s="89" t="s">
        <v>3405</v>
      </c>
      <c r="B1751" s="138" t="str">
        <f ca="1"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 ca="1">IF(Proc[[#This Row],[type]]="LFF (MDG-F)",MID(Proc[[#This Row],[Obj]],13,10),"")</f>
        <v/>
      </c>
      <c r="J1751" s="85" t="b">
        <f ca="1">Proc[[#This Row],[Requested]]=Proc[[#This Row],[CurrentParent]]</f>
        <v>1</v>
      </c>
      <c r="K1751" s="85" t="str">
        <f ca="1"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76</v>
      </c>
      <c r="R1751" s="90" t="s">
        <v>489</v>
      </c>
      <c r="S1751" s="85"/>
    </row>
    <row r="1752" spans="1:19" hidden="1">
      <c r="A1752" s="89" t="s">
        <v>3405</v>
      </c>
      <c r="B1752" s="138" t="str">
        <f ca="1"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 ca="1">IF(Proc[[#This Row],[type]]="LFF (MDG-F)",MID(Proc[[#This Row],[Obj]],13,10),"")</f>
        <v/>
      </c>
      <c r="J1752" s="85" t="b">
        <f ca="1">Proc[[#This Row],[Requested]]=Proc[[#This Row],[CurrentParent]]</f>
        <v>1</v>
      </c>
      <c r="K1752" s="85" t="str">
        <f ca="1"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76</v>
      </c>
      <c r="R1752" s="90" t="s">
        <v>489</v>
      </c>
      <c r="S1752" s="85"/>
    </row>
    <row r="1753" spans="1:19" hidden="1">
      <c r="A1753" s="89" t="s">
        <v>3405</v>
      </c>
      <c r="B1753" s="138" t="str">
        <f ca="1"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 ca="1">IF(Proc[[#This Row],[type]]="LFF (MDG-F)",MID(Proc[[#This Row],[Obj]],13,10),"")</f>
        <v/>
      </c>
      <c r="J1753" s="85" t="b">
        <f ca="1">Proc[[#This Row],[Requested]]=Proc[[#This Row],[CurrentParent]]</f>
        <v>1</v>
      </c>
      <c r="K1753" s="85" t="str">
        <f ca="1"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76</v>
      </c>
      <c r="R1753" s="90" t="s">
        <v>489</v>
      </c>
      <c r="S1753" s="85"/>
    </row>
    <row r="1754" spans="1:19" hidden="1">
      <c r="A1754" s="89" t="s">
        <v>3405</v>
      </c>
      <c r="B1754" s="138" t="str">
        <f ca="1"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 ca="1">IF(Proc[[#This Row],[type]]="LFF (MDG-F)",MID(Proc[[#This Row],[Obj]],13,10),"")</f>
        <v/>
      </c>
      <c r="J1754" s="85" t="b">
        <f ca="1">Proc[[#This Row],[Requested]]=Proc[[#This Row],[CurrentParent]]</f>
        <v>1</v>
      </c>
      <c r="K1754" s="85" t="str">
        <f ca="1"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76</v>
      </c>
      <c r="R1754" s="90" t="s">
        <v>489</v>
      </c>
      <c r="S1754" s="85"/>
    </row>
    <row r="1755" spans="1:19" hidden="1">
      <c r="A1755" s="89" t="s">
        <v>3405</v>
      </c>
      <c r="B1755" s="138" t="str">
        <f ca="1"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 ca="1">IF(Proc[[#This Row],[type]]="LFF (MDG-F)",MID(Proc[[#This Row],[Obj]],13,10),"")</f>
        <v/>
      </c>
      <c r="J1755" s="85" t="b">
        <f ca="1">Proc[[#This Row],[Requested]]=Proc[[#This Row],[CurrentParent]]</f>
        <v>1</v>
      </c>
      <c r="K1755" s="85" t="str">
        <f ca="1"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76</v>
      </c>
      <c r="R1755" s="90" t="s">
        <v>489</v>
      </c>
      <c r="S1755" s="85"/>
    </row>
    <row r="1756" spans="1:19" hidden="1">
      <c r="A1756" t="s">
        <v>3548</v>
      </c>
      <c r="B1756" s="138" t="str">
        <f ca="1"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 ca="1">IF(Proc[[#This Row],[type]]="LFF (MDG-F)",MID(Proc[[#This Row],[Obj]],13,10),"")</f>
        <v>DE10639300</v>
      </c>
      <c r="I1756" t="s">
        <v>3559</v>
      </c>
      <c r="J1756" s="85" t="b">
        <f ca="1">Proc[[#This Row],[Requested]]=Proc[[#This Row],[CurrentParent]]</f>
        <v>1</v>
      </c>
      <c r="K1756" s="85" t="str">
        <f ca="1"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138" t="str">
        <f ca="1"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 ca="1">IF(Proc[[#This Row],[type]]="LFF (MDG-F)",MID(Proc[[#This Row],[Obj]],13,10),"")</f>
        <v>DE10650100</v>
      </c>
      <c r="I1757" t="s">
        <v>3559</v>
      </c>
      <c r="J1757" s="85" t="b">
        <f ca="1">Proc[[#This Row],[Requested]]=Proc[[#This Row],[CurrentParent]]</f>
        <v>1</v>
      </c>
      <c r="K1757" s="85" t="str">
        <f ca="1"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138" t="str">
        <f ca="1"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 ca="1">IF(Proc[[#This Row],[type]]="LFF (MDG-F)",MID(Proc[[#This Row],[Obj]],13,10),"")</f>
        <v>DE10OF0005</v>
      </c>
      <c r="I1758" t="s">
        <v>3559</v>
      </c>
      <c r="J1758" s="85" t="b">
        <f ca="1">Proc[[#This Row],[Requested]]=Proc[[#This Row],[CurrentParent]]</f>
        <v>1</v>
      </c>
      <c r="K1758" s="85" t="str">
        <f ca="1"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138" t="str">
        <f ca="1"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 ca="1">IF(Proc[[#This Row],[type]]="LFF (MDG-F)",MID(Proc[[#This Row],[Obj]],13,10),"")</f>
        <v/>
      </c>
      <c r="J1759" s="85" t="b">
        <f ca="1">Proc[[#This Row],[Requested]]=Proc[[#This Row],[CurrentParent]]</f>
        <v>1</v>
      </c>
      <c r="K1759" s="85" t="str">
        <f ca="1"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76</v>
      </c>
      <c r="R1759" s="90" t="s">
        <v>489</v>
      </c>
      <c r="S1759" s="85"/>
    </row>
    <row r="1760" spans="1:19" hidden="1">
      <c r="A1760" s="89" t="s">
        <v>3548</v>
      </c>
      <c r="B1760" s="138" t="str">
        <f ca="1"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 ca="1">IF(Proc[[#This Row],[type]]="LFF (MDG-F)",MID(Proc[[#This Row],[Obj]],13,10),"")</f>
        <v/>
      </c>
      <c r="J1760" s="85" t="b">
        <f ca="1">Proc[[#This Row],[Requested]]=Proc[[#This Row],[CurrentParent]]</f>
        <v>1</v>
      </c>
      <c r="K1760" s="85" t="str">
        <f ca="1"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76</v>
      </c>
      <c r="R1760" s="90" t="s">
        <v>489</v>
      </c>
      <c r="S1760" s="85"/>
    </row>
    <row r="1761" spans="1:19" hidden="1">
      <c r="A1761" s="89" t="s">
        <v>3548</v>
      </c>
      <c r="B1761" s="138" t="str">
        <f ca="1"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 ca="1">IF(Proc[[#This Row],[type]]="LFF (MDG-F)",MID(Proc[[#This Row],[Obj]],13,10),"")</f>
        <v/>
      </c>
      <c r="J1761" s="85" t="b">
        <f ca="1">Proc[[#This Row],[Requested]]=Proc[[#This Row],[CurrentParent]]</f>
        <v>1</v>
      </c>
      <c r="K1761" s="85" t="str">
        <f ca="1"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76</v>
      </c>
      <c r="R1761" s="90" t="s">
        <v>489</v>
      </c>
      <c r="S1761" s="85"/>
    </row>
    <row r="1762" spans="1:19" hidden="1">
      <c r="A1762" s="89" t="s">
        <v>3548</v>
      </c>
      <c r="B1762" s="138" t="str">
        <f ca="1"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 ca="1">IF(Proc[[#This Row],[type]]="LFF (MDG-F)",MID(Proc[[#This Row],[Obj]],13,10),"")</f>
        <v/>
      </c>
      <c r="J1762" s="85" t="b">
        <f ca="1">Proc[[#This Row],[Requested]]=Proc[[#This Row],[CurrentParent]]</f>
        <v>1</v>
      </c>
      <c r="K1762" s="85" t="str">
        <f ca="1"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76</v>
      </c>
      <c r="R1762" s="90" t="s">
        <v>489</v>
      </c>
      <c r="S1762" s="85"/>
    </row>
    <row r="1763" spans="1:19" hidden="1">
      <c r="A1763" t="s">
        <v>3560</v>
      </c>
      <c r="B1763" s="138" t="str">
        <f ca="1"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 ca="1">IF(Proc[[#This Row],[type]]="LFF (MDG-F)",MID(Proc[[#This Row],[Obj]],13,10),"")</f>
        <v/>
      </c>
      <c r="J1763" s="85" t="b">
        <f ca="1">Proc[[#This Row],[Requested]]=Proc[[#This Row],[CurrentParent]]</f>
        <v>1</v>
      </c>
      <c r="K1763" s="85" t="str">
        <f ca="1"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138" t="str">
        <f ca="1"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 ca="1">IF(Proc[[#This Row],[type]]="LFF (MDG-F)",MID(Proc[[#This Row],[Obj]],13,10),"")</f>
        <v/>
      </c>
      <c r="J1764" s="85" t="b">
        <f ca="1">Proc[[#This Row],[Requested]]=Proc[[#This Row],[CurrentParent]]</f>
        <v>1</v>
      </c>
      <c r="K1764" s="85" t="str">
        <f ca="1"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138" t="str">
        <f ca="1"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 ca="1">IF(Proc[[#This Row],[type]]="LFF (MDG-F)",MID(Proc[[#This Row],[Obj]],13,10),"")</f>
        <v/>
      </c>
      <c r="J1765" s="85" t="b">
        <f ca="1">Proc[[#This Row],[Requested]]=Proc[[#This Row],[CurrentParent]]</f>
        <v>1</v>
      </c>
      <c r="K1765" s="85" t="str">
        <f ca="1"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138" t="str">
        <f ca="1"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 ca="1">IF(Proc[[#This Row],[type]]="LFF (MDG-F)",MID(Proc[[#This Row],[Obj]],13,10),"")</f>
        <v/>
      </c>
      <c r="J1766" s="85" t="b">
        <f ca="1">Proc[[#This Row],[Requested]]=Proc[[#This Row],[CurrentParent]]</f>
        <v>1</v>
      </c>
      <c r="K1766" s="85" t="str">
        <f ca="1"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138" t="str">
        <f ca="1"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 ca="1">IF(Proc[[#This Row],[type]]="LFF (MDG-F)",MID(Proc[[#This Row],[Obj]],13,10),"")</f>
        <v/>
      </c>
      <c r="J1767" s="85" t="b">
        <f ca="1">Proc[[#This Row],[Requested]]=Proc[[#This Row],[CurrentParent]]</f>
        <v>1</v>
      </c>
      <c r="K1767" s="85" t="str">
        <f ca="1"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138" t="str">
        <f ca="1"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 ca="1">IF(Proc[[#This Row],[type]]="LFF (MDG-F)",MID(Proc[[#This Row],[Obj]],13,10),"")</f>
        <v/>
      </c>
      <c r="J1768" s="85" t="b">
        <f ca="1">Proc[[#This Row],[Requested]]=Proc[[#This Row],[CurrentParent]]</f>
        <v>1</v>
      </c>
      <c r="K1768" s="85" t="str">
        <f ca="1"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138" t="str">
        <f ca="1"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 ca="1">IF(Proc[[#This Row],[type]]="LFF (MDG-F)",MID(Proc[[#This Row],[Obj]],13,10),"")</f>
        <v/>
      </c>
      <c r="J1769" s="85" t="b">
        <f ca="1">Proc[[#This Row],[Requested]]=Proc[[#This Row],[CurrentParent]]</f>
        <v>1</v>
      </c>
      <c r="K1769" s="85" t="str">
        <f ca="1"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138" t="str">
        <f ca="1"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 ca="1">IF(Proc[[#This Row],[type]]="LFF (MDG-F)",MID(Proc[[#This Row],[Obj]],13,10),"")</f>
        <v/>
      </c>
      <c r="J1770" s="85" t="b">
        <f ca="1">Proc[[#This Row],[Requested]]=Proc[[#This Row],[CurrentParent]]</f>
        <v>1</v>
      </c>
      <c r="K1770" s="85" t="str">
        <f ca="1"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138" t="str">
        <f ca="1"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 ca="1">IF(Proc[[#This Row],[type]]="LFF (MDG-F)",MID(Proc[[#This Row],[Obj]],13,10),"")</f>
        <v>2102TMCZ91</v>
      </c>
      <c r="I1771" t="s">
        <v>3594</v>
      </c>
      <c r="J1771" s="85" t="b">
        <f ca="1">Proc[[#This Row],[Requested]]=Proc[[#This Row],[CurrentParent]]</f>
        <v>1</v>
      </c>
      <c r="K1771" s="85" t="str">
        <f ca="1"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138" t="str">
        <f ca="1"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 ca="1">IF(Proc[[#This Row],[type]]="LFF (MDG-F)",MID(Proc[[#This Row],[Obj]],13,10),"")</f>
        <v/>
      </c>
      <c r="J1772" s="85" t="b">
        <f ca="1">Proc[[#This Row],[Requested]]=Proc[[#This Row],[CurrentParent]]</f>
        <v>1</v>
      </c>
      <c r="K1772" s="85" t="str">
        <f ca="1"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138" t="str">
        <f ca="1"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 ca="1">IF(Proc[[#This Row],[type]]="LFF (MDG-F)",MID(Proc[[#This Row],[Obj]],13,10),"")</f>
        <v/>
      </c>
      <c r="J1773" s="85" t="b">
        <f ca="1">Proc[[#This Row],[Requested]]=Proc[[#This Row],[CurrentParent]]</f>
        <v>1</v>
      </c>
      <c r="K1773" s="85" t="str">
        <f ca="1"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138" t="str">
        <f ca="1"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 ca="1">IF(Proc[[#This Row],[type]]="LFF (MDG-F)",MID(Proc[[#This Row],[Obj]],13,10),"")</f>
        <v/>
      </c>
      <c r="J1774" s="85" t="b">
        <f ca="1">Proc[[#This Row],[Requested]]=Proc[[#This Row],[CurrentParent]]</f>
        <v>1</v>
      </c>
      <c r="K1774" s="85" t="str">
        <f ca="1"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138" t="str">
        <f ca="1"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 ca="1">IF(Proc[[#This Row],[type]]="LFF (MDG-F)",MID(Proc[[#This Row],[Obj]],13,10),"")</f>
        <v/>
      </c>
      <c r="J1775" s="85" t="b">
        <f ca="1">Proc[[#This Row],[Requested]]=Proc[[#This Row],[CurrentParent]]</f>
        <v>1</v>
      </c>
      <c r="K1775" s="85" t="str">
        <f ca="1"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138" t="str">
        <f ca="1"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 ca="1">IF(Proc[[#This Row],[type]]="LFF (MDG-F)",MID(Proc[[#This Row],[Obj]],13,10),"")</f>
        <v/>
      </c>
      <c r="J1776" s="85" t="b">
        <f ca="1">Proc[[#This Row],[Requested]]=Proc[[#This Row],[CurrentParent]]</f>
        <v>1</v>
      </c>
      <c r="K1776" s="85" t="str">
        <f ca="1"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138" t="str">
        <f ca="1"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 ca="1">IF(Proc[[#This Row],[type]]="LFF (MDG-F)",MID(Proc[[#This Row],[Obj]],13,10),"")</f>
        <v/>
      </c>
      <c r="J1777" s="85" t="b">
        <f ca="1">Proc[[#This Row],[Requested]]=Proc[[#This Row],[CurrentParent]]</f>
        <v>1</v>
      </c>
      <c r="K1777" s="85" t="str">
        <f ca="1"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138" t="str">
        <f ca="1"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 ca="1">IF(Proc[[#This Row],[type]]="LFF (MDG-F)",MID(Proc[[#This Row],[Obj]],13,10),"")</f>
        <v/>
      </c>
      <c r="J1778" s="85" t="b">
        <f ca="1">Proc[[#This Row],[Requested]]=Proc[[#This Row],[CurrentParent]]</f>
        <v>1</v>
      </c>
      <c r="K1778" s="85" t="str">
        <f ca="1"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138" t="str">
        <f ca="1"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 ca="1">IF(Proc[[#This Row],[type]]="LFF (MDG-F)",MID(Proc[[#This Row],[Obj]],13,10),"")</f>
        <v/>
      </c>
      <c r="J1779" s="85" t="b">
        <f ca="1">Proc[[#This Row],[Requested]]=Proc[[#This Row],[CurrentParent]]</f>
        <v>1</v>
      </c>
      <c r="K1779" s="85" t="str">
        <f ca="1"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138" t="str">
        <f ca="1"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 ca="1">IF(Proc[[#This Row],[type]]="LFF (MDG-F)",MID(Proc[[#This Row],[Obj]],13,10),"")</f>
        <v/>
      </c>
      <c r="J1780" s="85" t="b">
        <f ca="1">Proc[[#This Row],[Requested]]=Proc[[#This Row],[CurrentParent]]</f>
        <v>1</v>
      </c>
      <c r="K1780" s="85" t="str">
        <f ca="1"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138" t="str">
        <f ca="1"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 ca="1">IF(Proc[[#This Row],[type]]="LFF (MDG-F)",MID(Proc[[#This Row],[Obj]],13,10),"")</f>
        <v/>
      </c>
      <c r="J1781" s="85" t="b">
        <f ca="1">Proc[[#This Row],[Requested]]=Proc[[#This Row],[CurrentParent]]</f>
        <v>1</v>
      </c>
      <c r="K1781" s="85" t="str">
        <f ca="1"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138" t="str">
        <f ca="1"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 ca="1">IF(Proc[[#This Row],[type]]="LFF (MDG-F)",MID(Proc[[#This Row],[Obj]],13,10),"")</f>
        <v/>
      </c>
      <c r="J1782" s="85" t="b">
        <f ca="1">Proc[[#This Row],[Requested]]=Proc[[#This Row],[CurrentParent]]</f>
        <v>1</v>
      </c>
      <c r="K1782" s="85" t="str">
        <f ca="1"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138" t="str">
        <f ca="1"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 ca="1">IF(Proc[[#This Row],[type]]="LFF (MDG-F)",MID(Proc[[#This Row],[Obj]],13,10),"")</f>
        <v/>
      </c>
      <c r="J1783" s="85" t="b">
        <f ca="1">Proc[[#This Row],[Requested]]=Proc[[#This Row],[CurrentParent]]</f>
        <v>1</v>
      </c>
      <c r="K1783" s="85" t="str">
        <f ca="1"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138" t="str">
        <f ca="1"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 ca="1">IF(Proc[[#This Row],[type]]="LFF (MDG-F)",MID(Proc[[#This Row],[Obj]],13,10),"")</f>
        <v/>
      </c>
      <c r="J1784" s="85" t="b">
        <f ca="1">Proc[[#This Row],[Requested]]=Proc[[#This Row],[CurrentParent]]</f>
        <v>1</v>
      </c>
      <c r="K1784" s="85" t="str">
        <f ca="1"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138" t="str">
        <f ca="1"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 ca="1">IF(Proc[[#This Row],[type]]="LFF (MDG-F)",MID(Proc[[#This Row],[Obj]],13,10),"")</f>
        <v/>
      </c>
      <c r="J1785" s="85" t="b">
        <f ca="1">Proc[[#This Row],[Requested]]=Proc[[#This Row],[CurrentParent]]</f>
        <v>1</v>
      </c>
      <c r="K1785" s="85" t="str">
        <f ca="1"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138" t="str">
        <f ca="1"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 ca="1">IF(Proc[[#This Row],[type]]="LFF (MDG-F)",MID(Proc[[#This Row],[Obj]],13,10),"")</f>
        <v/>
      </c>
      <c r="J1786" s="85" t="b">
        <f ca="1">Proc[[#This Row],[Requested]]=Proc[[#This Row],[CurrentParent]]</f>
        <v>1</v>
      </c>
      <c r="K1786" s="85" t="str">
        <f ca="1"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138" t="str">
        <f ca="1"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 ca="1">IF(Proc[[#This Row],[type]]="LFF (MDG-F)",MID(Proc[[#This Row],[Obj]],13,10),"")</f>
        <v/>
      </c>
      <c r="J1787" s="85" t="b">
        <f ca="1">Proc[[#This Row],[Requested]]=Proc[[#This Row],[CurrentParent]]</f>
        <v>1</v>
      </c>
      <c r="K1787" s="85" t="str">
        <f ca="1"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138" t="str">
        <f ca="1"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 ca="1">IF(Proc[[#This Row],[type]]="LFF (MDG-F)",MID(Proc[[#This Row],[Obj]],13,10),"")</f>
        <v/>
      </c>
      <c r="J1788" s="85" t="b">
        <f ca="1">Proc[[#This Row],[Requested]]=Proc[[#This Row],[CurrentParent]]</f>
        <v>1</v>
      </c>
      <c r="K1788" s="85" t="str">
        <f ca="1"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138" t="str">
        <f ca="1"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 ca="1">IF(Proc[[#This Row],[type]]="LFF (MDG-F)",MID(Proc[[#This Row],[Obj]],13,10),"")</f>
        <v/>
      </c>
      <c r="J1789" s="85" t="b">
        <f ca="1">Proc[[#This Row],[Requested]]=Proc[[#This Row],[CurrentParent]]</f>
        <v>1</v>
      </c>
      <c r="K1789" s="85" t="str">
        <f ca="1"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138" t="str">
        <f ca="1"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 ca="1">IF(Proc[[#This Row],[type]]="LFF (MDG-F)",MID(Proc[[#This Row],[Obj]],13,10),"")</f>
        <v/>
      </c>
      <c r="J1790" s="85" t="b">
        <f ca="1">Proc[[#This Row],[Requested]]=Proc[[#This Row],[CurrentParent]]</f>
        <v>1</v>
      </c>
      <c r="K1790" s="85" t="str">
        <f ca="1"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138" t="str">
        <f ca="1"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 ca="1">IF(Proc[[#This Row],[type]]="LFF (MDG-F)",MID(Proc[[#This Row],[Obj]],13,10),"")</f>
        <v/>
      </c>
      <c r="J1791" s="85" t="b">
        <f ca="1">Proc[[#This Row],[Requested]]=Proc[[#This Row],[CurrentParent]]</f>
        <v>1</v>
      </c>
      <c r="K1791" s="85" t="str">
        <f ca="1"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138" t="str">
        <f ca="1"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 ca="1">IF(Proc[[#This Row],[type]]="LFF (MDG-F)",MID(Proc[[#This Row],[Obj]],13,10),"")</f>
        <v/>
      </c>
      <c r="J1792" s="85" t="b">
        <f ca="1">Proc[[#This Row],[Requested]]=Proc[[#This Row],[CurrentParent]]</f>
        <v>1</v>
      </c>
      <c r="K1792" s="85" t="str">
        <f ca="1"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138" t="str">
        <f ca="1"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 ca="1">IF(Proc[[#This Row],[type]]="LFF (MDG-F)",MID(Proc[[#This Row],[Obj]],13,10),"")</f>
        <v/>
      </c>
      <c r="J1793" s="85" t="b">
        <f ca="1">Proc[[#This Row],[Requested]]=Proc[[#This Row],[CurrentParent]]</f>
        <v>1</v>
      </c>
      <c r="K1793" s="85" t="str">
        <f ca="1"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138" t="str">
        <f ca="1"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 ca="1">IF(Proc[[#This Row],[type]]="LFF (MDG-F)",MID(Proc[[#This Row],[Obj]],13,10),"")</f>
        <v/>
      </c>
      <c r="J1794" s="85" t="b">
        <f ca="1">Proc[[#This Row],[Requested]]=Proc[[#This Row],[CurrentParent]]</f>
        <v>1</v>
      </c>
      <c r="K1794" s="85" t="str">
        <f ca="1"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138" t="str">
        <f ca="1"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 ca="1">IF(Proc[[#This Row],[type]]="LFF (MDG-F)",MID(Proc[[#This Row],[Obj]],13,10),"")</f>
        <v/>
      </c>
      <c r="J1795" s="85" t="b">
        <f ca="1">Proc[[#This Row],[Requested]]=Proc[[#This Row],[CurrentParent]]</f>
        <v>1</v>
      </c>
      <c r="K1795" s="85" t="str">
        <f ca="1"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138" t="str">
        <f ca="1"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 ca="1">IF(Proc[[#This Row],[type]]="LFF (MDG-F)",MID(Proc[[#This Row],[Obj]],13,10),"")</f>
        <v/>
      </c>
      <c r="J1796" s="85" t="b">
        <f ca="1">Proc[[#This Row],[Requested]]=Proc[[#This Row],[CurrentParent]]</f>
        <v>1</v>
      </c>
      <c r="K1796" s="85" t="str">
        <f ca="1"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138" t="str">
        <f ca="1"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 ca="1">IF(Proc[[#This Row],[type]]="LFF (MDG-F)",MID(Proc[[#This Row],[Obj]],13,10),"")</f>
        <v/>
      </c>
      <c r="J1797" s="85" t="b">
        <f ca="1">Proc[[#This Row],[Requested]]=Proc[[#This Row],[CurrentParent]]</f>
        <v>1</v>
      </c>
      <c r="K1797" s="85" t="str">
        <f ca="1"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138" t="str">
        <f ca="1"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 ca="1">IF(Proc[[#This Row],[type]]="LFF (MDG-F)",MID(Proc[[#This Row],[Obj]],13,10),"")</f>
        <v/>
      </c>
      <c r="J1798" s="85" t="b">
        <f ca="1">Proc[[#This Row],[Requested]]=Proc[[#This Row],[CurrentParent]]</f>
        <v>1</v>
      </c>
      <c r="K1798" s="85" t="str">
        <f ca="1"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138" t="str">
        <f ca="1"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 ca="1">IF(Proc[[#This Row],[type]]="LFF (MDG-F)",MID(Proc[[#This Row],[Obj]],13,10),"")</f>
        <v/>
      </c>
      <c r="J1799" s="85" t="b">
        <f ca="1">Proc[[#This Row],[Requested]]=Proc[[#This Row],[CurrentParent]]</f>
        <v>1</v>
      </c>
      <c r="K1799" s="85" t="str">
        <f ca="1"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138" t="str">
        <f ca="1"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 ca="1">IF(Proc[[#This Row],[type]]="LFF (MDG-F)",MID(Proc[[#This Row],[Obj]],13,10),"")</f>
        <v/>
      </c>
      <c r="J1800" s="85" t="b">
        <f ca="1">Proc[[#This Row],[Requested]]=Proc[[#This Row],[CurrentParent]]</f>
        <v>1</v>
      </c>
      <c r="K1800" s="85" t="str">
        <f ca="1"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138" t="str">
        <f ca="1"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 ca="1">IF(Proc[[#This Row],[type]]="LFF (MDG-F)",MID(Proc[[#This Row],[Obj]],13,10),"")</f>
        <v/>
      </c>
      <c r="J1801" s="85" t="b">
        <f ca="1">Proc[[#This Row],[Requested]]=Proc[[#This Row],[CurrentParent]]</f>
        <v>1</v>
      </c>
      <c r="K1801" s="85" t="str">
        <f ca="1"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138" t="str">
        <f ca="1"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 ca="1">IF(Proc[[#This Row],[type]]="LFF (MDG-F)",MID(Proc[[#This Row],[Obj]],13,10),"")</f>
        <v/>
      </c>
      <c r="J1802" s="85" t="b">
        <f ca="1">Proc[[#This Row],[Requested]]=Proc[[#This Row],[CurrentParent]]</f>
        <v>1</v>
      </c>
      <c r="K1802" s="85" t="str">
        <f ca="1"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138" t="str">
        <f ca="1"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 ca="1">IF(Proc[[#This Row],[type]]="LFF (MDG-F)",MID(Proc[[#This Row],[Obj]],13,10),"")</f>
        <v/>
      </c>
      <c r="J1803" s="85" t="b">
        <f ca="1">Proc[[#This Row],[Requested]]=Proc[[#This Row],[CurrentParent]]</f>
        <v>1</v>
      </c>
      <c r="K1803" s="85" t="str">
        <f ca="1"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138" t="str">
        <f ca="1"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 ca="1">IF(Proc[[#This Row],[type]]="LFF (MDG-F)",MID(Proc[[#This Row],[Obj]],13,10),"")</f>
        <v>DE10B45000</v>
      </c>
      <c r="I1804" t="s">
        <v>3624</v>
      </c>
      <c r="J1804" s="85" t="b">
        <f ca="1">Proc[[#This Row],[Requested]]=Proc[[#This Row],[CurrentParent]]</f>
        <v>1</v>
      </c>
      <c r="K1804" s="85" t="str">
        <f ca="1"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138" t="str">
        <f ca="1"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 ca="1">IF(Proc[[#This Row],[type]]="LFF (MDG-F)",MID(Proc[[#This Row],[Obj]],13,10),"")</f>
        <v/>
      </c>
      <c r="J1805" s="85" t="b">
        <f ca="1">Proc[[#This Row],[Requested]]=Proc[[#This Row],[CurrentParent]]</f>
        <v>1</v>
      </c>
      <c r="K1805" s="85" t="str">
        <f ca="1"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138" t="str">
        <f ca="1"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 ca="1">IF(Proc[[#This Row],[type]]="LFF (MDG-F)",MID(Proc[[#This Row],[Obj]],13,10),"")</f>
        <v/>
      </c>
      <c r="J1806" s="85" t="b">
        <f ca="1">Proc[[#This Row],[Requested]]=Proc[[#This Row],[CurrentParent]]</f>
        <v>1</v>
      </c>
      <c r="K1806" s="85" t="str">
        <f ca="1"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138" t="str">
        <f ca="1"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 ca="1">IF(Proc[[#This Row],[type]]="LFF (MDG-F)",MID(Proc[[#This Row],[Obj]],13,10),"")</f>
        <v/>
      </c>
      <c r="J1807" s="85" t="b">
        <f ca="1">Proc[[#This Row],[Requested]]=Proc[[#This Row],[CurrentParent]]</f>
        <v>1</v>
      </c>
      <c r="K1807" s="85" t="str">
        <f ca="1"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138" t="str">
        <f ca="1"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 ca="1">IF(Proc[[#This Row],[type]]="LFF (MDG-F)",MID(Proc[[#This Row],[Obj]],13,10),"")</f>
        <v/>
      </c>
      <c r="J1808" s="85" t="b">
        <f ca="1">Proc[[#This Row],[Requested]]=Proc[[#This Row],[CurrentParent]]</f>
        <v>1</v>
      </c>
      <c r="K1808" s="85" t="str">
        <f ca="1"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138" t="str">
        <f ca="1"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 ca="1">IF(Proc[[#This Row],[type]]="LFF (MDG-F)",MID(Proc[[#This Row],[Obj]],13,10),"")</f>
        <v/>
      </c>
      <c r="J1809" s="85" t="b">
        <f ca="1">Proc[[#This Row],[Requested]]=Proc[[#This Row],[CurrentParent]]</f>
        <v>1</v>
      </c>
      <c r="K1809" s="85" t="str">
        <f ca="1"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138" t="str">
        <f ca="1"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 ca="1">IF(Proc[[#This Row],[type]]="LFF (MDG-F)",MID(Proc[[#This Row],[Obj]],13,10),"")</f>
        <v/>
      </c>
      <c r="J1810" s="85" t="b">
        <f ca="1">Proc[[#This Row],[Requested]]=Proc[[#This Row],[CurrentParent]]</f>
        <v>1</v>
      </c>
      <c r="K1810" s="85" t="str">
        <f ca="1"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138" t="str">
        <f ca="1"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 ca="1">IF(Proc[[#This Row],[type]]="LFF (MDG-F)",MID(Proc[[#This Row],[Obj]],13,10),"")</f>
        <v/>
      </c>
      <c r="J1811" s="85" t="b">
        <f ca="1">Proc[[#This Row],[Requested]]=Proc[[#This Row],[CurrentParent]]</f>
        <v>1</v>
      </c>
      <c r="K1811" s="85" t="str">
        <f ca="1"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138" t="str">
        <f ca="1"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 ca="1">IF(Proc[[#This Row],[type]]="LFF (MDG-F)",MID(Proc[[#This Row],[Obj]],13,10),"")</f>
        <v/>
      </c>
      <c r="J1812" s="85" t="b">
        <f ca="1">Proc[[#This Row],[Requested]]=Proc[[#This Row],[CurrentParent]]</f>
        <v>1</v>
      </c>
      <c r="K1812" s="85" t="str">
        <f ca="1"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138" t="str">
        <f ca="1"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 ca="1">IF(Proc[[#This Row],[type]]="LFF (MDG-F)",MID(Proc[[#This Row],[Obj]],13,10),"")</f>
        <v/>
      </c>
      <c r="J1813" s="94" t="b">
        <f ca="1">Proc[[#This Row],[Requested]]=Proc[[#This Row],[CurrentParent]]</f>
        <v>1</v>
      </c>
      <c r="K1813" s="94" t="str">
        <f ca="1"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138" t="str">
        <f ca="1"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 ca="1">IF(Proc[[#This Row],[type]]="LFF (MDG-F)",MID(Proc[[#This Row],[Obj]],13,10),"")</f>
        <v/>
      </c>
      <c r="J1814" s="94" t="b">
        <f ca="1">Proc[[#This Row],[Requested]]=Proc[[#This Row],[CurrentParent]]</f>
        <v>1</v>
      </c>
      <c r="K1814" s="94" t="str">
        <f ca="1"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138" t="str">
        <f ca="1"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 ca="1">IF(Proc[[#This Row],[type]]="LFF (MDG-F)",MID(Proc[[#This Row],[Obj]],13,10),"")</f>
        <v/>
      </c>
      <c r="J1815" s="94" t="b">
        <f ca="1">Proc[[#This Row],[Requested]]=Proc[[#This Row],[CurrentParent]]</f>
        <v>1</v>
      </c>
      <c r="K1815" s="94" t="str">
        <f ca="1"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138" t="str">
        <f ca="1"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 ca="1">IF(Proc[[#This Row],[type]]="LFF (MDG-F)",MID(Proc[[#This Row],[Obj]],13,10),"")</f>
        <v/>
      </c>
      <c r="J1816" s="94" t="b">
        <f ca="1">Proc[[#This Row],[Requested]]=Proc[[#This Row],[CurrentParent]]</f>
        <v>1</v>
      </c>
      <c r="K1816" s="94" t="str">
        <f ca="1"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138" t="str">
        <f ca="1"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 ca="1">IF(Proc[[#This Row],[type]]="LFF (MDG-F)",MID(Proc[[#This Row],[Obj]],13,10),"")</f>
        <v/>
      </c>
      <c r="J1817" s="94" t="b">
        <f ca="1">Proc[[#This Row],[Requested]]=Proc[[#This Row],[CurrentParent]]</f>
        <v>1</v>
      </c>
      <c r="K1817" s="94" t="str">
        <f ca="1"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138" t="str">
        <f ca="1"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 ca="1">IF(Proc[[#This Row],[type]]="LFF (MDG-F)",MID(Proc[[#This Row],[Obj]],13,10),"")</f>
        <v/>
      </c>
      <c r="J1818" s="94" t="b">
        <f ca="1">Proc[[#This Row],[Requested]]=Proc[[#This Row],[CurrentParent]]</f>
        <v>1</v>
      </c>
      <c r="K1818" s="94" t="str">
        <f ca="1"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138" t="str">
        <f ca="1"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 ca="1">IF(Proc[[#This Row],[type]]="LFF (MDG-F)",MID(Proc[[#This Row],[Obj]],13,10),"")</f>
        <v/>
      </c>
      <c r="J1819" s="94" t="b">
        <f ca="1">Proc[[#This Row],[Requested]]=Proc[[#This Row],[CurrentParent]]</f>
        <v>1</v>
      </c>
      <c r="K1819" s="94" t="str">
        <f ca="1"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138" t="str">
        <f ca="1"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 ca="1">IF(Proc[[#This Row],[type]]="LFF (MDG-F)",MID(Proc[[#This Row],[Obj]],13,10),"")</f>
        <v/>
      </c>
      <c r="J1820" s="94" t="b">
        <f ca="1">Proc[[#This Row],[Requested]]=Proc[[#This Row],[CurrentParent]]</f>
        <v>1</v>
      </c>
      <c r="K1820" s="94" t="str">
        <f ca="1"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138" t="str">
        <f ca="1"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 ca="1">IF(Proc[[#This Row],[type]]="LFF (MDG-F)",MID(Proc[[#This Row],[Obj]],13,10),"")</f>
        <v/>
      </c>
      <c r="J1821" s="94" t="b">
        <f ca="1">Proc[[#This Row],[Requested]]=Proc[[#This Row],[CurrentParent]]</f>
        <v>1</v>
      </c>
      <c r="K1821" s="94" t="str">
        <f ca="1"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138" t="str">
        <f ca="1"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 ca="1">IF(Proc[[#This Row],[type]]="LFF (MDG-F)",MID(Proc[[#This Row],[Obj]],13,10),"")</f>
        <v/>
      </c>
      <c r="J1822" s="94" t="b">
        <f ca="1">Proc[[#This Row],[Requested]]=Proc[[#This Row],[CurrentParent]]</f>
        <v>1</v>
      </c>
      <c r="K1822" s="94" t="str">
        <f ca="1"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138" t="str">
        <f ca="1"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 ca="1">IF(Proc[[#This Row],[type]]="LFF (MDG-F)",MID(Proc[[#This Row],[Obj]],13,10),"")</f>
        <v/>
      </c>
      <c r="J1823" s="94" t="b">
        <f ca="1">Proc[[#This Row],[Requested]]=Proc[[#This Row],[CurrentParent]]</f>
        <v>1</v>
      </c>
      <c r="K1823" s="94" t="str">
        <f ca="1"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138" t="str">
        <f ca="1"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 ca="1">IF(Proc[[#This Row],[type]]="LFF (MDG-F)",MID(Proc[[#This Row],[Obj]],13,10),"")</f>
        <v/>
      </c>
      <c r="J1824" s="94" t="b">
        <f ca="1">Proc[[#This Row],[Requested]]=Proc[[#This Row],[CurrentParent]]</f>
        <v>1</v>
      </c>
      <c r="K1824" s="94" t="str">
        <f ca="1"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138" t="str">
        <f ca="1"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 ca="1">IF(Proc[[#This Row],[type]]="LFF (MDG-F)",MID(Proc[[#This Row],[Obj]],13,10),"")</f>
        <v/>
      </c>
      <c r="J1825" s="94" t="b">
        <f ca="1">Proc[[#This Row],[Requested]]=Proc[[#This Row],[CurrentParent]]</f>
        <v>1</v>
      </c>
      <c r="K1825" s="94" t="str">
        <f ca="1"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138" t="str">
        <f ca="1"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 ca="1">IF(Proc[[#This Row],[type]]="LFF (MDG-F)",MID(Proc[[#This Row],[Obj]],13,10),"")</f>
        <v/>
      </c>
      <c r="J1826" s="94" t="b">
        <f ca="1">Proc[[#This Row],[Requested]]=Proc[[#This Row],[CurrentParent]]</f>
        <v>1</v>
      </c>
      <c r="K1826" s="94" t="str">
        <f ca="1"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138" t="str">
        <f ca="1"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 ca="1">IF(Proc[[#This Row],[type]]="LFF (MDG-F)",MID(Proc[[#This Row],[Obj]],13,10),"")</f>
        <v/>
      </c>
      <c r="J1827" s="94" t="b">
        <f ca="1">Proc[[#This Row],[Requested]]=Proc[[#This Row],[CurrentParent]]</f>
        <v>1</v>
      </c>
      <c r="K1827" s="94" t="str">
        <f ca="1"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138" t="str">
        <f ca="1"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 ca="1">IF(Proc[[#This Row],[type]]="LFF (MDG-F)",MID(Proc[[#This Row],[Obj]],13,10),"")</f>
        <v/>
      </c>
      <c r="J1828" s="94" t="b">
        <f ca="1">Proc[[#This Row],[Requested]]=Proc[[#This Row],[CurrentParent]]</f>
        <v>1</v>
      </c>
      <c r="K1828" s="94" t="str">
        <f ca="1"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138" t="str">
        <f ca="1"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 ca="1">IF(Proc[[#This Row],[type]]="LFF (MDG-F)",MID(Proc[[#This Row],[Obj]],13,10),"")</f>
        <v/>
      </c>
      <c r="J1829" s="94" t="b">
        <f ca="1">Proc[[#This Row],[Requested]]=Proc[[#This Row],[CurrentParent]]</f>
        <v>1</v>
      </c>
      <c r="K1829" s="94" t="str">
        <f ca="1"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138" t="str">
        <f ca="1"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 ca="1">IF(Proc[[#This Row],[type]]="LFF (MDG-F)",MID(Proc[[#This Row],[Obj]],13,10),"")</f>
        <v/>
      </c>
      <c r="J1830" s="94" t="b">
        <f ca="1">Proc[[#This Row],[Requested]]=Proc[[#This Row],[CurrentParent]]</f>
        <v>1</v>
      </c>
      <c r="K1830" s="94" t="str">
        <f ca="1"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138" t="str">
        <f ca="1"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 ca="1">IF(Proc[[#This Row],[type]]="LFF (MDG-F)",MID(Proc[[#This Row],[Obj]],13,10),"")</f>
        <v/>
      </c>
      <c r="J1831" s="94" t="b">
        <f ca="1">Proc[[#This Row],[Requested]]=Proc[[#This Row],[CurrentParent]]</f>
        <v>1</v>
      </c>
      <c r="K1831" s="94" t="str">
        <f ca="1"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138" t="str">
        <f ca="1"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 ca="1">IF(Proc[[#This Row],[type]]="LFF (MDG-F)",MID(Proc[[#This Row],[Obj]],13,10),"")</f>
        <v/>
      </c>
      <c r="J1832" s="94" t="b">
        <f ca="1">Proc[[#This Row],[Requested]]=Proc[[#This Row],[CurrentParent]]</f>
        <v>1</v>
      </c>
      <c r="K1832" s="94" t="str">
        <f ca="1"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138" t="str">
        <f ca="1"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 ca="1">IF(Proc[[#This Row],[type]]="LFF (MDG-F)",MID(Proc[[#This Row],[Obj]],13,10),"")</f>
        <v/>
      </c>
      <c r="J1833" s="94" t="b">
        <f ca="1">Proc[[#This Row],[Requested]]=Proc[[#This Row],[CurrentParent]]</f>
        <v>1</v>
      </c>
      <c r="K1833" s="94" t="str">
        <f ca="1"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138" t="str">
        <f ca="1"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 ca="1">IF(Proc[[#This Row],[type]]="LFF (MDG-F)",MID(Proc[[#This Row],[Obj]],13,10),"")</f>
        <v/>
      </c>
      <c r="J1834" s="94" t="b">
        <f ca="1">Proc[[#This Row],[Requested]]=Proc[[#This Row],[CurrentParent]]</f>
        <v>1</v>
      </c>
      <c r="K1834" s="94" t="str">
        <f ca="1"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138" t="str">
        <f ca="1"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 ca="1">IF(Proc[[#This Row],[type]]="LFF (MDG-F)",MID(Proc[[#This Row],[Obj]],13,10),"")</f>
        <v/>
      </c>
      <c r="J1835" s="94" t="b">
        <f ca="1">Proc[[#This Row],[Requested]]=Proc[[#This Row],[CurrentParent]]</f>
        <v>1</v>
      </c>
      <c r="K1835" s="94" t="str">
        <f ca="1"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138" t="str">
        <f ca="1"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 ca="1">IF(Proc[[#This Row],[type]]="LFF (MDG-F)",MID(Proc[[#This Row],[Obj]],13,10),"")</f>
        <v/>
      </c>
      <c r="J1836" s="94" t="b">
        <f ca="1">Proc[[#This Row],[Requested]]=Proc[[#This Row],[CurrentParent]]</f>
        <v>1</v>
      </c>
      <c r="K1836" s="94" t="str">
        <f ca="1"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138" t="str">
        <f ca="1"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 ca="1">IF(Proc[[#This Row],[type]]="LFF (MDG-F)",MID(Proc[[#This Row],[Obj]],13,10),"")</f>
        <v/>
      </c>
      <c r="J1837" s="94" t="b">
        <f ca="1">Proc[[#This Row],[Requested]]=Proc[[#This Row],[CurrentParent]]</f>
        <v>1</v>
      </c>
      <c r="K1837" s="94" t="str">
        <f ca="1"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138" t="str">
        <f ca="1"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 ca="1">IF(Proc[[#This Row],[type]]="LFF (MDG-F)",MID(Proc[[#This Row],[Obj]],13,10),"")</f>
        <v/>
      </c>
      <c r="J1838" s="94" t="b">
        <f ca="1">Proc[[#This Row],[Requested]]=Proc[[#This Row],[CurrentParent]]</f>
        <v>1</v>
      </c>
      <c r="K1838" s="94" t="str">
        <f ca="1"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138" t="str">
        <f ca="1"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 ca="1">IF(Proc[[#This Row],[type]]="LFF (MDG-F)",MID(Proc[[#This Row],[Obj]],13,10),"")</f>
        <v/>
      </c>
      <c r="J1839" s="94" t="b">
        <f ca="1">Proc[[#This Row],[Requested]]=Proc[[#This Row],[CurrentParent]]</f>
        <v>1</v>
      </c>
      <c r="K1839" s="94" t="str">
        <f ca="1"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138" t="str">
        <f ca="1"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 ca="1">IF(Proc[[#This Row],[type]]="LFF (MDG-F)",MID(Proc[[#This Row],[Obj]],13,10),"")</f>
        <v/>
      </c>
      <c r="J1840" s="94" t="b">
        <f ca="1">Proc[[#This Row],[Requested]]=Proc[[#This Row],[CurrentParent]]</f>
        <v>1</v>
      </c>
      <c r="K1840" s="94" t="str">
        <f ca="1"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138" t="str">
        <f ca="1"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 ca="1">IF(Proc[[#This Row],[type]]="LFF (MDG-F)",MID(Proc[[#This Row],[Obj]],13,10),"")</f>
        <v/>
      </c>
      <c r="J1841" s="94" t="b">
        <f ca="1">Proc[[#This Row],[Requested]]=Proc[[#This Row],[CurrentParent]]</f>
        <v>1</v>
      </c>
      <c r="K1841" s="94" t="str">
        <f ca="1"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138" t="str">
        <f ca="1"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 ca="1">IF(Proc[[#This Row],[type]]="LFF (MDG-F)",MID(Proc[[#This Row],[Obj]],13,10),"")</f>
        <v/>
      </c>
      <c r="J1842" s="94" t="b">
        <f ca="1">Proc[[#This Row],[Requested]]=Proc[[#This Row],[CurrentParent]]</f>
        <v>1</v>
      </c>
      <c r="K1842" s="94" t="str">
        <f ca="1"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138" t="str">
        <f ca="1"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 ca="1">IF(Proc[[#This Row],[type]]="LFF (MDG-F)",MID(Proc[[#This Row],[Obj]],13,10),"")</f>
        <v/>
      </c>
      <c r="J1843" s="94" t="b">
        <f ca="1">Proc[[#This Row],[Requested]]=Proc[[#This Row],[CurrentParent]]</f>
        <v>1</v>
      </c>
      <c r="K1843" s="94" t="str">
        <f ca="1"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138" t="str">
        <f ca="1"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 ca="1">IF(Proc[[#This Row],[type]]="LFF (MDG-F)",MID(Proc[[#This Row],[Obj]],13,10),"")</f>
        <v/>
      </c>
      <c r="J1844" s="94" t="b">
        <f ca="1">Proc[[#This Row],[Requested]]=Proc[[#This Row],[CurrentParent]]</f>
        <v>1</v>
      </c>
      <c r="K1844" s="94" t="str">
        <f ca="1"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138" t="str">
        <f ca="1"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 ca="1">IF(Proc[[#This Row],[type]]="LFF (MDG-F)",MID(Proc[[#This Row],[Obj]],13,10),"")</f>
        <v/>
      </c>
      <c r="J1845" s="94" t="b">
        <f ca="1">Proc[[#This Row],[Requested]]=Proc[[#This Row],[CurrentParent]]</f>
        <v>1</v>
      </c>
      <c r="K1845" s="94" t="str">
        <f ca="1"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138" t="str">
        <f ca="1"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 ca="1">IF(Proc[[#This Row],[type]]="LFF (MDG-F)",MID(Proc[[#This Row],[Obj]],13,10),"")</f>
        <v/>
      </c>
      <c r="J1846" s="94" t="b">
        <f ca="1">Proc[[#This Row],[Requested]]=Proc[[#This Row],[CurrentParent]]</f>
        <v>1</v>
      </c>
      <c r="K1846" s="94" t="str">
        <f ca="1"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138" t="str">
        <f ca="1"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 ca="1">IF(Proc[[#This Row],[type]]="LFF (MDG-F)",MID(Proc[[#This Row],[Obj]],13,10),"")</f>
        <v/>
      </c>
      <c r="J1847" s="94" t="b">
        <f ca="1">Proc[[#This Row],[Requested]]=Proc[[#This Row],[CurrentParent]]</f>
        <v>1</v>
      </c>
      <c r="K1847" s="94" t="str">
        <f ca="1"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138" t="str">
        <f ca="1"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 ca="1">IF(Proc[[#This Row],[type]]="LFF (MDG-F)",MID(Proc[[#This Row],[Obj]],13,10),"")</f>
        <v/>
      </c>
      <c r="J1848" s="94" t="b">
        <f ca="1">Proc[[#This Row],[Requested]]=Proc[[#This Row],[CurrentParent]]</f>
        <v>1</v>
      </c>
      <c r="K1848" s="94" t="str">
        <f ca="1"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138" t="str">
        <f ca="1"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 ca="1">IF(Proc[[#This Row],[type]]="LFF (MDG-F)",MID(Proc[[#This Row],[Obj]],13,10),"")</f>
        <v/>
      </c>
      <c r="J1849" s="94" t="b">
        <f ca="1">Proc[[#This Row],[Requested]]=Proc[[#This Row],[CurrentParent]]</f>
        <v>1</v>
      </c>
      <c r="K1849" s="94" t="str">
        <f ca="1"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138" t="str">
        <f ca="1"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 ca="1">IF(Proc[[#This Row],[type]]="LFF (MDG-F)",MID(Proc[[#This Row],[Obj]],13,10),"")</f>
        <v/>
      </c>
      <c r="J1850" s="94" t="b">
        <f ca="1">Proc[[#This Row],[Requested]]=Proc[[#This Row],[CurrentParent]]</f>
        <v>1</v>
      </c>
      <c r="K1850" s="94" t="str">
        <f ca="1"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138" t="str">
        <f ca="1"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 ca="1">IF(Proc[[#This Row],[type]]="LFF (MDG-F)",MID(Proc[[#This Row],[Obj]],13,10),"")</f>
        <v/>
      </c>
      <c r="J1851" s="94" t="b">
        <f ca="1">Proc[[#This Row],[Requested]]=Proc[[#This Row],[CurrentParent]]</f>
        <v>1</v>
      </c>
      <c r="K1851" s="94" t="str">
        <f ca="1"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138" t="str">
        <f ca="1"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 ca="1">IF(Proc[[#This Row],[type]]="LFF (MDG-F)",MID(Proc[[#This Row],[Obj]],13,10),"")</f>
        <v/>
      </c>
      <c r="J1852" s="94" t="b">
        <f ca="1">Proc[[#This Row],[Requested]]=Proc[[#This Row],[CurrentParent]]</f>
        <v>1</v>
      </c>
      <c r="K1852" s="94" t="str">
        <f ca="1"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138" t="str">
        <f ca="1"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 ca="1">IF(Proc[[#This Row],[type]]="LFF (MDG-F)",MID(Proc[[#This Row],[Obj]],13,10),"")</f>
        <v/>
      </c>
      <c r="J1853" s="94" t="b">
        <f ca="1">Proc[[#This Row],[Requested]]=Proc[[#This Row],[CurrentParent]]</f>
        <v>1</v>
      </c>
      <c r="K1853" s="94" t="str">
        <f ca="1"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138" t="str">
        <f ca="1"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 ca="1">IF(Proc[[#This Row],[type]]="LFF (MDG-F)",MID(Proc[[#This Row],[Obj]],13,10),"")</f>
        <v/>
      </c>
      <c r="J1854" s="94" t="b">
        <f ca="1">Proc[[#This Row],[Requested]]=Proc[[#This Row],[CurrentParent]]</f>
        <v>1</v>
      </c>
      <c r="K1854" s="94" t="str">
        <f ca="1"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138" t="str">
        <f ca="1"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 ca="1">IF(Proc[[#This Row],[type]]="LFF (MDG-F)",MID(Proc[[#This Row],[Obj]],13,10),"")</f>
        <v/>
      </c>
      <c r="J1855" s="94" t="b">
        <f ca="1">Proc[[#This Row],[Requested]]=Proc[[#This Row],[CurrentParent]]</f>
        <v>1</v>
      </c>
      <c r="K1855" s="94" t="str">
        <f ca="1"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138" t="str">
        <f ca="1"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 ca="1">IF(Proc[[#This Row],[type]]="LFF (MDG-F)",MID(Proc[[#This Row],[Obj]],13,10),"")</f>
        <v/>
      </c>
      <c r="J1856" s="94" t="b">
        <f ca="1">Proc[[#This Row],[Requested]]=Proc[[#This Row],[CurrentParent]]</f>
        <v>1</v>
      </c>
      <c r="K1856" s="94" t="str">
        <f ca="1"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138" t="str">
        <f ca="1"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 ca="1">IF(Proc[[#This Row],[type]]="LFF (MDG-F)",MID(Proc[[#This Row],[Obj]],13,10),"")</f>
        <v/>
      </c>
      <c r="J1857" s="94" t="b">
        <f ca="1">Proc[[#This Row],[Requested]]=Proc[[#This Row],[CurrentParent]]</f>
        <v>1</v>
      </c>
      <c r="K1857" s="94" t="str">
        <f ca="1"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138" t="str">
        <f ca="1"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 ca="1">IF(Proc[[#This Row],[type]]="LFF (MDG-F)",MID(Proc[[#This Row],[Obj]],13,10),"")</f>
        <v/>
      </c>
      <c r="J1858" s="94" t="b">
        <f ca="1">Proc[[#This Row],[Requested]]=Proc[[#This Row],[CurrentParent]]</f>
        <v>1</v>
      </c>
      <c r="K1858" s="94" t="str">
        <f ca="1"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138" t="str">
        <f ca="1"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 ca="1">IF(Proc[[#This Row],[type]]="LFF (MDG-F)",MID(Proc[[#This Row],[Obj]],13,10),"")</f>
        <v/>
      </c>
      <c r="J1859" s="94" t="b">
        <f ca="1">Proc[[#This Row],[Requested]]=Proc[[#This Row],[CurrentParent]]</f>
        <v>1</v>
      </c>
      <c r="K1859" s="94" t="str">
        <f ca="1"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138" t="str">
        <f ca="1"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 ca="1">IF(Proc[[#This Row],[type]]="LFF (MDG-F)",MID(Proc[[#This Row],[Obj]],13,10),"")</f>
        <v/>
      </c>
      <c r="J1860" s="94" t="b">
        <f ca="1">Proc[[#This Row],[Requested]]=Proc[[#This Row],[CurrentParent]]</f>
        <v>1</v>
      </c>
      <c r="K1860" s="94" t="str">
        <f ca="1"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138" t="str">
        <f ca="1"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 ca="1">IF(Proc[[#This Row],[type]]="LFF (MDG-F)",MID(Proc[[#This Row],[Obj]],13,10),"")</f>
        <v/>
      </c>
      <c r="J1861" s="94" t="b">
        <f ca="1">Proc[[#This Row],[Requested]]=Proc[[#This Row],[CurrentParent]]</f>
        <v>1</v>
      </c>
      <c r="K1861" s="94" t="str">
        <f ca="1"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138" t="str">
        <f ca="1"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 ca="1">IF(Proc[[#This Row],[type]]="LFF (MDG-F)",MID(Proc[[#This Row],[Obj]],13,10),"")</f>
        <v/>
      </c>
      <c r="J1862" s="94" t="b">
        <f ca="1">Proc[[#This Row],[Requested]]=Proc[[#This Row],[CurrentParent]]</f>
        <v>1</v>
      </c>
      <c r="K1862" s="94" t="str">
        <f ca="1"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138" t="str">
        <f ca="1"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 ca="1">IF(Proc[[#This Row],[type]]="LFF (MDG-F)",MID(Proc[[#This Row],[Obj]],13,10),"")</f>
        <v/>
      </c>
      <c r="J1863" s="94" t="b">
        <f ca="1">Proc[[#This Row],[Requested]]=Proc[[#This Row],[CurrentParent]]</f>
        <v>1</v>
      </c>
      <c r="K1863" s="94" t="str">
        <f ca="1"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138" t="str">
        <f ca="1"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 ca="1">IF(Proc[[#This Row],[type]]="LFF (MDG-F)",MID(Proc[[#This Row],[Obj]],13,10),"")</f>
        <v/>
      </c>
      <c r="J1864" s="94" t="b">
        <f ca="1">Proc[[#This Row],[Requested]]=Proc[[#This Row],[CurrentParent]]</f>
        <v>1</v>
      </c>
      <c r="K1864" s="94" t="str">
        <f ca="1"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138" t="str">
        <f ca="1"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 ca="1">IF(Proc[[#This Row],[type]]="LFF (MDG-F)",MID(Proc[[#This Row],[Obj]],13,10),"")</f>
        <v/>
      </c>
      <c r="J1865" s="94" t="b">
        <f ca="1">Proc[[#This Row],[Requested]]=Proc[[#This Row],[CurrentParent]]</f>
        <v>1</v>
      </c>
      <c r="K1865" s="94" t="str">
        <f ca="1"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138" t="str">
        <f ca="1"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 ca="1">IF(Proc[[#This Row],[type]]="LFF (MDG-F)",MID(Proc[[#This Row],[Obj]],13,10),"")</f>
        <v/>
      </c>
      <c r="J1866" s="94" t="b">
        <f ca="1">Proc[[#This Row],[Requested]]=Proc[[#This Row],[CurrentParent]]</f>
        <v>1</v>
      </c>
      <c r="K1866" s="94" t="str">
        <f ca="1"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138" t="str">
        <f ca="1"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 ca="1">IF(Proc[[#This Row],[type]]="LFF (MDG-F)",MID(Proc[[#This Row],[Obj]],13,10),"")</f>
        <v/>
      </c>
      <c r="J1867" s="94" t="b">
        <f ca="1">Proc[[#This Row],[Requested]]=Proc[[#This Row],[CurrentParent]]</f>
        <v>1</v>
      </c>
      <c r="K1867" s="94" t="str">
        <f ca="1"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138" t="str">
        <f ca="1"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 ca="1">IF(Proc[[#This Row],[type]]="LFF (MDG-F)",MID(Proc[[#This Row],[Obj]],13,10),"")</f>
        <v/>
      </c>
      <c r="J1868" s="94" t="b">
        <f ca="1">Proc[[#This Row],[Requested]]=Proc[[#This Row],[CurrentParent]]</f>
        <v>1</v>
      </c>
      <c r="K1868" s="94" t="str">
        <f ca="1"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138" t="str">
        <f ca="1"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 ca="1">IF(Proc[[#This Row],[type]]="LFF (MDG-F)",MID(Proc[[#This Row],[Obj]],13,10),"")</f>
        <v/>
      </c>
      <c r="J1869" s="94" t="b">
        <f ca="1">Proc[[#This Row],[Requested]]=Proc[[#This Row],[CurrentParent]]</f>
        <v>1</v>
      </c>
      <c r="K1869" s="94" t="str">
        <f ca="1"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138" t="str">
        <f ca="1"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 ca="1">IF(Proc[[#This Row],[type]]="LFF (MDG-F)",MID(Proc[[#This Row],[Obj]],13,10),"")</f>
        <v/>
      </c>
      <c r="J1870" s="94" t="b">
        <f ca="1">Proc[[#This Row],[Requested]]=Proc[[#This Row],[CurrentParent]]</f>
        <v>1</v>
      </c>
      <c r="K1870" s="94" t="str">
        <f ca="1"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138" t="str">
        <f ca="1"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 ca="1">IF(Proc[[#This Row],[type]]="LFF (MDG-F)",MID(Proc[[#This Row],[Obj]],13,10),"")</f>
        <v/>
      </c>
      <c r="J1871" s="94" t="b">
        <f ca="1">Proc[[#This Row],[Requested]]=Proc[[#This Row],[CurrentParent]]</f>
        <v>1</v>
      </c>
      <c r="K1871" s="94" t="str">
        <f ca="1"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138" t="str">
        <f ca="1"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 ca="1">IF(Proc[[#This Row],[type]]="LFF (MDG-F)",MID(Proc[[#This Row],[Obj]],13,10),"")</f>
        <v/>
      </c>
      <c r="J1872" s="94" t="b">
        <f ca="1">Proc[[#This Row],[Requested]]=Proc[[#This Row],[CurrentParent]]</f>
        <v>1</v>
      </c>
      <c r="K1872" s="94" t="str">
        <f ca="1"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138" t="str">
        <f ca="1"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 ca="1">IF(Proc[[#This Row],[type]]="LFF (MDG-F)",MID(Proc[[#This Row],[Obj]],13,10),"")</f>
        <v/>
      </c>
      <c r="J1873" s="94" t="b">
        <f ca="1">Proc[[#This Row],[Requested]]=Proc[[#This Row],[CurrentParent]]</f>
        <v>1</v>
      </c>
      <c r="K1873" s="94" t="str">
        <f ca="1"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138" t="str">
        <f ca="1"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 ca="1">IF(Proc[[#This Row],[type]]="LFF (MDG-F)",MID(Proc[[#This Row],[Obj]],13,10),"")</f>
        <v/>
      </c>
      <c r="I1874" t="s">
        <v>4071</v>
      </c>
      <c r="J1874" s="94" t="b">
        <f ca="1">Proc[[#This Row],[Requested]]=Proc[[#This Row],[CurrentParent]]</f>
        <v>1</v>
      </c>
      <c r="K1874" s="94" t="str">
        <f ca="1"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 ca="1">VLOOKUP(Proc[[#This Row],[Obj]],#REF!,2,0)</f>
        <v>#REF!</v>
      </c>
    </row>
    <row r="1875" spans="1:19" hidden="1">
      <c r="A1875" s="93" t="s">
        <v>3641</v>
      </c>
      <c r="B1875" s="138" t="str">
        <f ca="1"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 ca="1">IF(Proc[[#This Row],[type]]="LFF (MDG-F)",MID(Proc[[#This Row],[Obj]],13,10),"")</f>
        <v/>
      </c>
      <c r="J1875" s="94" t="b">
        <f ca="1">Proc[[#This Row],[Requested]]=Proc[[#This Row],[CurrentParent]]</f>
        <v>1</v>
      </c>
      <c r="K1875" s="94" t="str">
        <f ca="1"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138" t="str">
        <f ca="1"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 ca="1">IF(Proc[[#This Row],[type]]="LFF (MDG-F)",MID(Proc[[#This Row],[Obj]],13,10),"")</f>
        <v/>
      </c>
      <c r="J1876" s="94" t="b">
        <f ca="1">Proc[[#This Row],[Requested]]=Proc[[#This Row],[CurrentParent]]</f>
        <v>1</v>
      </c>
      <c r="K1876" s="94" t="str">
        <f ca="1"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138" t="str">
        <f ca="1"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 ca="1">IF(Proc[[#This Row],[type]]="LFF (MDG-F)",MID(Proc[[#This Row],[Obj]],13,10),"")</f>
        <v/>
      </c>
      <c r="J1877" s="94" t="b">
        <f ca="1">Proc[[#This Row],[Requested]]=Proc[[#This Row],[CurrentParent]]</f>
        <v>1</v>
      </c>
      <c r="K1877" s="94" t="str">
        <f ca="1"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138" t="str">
        <f ca="1"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 ca="1">IF(Proc[[#This Row],[type]]="LFF (MDG-F)",MID(Proc[[#This Row],[Obj]],13,10),"")</f>
        <v/>
      </c>
      <c r="J1878" s="94" t="b">
        <f ca="1">Proc[[#This Row],[Requested]]=Proc[[#This Row],[CurrentParent]]</f>
        <v>1</v>
      </c>
      <c r="K1878" s="94" t="str">
        <f ca="1"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138" t="str">
        <f ca="1"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 ca="1">IF(Proc[[#This Row],[type]]="LFF (MDG-F)",MID(Proc[[#This Row],[Obj]],13,10),"")</f>
        <v/>
      </c>
      <c r="J1879" s="94" t="b">
        <f ca="1">Proc[[#This Row],[Requested]]=Proc[[#This Row],[CurrentParent]]</f>
        <v>1</v>
      </c>
      <c r="K1879" s="94" t="str">
        <f ca="1"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138" t="str">
        <f ca="1"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 ca="1">IF(Proc[[#This Row],[type]]="LFF (MDG-F)",MID(Proc[[#This Row],[Obj]],13,10),"")</f>
        <v/>
      </c>
      <c r="J1880" s="94" t="b">
        <f ca="1">Proc[[#This Row],[Requested]]=Proc[[#This Row],[CurrentParent]]</f>
        <v>1</v>
      </c>
      <c r="K1880" s="94" t="str">
        <f ca="1"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138" t="str">
        <f ca="1"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 ca="1">IF(Proc[[#This Row],[type]]="LFF (MDG-F)",MID(Proc[[#This Row],[Obj]],13,10),"")</f>
        <v/>
      </c>
      <c r="J1881" s="94" t="b">
        <f ca="1">Proc[[#This Row],[Requested]]=Proc[[#This Row],[CurrentParent]]</f>
        <v>1</v>
      </c>
      <c r="K1881" s="94" t="str">
        <f ca="1"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138" t="str">
        <f ca="1"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 ca="1">IF(Proc[[#This Row],[type]]="LFF (MDG-F)",MID(Proc[[#This Row],[Obj]],13,10),"")</f>
        <v/>
      </c>
      <c r="J1882" s="94" t="b">
        <f ca="1">Proc[[#This Row],[Requested]]=Proc[[#This Row],[CurrentParent]]</f>
        <v>1</v>
      </c>
      <c r="K1882" s="94" t="str">
        <f ca="1"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138" t="str">
        <f ca="1"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 ca="1">IF(Proc[[#This Row],[type]]="LFF (MDG-F)",MID(Proc[[#This Row],[Obj]],13,10),"")</f>
        <v/>
      </c>
      <c r="J1883" s="94" t="b">
        <f ca="1">Proc[[#This Row],[Requested]]=Proc[[#This Row],[CurrentParent]]</f>
        <v>1</v>
      </c>
      <c r="K1883" s="94" t="str">
        <f ca="1"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138" t="str">
        <f ca="1"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 ca="1">IF(Proc[[#This Row],[type]]="LFF (MDG-F)",MID(Proc[[#This Row],[Obj]],13,10),"")</f>
        <v/>
      </c>
      <c r="J1884" s="94" t="b">
        <f ca="1">Proc[[#This Row],[Requested]]=Proc[[#This Row],[CurrentParent]]</f>
        <v>1</v>
      </c>
      <c r="K1884" s="94" t="str">
        <f ca="1"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138" t="str">
        <f ca="1"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 ca="1">IF(Proc[[#This Row],[type]]="LFF (MDG-F)",MID(Proc[[#This Row],[Obj]],13,10),"")</f>
        <v/>
      </c>
      <c r="J1885" s="94" t="b">
        <f ca="1">Proc[[#This Row],[Requested]]=Proc[[#This Row],[CurrentParent]]</f>
        <v>1</v>
      </c>
      <c r="K1885" s="94" t="str">
        <f ca="1"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138" t="str">
        <f ca="1"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 ca="1">IF(Proc[[#This Row],[type]]="LFF (MDG-F)",MID(Proc[[#This Row],[Obj]],13,10),"")</f>
        <v/>
      </c>
      <c r="J1886" s="94" t="b">
        <f ca="1">Proc[[#This Row],[Requested]]=Proc[[#This Row],[CurrentParent]]</f>
        <v>1</v>
      </c>
      <c r="K1886" s="94" t="str">
        <f ca="1"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138" t="str">
        <f ca="1"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 ca="1">IF(Proc[[#This Row],[type]]="LFF (MDG-F)",MID(Proc[[#This Row],[Obj]],13,10),"")</f>
        <v/>
      </c>
      <c r="J1887" s="94" t="b">
        <f ca="1">Proc[[#This Row],[Requested]]=Proc[[#This Row],[CurrentParent]]</f>
        <v>1</v>
      </c>
      <c r="K1887" s="94" t="str">
        <f ca="1"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138" t="str">
        <f ca="1"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 ca="1">IF(Proc[[#This Row],[type]]="LFF (MDG-F)",MID(Proc[[#This Row],[Obj]],13,10),"")</f>
        <v/>
      </c>
      <c r="J1888" s="94" t="b">
        <f ca="1">Proc[[#This Row],[Requested]]=Proc[[#This Row],[CurrentParent]]</f>
        <v>1</v>
      </c>
      <c r="K1888" s="94" t="str">
        <f ca="1"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138" t="str">
        <f ca="1"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 ca="1">IF(Proc[[#This Row],[type]]="LFF (MDG-F)",MID(Proc[[#This Row],[Obj]],13,10),"")</f>
        <v/>
      </c>
      <c r="J1889" s="94" t="b">
        <f ca="1">Proc[[#This Row],[Requested]]=Proc[[#This Row],[CurrentParent]]</f>
        <v>1</v>
      </c>
      <c r="K1889" s="94" t="str">
        <f ca="1"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138" t="str">
        <f ca="1"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 ca="1">IF(Proc[[#This Row],[type]]="LFF (MDG-F)",MID(Proc[[#This Row],[Obj]],13,10),"")</f>
        <v/>
      </c>
      <c r="J1890" s="94" t="b">
        <f ca="1">Proc[[#This Row],[Requested]]=Proc[[#This Row],[CurrentParent]]</f>
        <v>1</v>
      </c>
      <c r="K1890" s="94" t="str">
        <f ca="1"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138" t="str">
        <f ca="1"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 ca="1">IF(Proc[[#This Row],[type]]="LFF (MDG-F)",MID(Proc[[#This Row],[Obj]],13,10),"")</f>
        <v/>
      </c>
      <c r="J1891" s="94" t="b">
        <f ca="1">Proc[[#This Row],[Requested]]=Proc[[#This Row],[CurrentParent]]</f>
        <v>1</v>
      </c>
      <c r="K1891" s="94" t="str">
        <f ca="1"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138" t="str">
        <f ca="1"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 ca="1">IF(Proc[[#This Row],[type]]="LFF (MDG-F)",MID(Proc[[#This Row],[Obj]],13,10),"")</f>
        <v/>
      </c>
      <c r="J1892" s="94" t="b">
        <f ca="1">Proc[[#This Row],[Requested]]=Proc[[#This Row],[CurrentParent]]</f>
        <v>1</v>
      </c>
      <c r="K1892" s="94" t="str">
        <f ca="1"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138" t="str">
        <f ca="1"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 ca="1">IF(Proc[[#This Row],[type]]="LFF (MDG-F)",MID(Proc[[#This Row],[Obj]],13,10),"")</f>
        <v/>
      </c>
      <c r="J1893" s="94" t="b">
        <f ca="1">Proc[[#This Row],[Requested]]=Proc[[#This Row],[CurrentParent]]</f>
        <v>1</v>
      </c>
      <c r="K1893" s="94" t="str">
        <f ca="1"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138" t="str">
        <f ca="1"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 ca="1">IF(Proc[[#This Row],[type]]="LFF (MDG-F)",MID(Proc[[#This Row],[Obj]],13,10),"")</f>
        <v/>
      </c>
      <c r="J1894" s="94" t="b">
        <f ca="1">Proc[[#This Row],[Requested]]=Proc[[#This Row],[CurrentParent]]</f>
        <v>1</v>
      </c>
      <c r="K1894" s="94" t="str">
        <f ca="1"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138" t="str">
        <f ca="1"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 ca="1">IF(Proc[[#This Row],[type]]="LFF (MDG-F)",MID(Proc[[#This Row],[Obj]],13,10),"")</f>
        <v/>
      </c>
      <c r="J1895" s="94" t="b">
        <f ca="1">Proc[[#This Row],[Requested]]=Proc[[#This Row],[CurrentParent]]</f>
        <v>1</v>
      </c>
      <c r="K1895" s="94" t="str">
        <f ca="1"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138" t="str">
        <f ca="1"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 ca="1">IF(Proc[[#This Row],[type]]="LFF (MDG-F)",MID(Proc[[#This Row],[Obj]],13,10),"")</f>
        <v/>
      </c>
      <c r="J1896" s="94" t="b">
        <f ca="1">Proc[[#This Row],[Requested]]=Proc[[#This Row],[CurrentParent]]</f>
        <v>1</v>
      </c>
      <c r="K1896" s="94" t="str">
        <f ca="1"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138" t="str">
        <f ca="1"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 ca="1">IF(Proc[[#This Row],[type]]="LFF (MDG-F)",MID(Proc[[#This Row],[Obj]],13,10),"")</f>
        <v/>
      </c>
      <c r="J1897" s="94" t="b">
        <f ca="1">Proc[[#This Row],[Requested]]=Proc[[#This Row],[CurrentParent]]</f>
        <v>1</v>
      </c>
      <c r="K1897" s="94" t="str">
        <f ca="1"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138" t="str">
        <f ca="1"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 ca="1">IF(Proc[[#This Row],[type]]="LFF (MDG-F)",MID(Proc[[#This Row],[Obj]],13,10),"")</f>
        <v/>
      </c>
      <c r="J1898" s="94" t="b">
        <f ca="1">Proc[[#This Row],[Requested]]=Proc[[#This Row],[CurrentParent]]</f>
        <v>1</v>
      </c>
      <c r="K1898" s="94" t="str">
        <f ca="1"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138" t="str">
        <f ca="1"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 ca="1">IF(Proc[[#This Row],[type]]="LFF (MDG-F)",MID(Proc[[#This Row],[Obj]],13,10),"")</f>
        <v/>
      </c>
      <c r="J1899" s="94" t="b">
        <f ca="1">Proc[[#This Row],[Requested]]=Proc[[#This Row],[CurrentParent]]</f>
        <v>1</v>
      </c>
      <c r="K1899" s="94" t="str">
        <f ca="1"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138" t="str">
        <f ca="1"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 ca="1">IF(Proc[[#This Row],[type]]="LFF (MDG-F)",MID(Proc[[#This Row],[Obj]],13,10),"")</f>
        <v/>
      </c>
      <c r="J1900" s="94" t="b">
        <f ca="1">Proc[[#This Row],[Requested]]=Proc[[#This Row],[CurrentParent]]</f>
        <v>1</v>
      </c>
      <c r="K1900" s="94" t="str">
        <f ca="1"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138" t="str">
        <f ca="1"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 ca="1">IF(Proc[[#This Row],[type]]="LFF (MDG-F)",MID(Proc[[#This Row],[Obj]],13,10),"")</f>
        <v/>
      </c>
      <c r="J1901" s="94" t="b">
        <f ca="1">Proc[[#This Row],[Requested]]=Proc[[#This Row],[CurrentParent]]</f>
        <v>1</v>
      </c>
      <c r="K1901" s="94" t="str">
        <f ca="1"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138" t="str">
        <f ca="1"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 ca="1">IF(Proc[[#This Row],[type]]="LFF (MDG-F)",MID(Proc[[#This Row],[Obj]],13,10),"")</f>
        <v/>
      </c>
      <c r="J1902" s="94" t="b">
        <f ca="1">Proc[[#This Row],[Requested]]=Proc[[#This Row],[CurrentParent]]</f>
        <v>1</v>
      </c>
      <c r="K1902" s="94" t="str">
        <f ca="1"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138" t="str">
        <f ca="1"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 ca="1">IF(Proc[[#This Row],[type]]="LFF (MDG-F)",MID(Proc[[#This Row],[Obj]],13,10),"")</f>
        <v/>
      </c>
      <c r="J1903" s="94" t="b">
        <f ca="1">Proc[[#This Row],[Requested]]=Proc[[#This Row],[CurrentParent]]</f>
        <v>1</v>
      </c>
      <c r="K1903" s="94" t="str">
        <f ca="1"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138" t="str">
        <f ca="1"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 ca="1">IF(Proc[[#This Row],[type]]="LFF (MDG-F)",MID(Proc[[#This Row],[Obj]],13,10),"")</f>
        <v/>
      </c>
      <c r="J1904" s="94" t="b">
        <f ca="1">Proc[[#This Row],[Requested]]=Proc[[#This Row],[CurrentParent]]</f>
        <v>1</v>
      </c>
      <c r="K1904" s="94" t="str">
        <f ca="1"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138" t="str">
        <f ca="1"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 ca="1">IF(Proc[[#This Row],[type]]="LFF (MDG-F)",MID(Proc[[#This Row],[Obj]],13,10),"")</f>
        <v/>
      </c>
      <c r="J1905" s="94" t="b">
        <f ca="1">Proc[[#This Row],[Requested]]=Proc[[#This Row],[CurrentParent]]</f>
        <v>1</v>
      </c>
      <c r="K1905" s="94" t="str">
        <f ca="1"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138" t="str">
        <f ca="1"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 ca="1">IF(Proc[[#This Row],[type]]="LFF (MDG-F)",MID(Proc[[#This Row],[Obj]],13,10),"")</f>
        <v/>
      </c>
      <c r="J1906" s="94" t="b">
        <f ca="1">Proc[[#This Row],[Requested]]=Proc[[#This Row],[CurrentParent]]</f>
        <v>1</v>
      </c>
      <c r="K1906" s="94" t="str">
        <f ca="1"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138" t="str">
        <f ca="1"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 ca="1">IF(Proc[[#This Row],[type]]="LFF (MDG-F)",MID(Proc[[#This Row],[Obj]],13,10),"")</f>
        <v/>
      </c>
      <c r="J1907" s="94" t="b">
        <f ca="1">Proc[[#This Row],[Requested]]=Proc[[#This Row],[CurrentParent]]</f>
        <v>1</v>
      </c>
      <c r="K1907" s="94" t="str">
        <f ca="1"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138" t="str">
        <f ca="1"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 ca="1">IF(Proc[[#This Row],[type]]="LFF (MDG-F)",MID(Proc[[#This Row],[Obj]],13,10),"")</f>
        <v/>
      </c>
      <c r="J1908" s="94" t="b">
        <f ca="1">Proc[[#This Row],[Requested]]=Proc[[#This Row],[CurrentParent]]</f>
        <v>1</v>
      </c>
      <c r="K1908" s="94" t="str">
        <f ca="1"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138" t="str">
        <f ca="1"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 ca="1">IF(Proc[[#This Row],[type]]="LFF (MDG-F)",MID(Proc[[#This Row],[Obj]],13,10),"")</f>
        <v/>
      </c>
      <c r="J1909" s="94" t="b">
        <f ca="1">Proc[[#This Row],[Requested]]=Proc[[#This Row],[CurrentParent]]</f>
        <v>1</v>
      </c>
      <c r="K1909" s="94" t="str">
        <f ca="1"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138" t="str">
        <f ca="1"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 ca="1">IF(Proc[[#This Row],[type]]="LFF (MDG-F)",MID(Proc[[#This Row],[Obj]],13,10),"")</f>
        <v/>
      </c>
      <c r="J1910" s="94" t="b">
        <f ca="1">Proc[[#This Row],[Requested]]=Proc[[#This Row],[CurrentParent]]</f>
        <v>1</v>
      </c>
      <c r="K1910" s="94" t="str">
        <f ca="1"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138" t="str">
        <f ca="1"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 ca="1">IF(Proc[[#This Row],[type]]="LFF (MDG-F)",MID(Proc[[#This Row],[Obj]],13,10),"")</f>
        <v/>
      </c>
      <c r="J1911" s="94" t="b">
        <f ca="1">Proc[[#This Row],[Requested]]=Proc[[#This Row],[CurrentParent]]</f>
        <v>1</v>
      </c>
      <c r="K1911" s="94" t="str">
        <f ca="1"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138" t="str">
        <f ca="1"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 ca="1">IF(Proc[[#This Row],[type]]="LFF (MDG-F)",MID(Proc[[#This Row],[Obj]],13,10),"")</f>
        <v/>
      </c>
      <c r="I1912" t="s">
        <v>4074</v>
      </c>
      <c r="J1912" s="94" t="b">
        <f ca="1">Proc[[#This Row],[Requested]]=Proc[[#This Row],[CurrentParent]]</f>
        <v>1</v>
      </c>
      <c r="K1912" s="94" t="str">
        <f ca="1"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 ca="1">VLOOKUP(Proc[[#This Row],[Obj]],#REF!,2,0)</f>
        <v>#REF!</v>
      </c>
    </row>
    <row r="1913" spans="1:19" hidden="1">
      <c r="A1913" s="93" t="s">
        <v>3748</v>
      </c>
      <c r="B1913" s="138" t="str">
        <f ca="1"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 ca="1">IF(Proc[[#This Row],[type]]="LFF (MDG-F)",MID(Proc[[#This Row],[Obj]],13,10),"")</f>
        <v/>
      </c>
      <c r="J1913" s="94" t="b">
        <f ca="1">Proc[[#This Row],[Requested]]=Proc[[#This Row],[CurrentParent]]</f>
        <v>1</v>
      </c>
      <c r="K1913" s="94" t="str">
        <f ca="1"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138" t="str">
        <f ca="1"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 ca="1">IF(Proc[[#This Row],[type]]="LFF (MDG-F)",MID(Proc[[#This Row],[Obj]],13,10),"")</f>
        <v/>
      </c>
      <c r="J1914" s="94" t="b">
        <f ca="1">Proc[[#This Row],[Requested]]=Proc[[#This Row],[CurrentParent]]</f>
        <v>1</v>
      </c>
      <c r="K1914" s="94" t="str">
        <f ca="1"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138" t="str">
        <f ca="1"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 ca="1">IF(Proc[[#This Row],[type]]="LFF (MDG-F)",MID(Proc[[#This Row],[Obj]],13,10),"")</f>
        <v/>
      </c>
      <c r="J1915" s="94" t="b">
        <f ca="1">Proc[[#This Row],[Requested]]=Proc[[#This Row],[CurrentParent]]</f>
        <v>1</v>
      </c>
      <c r="K1915" s="94" t="str">
        <f ca="1"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138" t="str">
        <f ca="1"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 ca="1">IF(Proc[[#This Row],[type]]="LFF (MDG-F)",MID(Proc[[#This Row],[Obj]],13,10),"")</f>
        <v/>
      </c>
      <c r="J1916" s="94" t="b">
        <f ca="1">Proc[[#This Row],[Requested]]=Proc[[#This Row],[CurrentParent]]</f>
        <v>1</v>
      </c>
      <c r="K1916" s="94" t="str">
        <f ca="1"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138" t="str">
        <f ca="1"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 ca="1">IF(Proc[[#This Row],[type]]="LFF (MDG-F)",MID(Proc[[#This Row],[Obj]],13,10),"")</f>
        <v/>
      </c>
      <c r="J1917" s="94" t="b">
        <f ca="1">Proc[[#This Row],[Requested]]=Proc[[#This Row],[CurrentParent]]</f>
        <v>1</v>
      </c>
      <c r="K1917" s="94" t="str">
        <f ca="1"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138" t="str">
        <f ca="1"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 ca="1">IF(Proc[[#This Row],[type]]="LFF (MDG-F)",MID(Proc[[#This Row],[Obj]],13,10),"")</f>
        <v/>
      </c>
      <c r="J1918" s="94" t="b">
        <f ca="1">Proc[[#This Row],[Requested]]=Proc[[#This Row],[CurrentParent]]</f>
        <v>1</v>
      </c>
      <c r="K1918" s="94" t="str">
        <f ca="1"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138" t="str">
        <f ca="1"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 ca="1">IF(Proc[[#This Row],[type]]="LFF (MDG-F)",MID(Proc[[#This Row],[Obj]],13,10),"")</f>
        <v/>
      </c>
      <c r="J1919" s="94" t="b">
        <f ca="1">Proc[[#This Row],[Requested]]=Proc[[#This Row],[CurrentParent]]</f>
        <v>1</v>
      </c>
      <c r="K1919" s="94" t="str">
        <f ca="1"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138" t="str">
        <f ca="1"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 ca="1">IF(Proc[[#This Row],[type]]="LFF (MDG-F)",MID(Proc[[#This Row],[Obj]],13,10),"")</f>
        <v/>
      </c>
      <c r="J1920" s="94" t="b">
        <f ca="1">Proc[[#This Row],[Requested]]=Proc[[#This Row],[CurrentParent]]</f>
        <v>1</v>
      </c>
      <c r="K1920" s="94" t="str">
        <f ca="1"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138" t="str">
        <f ca="1"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 ca="1">IF(Proc[[#This Row],[type]]="LFF (MDG-F)",MID(Proc[[#This Row],[Obj]],13,10),"")</f>
        <v/>
      </c>
      <c r="J1921" s="94" t="b">
        <f ca="1">Proc[[#This Row],[Requested]]=Proc[[#This Row],[CurrentParent]]</f>
        <v>1</v>
      </c>
      <c r="K1921" s="94" t="str">
        <f ca="1"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138" t="str">
        <f ca="1"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 ca="1">IF(Proc[[#This Row],[type]]="LFF (MDG-F)",MID(Proc[[#This Row],[Obj]],13,10),"")</f>
        <v/>
      </c>
      <c r="J1922" s="94" t="b">
        <f ca="1">Proc[[#This Row],[Requested]]=Proc[[#This Row],[CurrentParent]]</f>
        <v>1</v>
      </c>
      <c r="K1922" s="94" t="str">
        <f ca="1"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138" t="str">
        <f ca="1"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 ca="1">IF(Proc[[#This Row],[type]]="LFF (MDG-F)",MID(Proc[[#This Row],[Obj]],13,10),"")</f>
        <v/>
      </c>
      <c r="J1923" s="94" t="b">
        <f ca="1">Proc[[#This Row],[Requested]]=Proc[[#This Row],[CurrentParent]]</f>
        <v>1</v>
      </c>
      <c r="K1923" s="94" t="str">
        <f ca="1"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138" t="str">
        <f ca="1"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 ca="1">IF(Proc[[#This Row],[type]]="LFF (MDG-F)",MID(Proc[[#This Row],[Obj]],13,10),"")</f>
        <v/>
      </c>
      <c r="J1924" s="94" t="b">
        <f ca="1">Proc[[#This Row],[Requested]]=Proc[[#This Row],[CurrentParent]]</f>
        <v>1</v>
      </c>
      <c r="K1924" s="94" t="str">
        <f ca="1"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138" t="str">
        <f ca="1"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 ca="1">IF(Proc[[#This Row],[type]]="LFF (MDG-F)",MID(Proc[[#This Row],[Obj]],13,10),"")</f>
        <v/>
      </c>
      <c r="J1925" s="94" t="b">
        <f ca="1">Proc[[#This Row],[Requested]]=Proc[[#This Row],[CurrentParent]]</f>
        <v>1</v>
      </c>
      <c r="K1925" s="94" t="str">
        <f ca="1"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138" t="str">
        <f ca="1"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 ca="1">IF(Proc[[#This Row],[type]]="LFF (MDG-F)",MID(Proc[[#This Row],[Obj]],13,10),"")</f>
        <v/>
      </c>
      <c r="J1926" s="94" t="b">
        <f ca="1">Proc[[#This Row],[Requested]]=Proc[[#This Row],[CurrentParent]]</f>
        <v>1</v>
      </c>
      <c r="K1926" s="94" t="str">
        <f ca="1"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138" t="str">
        <f ca="1"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 ca="1">IF(Proc[[#This Row],[type]]="LFF (MDG-F)",MID(Proc[[#This Row],[Obj]],13,10),"")</f>
        <v/>
      </c>
      <c r="J1927" s="94" t="b">
        <f ca="1">Proc[[#This Row],[Requested]]=Proc[[#This Row],[CurrentParent]]</f>
        <v>1</v>
      </c>
      <c r="K1927" s="94" t="str">
        <f ca="1"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138" t="str">
        <f ca="1"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 ca="1">IF(Proc[[#This Row],[type]]="LFF (MDG-F)",MID(Proc[[#This Row],[Obj]],13,10),"")</f>
        <v/>
      </c>
      <c r="J1928" s="94" t="b">
        <f ca="1">Proc[[#This Row],[Requested]]=Proc[[#This Row],[CurrentParent]]</f>
        <v>1</v>
      </c>
      <c r="K1928" s="94" t="str">
        <f ca="1"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138" t="str">
        <f ca="1"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 ca="1">IF(Proc[[#This Row],[type]]="LFF (MDG-F)",MID(Proc[[#This Row],[Obj]],13,10),"")</f>
        <v/>
      </c>
      <c r="J1929" s="94" t="b">
        <f ca="1">Proc[[#This Row],[Requested]]=Proc[[#This Row],[CurrentParent]]</f>
        <v>1</v>
      </c>
      <c r="K1929" s="94" t="str">
        <f ca="1"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138" t="str">
        <f ca="1"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 ca="1">IF(Proc[[#This Row],[type]]="LFF (MDG-F)",MID(Proc[[#This Row],[Obj]],13,10),"")</f>
        <v/>
      </c>
      <c r="J1930" s="94" t="b">
        <f ca="1">Proc[[#This Row],[Requested]]=Proc[[#This Row],[CurrentParent]]</f>
        <v>1</v>
      </c>
      <c r="K1930" s="94" t="str">
        <f ca="1"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138" t="str">
        <f ca="1"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 ca="1">IF(Proc[[#This Row],[type]]="LFF (MDG-F)",MID(Proc[[#This Row],[Obj]],13,10),"")</f>
        <v/>
      </c>
      <c r="J1931" s="94" t="b">
        <f ca="1">Proc[[#This Row],[Requested]]=Proc[[#This Row],[CurrentParent]]</f>
        <v>1</v>
      </c>
      <c r="K1931" s="94" t="str">
        <f ca="1"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138" t="str">
        <f ca="1"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 ca="1">IF(Proc[[#This Row],[type]]="LFF (MDG-F)",MID(Proc[[#This Row],[Obj]],13,10),"")</f>
        <v/>
      </c>
      <c r="J1932" s="94" t="b">
        <f ca="1">Proc[[#This Row],[Requested]]=Proc[[#This Row],[CurrentParent]]</f>
        <v>1</v>
      </c>
      <c r="K1932" s="94" t="str">
        <f ca="1"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138" t="str">
        <f ca="1"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 ca="1">IF(Proc[[#This Row],[type]]="LFF (MDG-F)",MID(Proc[[#This Row],[Obj]],13,10),"")</f>
        <v/>
      </c>
      <c r="J1933" s="94" t="b">
        <f ca="1">Proc[[#This Row],[Requested]]=Proc[[#This Row],[CurrentParent]]</f>
        <v>1</v>
      </c>
      <c r="K1933" s="94" t="str">
        <f ca="1"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138" t="str">
        <f ca="1"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 ca="1">IF(Proc[[#This Row],[type]]="LFF (MDG-F)",MID(Proc[[#This Row],[Obj]],13,10),"")</f>
        <v/>
      </c>
      <c r="J1934" s="94" t="b">
        <f ca="1">Proc[[#This Row],[Requested]]=Proc[[#This Row],[CurrentParent]]</f>
        <v>1</v>
      </c>
      <c r="K1934" s="94" t="str">
        <f ca="1"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138" t="str">
        <f ca="1"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 ca="1">IF(Proc[[#This Row],[type]]="LFF (MDG-F)",MID(Proc[[#This Row],[Obj]],13,10),"")</f>
        <v/>
      </c>
      <c r="J1935" s="94" t="b">
        <f ca="1">Proc[[#This Row],[Requested]]=Proc[[#This Row],[CurrentParent]]</f>
        <v>1</v>
      </c>
      <c r="K1935" s="94" t="str">
        <f ca="1"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138" t="str">
        <f ca="1"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 ca="1">IF(Proc[[#This Row],[type]]="LFF (MDG-F)",MID(Proc[[#This Row],[Obj]],13,10),"")</f>
        <v/>
      </c>
      <c r="J1936" s="94" t="b">
        <f ca="1">Proc[[#This Row],[Requested]]=Proc[[#This Row],[CurrentParent]]</f>
        <v>1</v>
      </c>
      <c r="K1936" s="94" t="str">
        <f ca="1"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138" t="str">
        <f ca="1"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 ca="1">IF(Proc[[#This Row],[type]]="LFF (MDG-F)",MID(Proc[[#This Row],[Obj]],13,10),"")</f>
        <v/>
      </c>
      <c r="J1937" s="94" t="b">
        <f ca="1">Proc[[#This Row],[Requested]]=Proc[[#This Row],[CurrentParent]]</f>
        <v>1</v>
      </c>
      <c r="K1937" s="94" t="str">
        <f ca="1"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138" t="str">
        <f ca="1"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 ca="1">IF(Proc[[#This Row],[type]]="LFF (MDG-F)",MID(Proc[[#This Row],[Obj]],13,10),"")</f>
        <v/>
      </c>
      <c r="J1938" s="94" t="b">
        <f ca="1">Proc[[#This Row],[Requested]]=Proc[[#This Row],[CurrentParent]]</f>
        <v>1</v>
      </c>
      <c r="K1938" s="94" t="str">
        <f ca="1"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138" t="str">
        <f ca="1"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 ca="1">IF(Proc[[#This Row],[type]]="LFF (MDG-F)",MID(Proc[[#This Row],[Obj]],13,10),"")</f>
        <v/>
      </c>
      <c r="J1939" s="94" t="b">
        <f ca="1">Proc[[#This Row],[Requested]]=Proc[[#This Row],[CurrentParent]]</f>
        <v>1</v>
      </c>
      <c r="K1939" s="94" t="str">
        <f ca="1"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138" t="str">
        <f ca="1"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 ca="1">IF(Proc[[#This Row],[type]]="LFF (MDG-F)",MID(Proc[[#This Row],[Obj]],13,10),"")</f>
        <v/>
      </c>
      <c r="J1940" s="94" t="b">
        <f ca="1">Proc[[#This Row],[Requested]]=Proc[[#This Row],[CurrentParent]]</f>
        <v>1</v>
      </c>
      <c r="K1940" s="94" t="str">
        <f ca="1"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138" t="str">
        <f ca="1"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 ca="1">IF(Proc[[#This Row],[type]]="LFF (MDG-F)",MID(Proc[[#This Row],[Obj]],13,10),"")</f>
        <v/>
      </c>
      <c r="J1941" s="94" t="b">
        <f ca="1">Proc[[#This Row],[Requested]]=Proc[[#This Row],[CurrentParent]]</f>
        <v>1</v>
      </c>
      <c r="K1941" s="94" t="str">
        <f ca="1"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138" t="str">
        <f ca="1"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 ca="1">IF(Proc[[#This Row],[type]]="LFF (MDG-F)",MID(Proc[[#This Row],[Obj]],13,10),"")</f>
        <v/>
      </c>
      <c r="J1942" s="94" t="b">
        <f ca="1">Proc[[#This Row],[Requested]]=Proc[[#This Row],[CurrentParent]]</f>
        <v>1</v>
      </c>
      <c r="K1942" s="94" t="str">
        <f ca="1"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138" t="str">
        <f ca="1"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 ca="1">IF(Proc[[#This Row],[type]]="LFF (MDG-F)",MID(Proc[[#This Row],[Obj]],13,10),"")</f>
        <v/>
      </c>
      <c r="J1943" s="94" t="b">
        <f ca="1">Proc[[#This Row],[Requested]]=Proc[[#This Row],[CurrentParent]]</f>
        <v>1</v>
      </c>
      <c r="K1943" s="94" t="str">
        <f ca="1"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138" t="str">
        <f ca="1"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 ca="1">IF(Proc[[#This Row],[type]]="LFF (MDG-F)",MID(Proc[[#This Row],[Obj]],13,10),"")</f>
        <v/>
      </c>
      <c r="J1944" s="94" t="b">
        <f ca="1">Proc[[#This Row],[Requested]]=Proc[[#This Row],[CurrentParent]]</f>
        <v>1</v>
      </c>
      <c r="K1944" s="94" t="str">
        <f ca="1"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138" t="str">
        <f ca="1"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 ca="1">IF(Proc[[#This Row],[type]]="LFF (MDG-F)",MID(Proc[[#This Row],[Obj]],13,10),"")</f>
        <v/>
      </c>
      <c r="J1945" s="94" t="b">
        <f ca="1">Proc[[#This Row],[Requested]]=Proc[[#This Row],[CurrentParent]]</f>
        <v>1</v>
      </c>
      <c r="K1945" s="94" t="str">
        <f ca="1"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138" t="str">
        <f ca="1"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 ca="1">IF(Proc[[#This Row],[type]]="LFF (MDG-F)",MID(Proc[[#This Row],[Obj]],13,10),"")</f>
        <v/>
      </c>
      <c r="J1946" s="94" t="b">
        <f ca="1">Proc[[#This Row],[Requested]]=Proc[[#This Row],[CurrentParent]]</f>
        <v>1</v>
      </c>
      <c r="K1946" s="94" t="str">
        <f ca="1"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138" t="str">
        <f ca="1"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 ca="1">IF(Proc[[#This Row],[type]]="LFF (MDG-F)",MID(Proc[[#This Row],[Obj]],13,10),"")</f>
        <v/>
      </c>
      <c r="J1947" s="94" t="b">
        <f ca="1">Proc[[#This Row],[Requested]]=Proc[[#This Row],[CurrentParent]]</f>
        <v>1</v>
      </c>
      <c r="K1947" s="94" t="str">
        <f ca="1"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138" t="str">
        <f ca="1"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 ca="1">IF(Proc[[#This Row],[type]]="LFF (MDG-F)",MID(Proc[[#This Row],[Obj]],13,10),"")</f>
        <v/>
      </c>
      <c r="J1948" s="94" t="b">
        <f ca="1">Proc[[#This Row],[Requested]]=Proc[[#This Row],[CurrentParent]]</f>
        <v>1</v>
      </c>
      <c r="K1948" s="94" t="str">
        <f ca="1"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138" t="str">
        <f ca="1"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 ca="1">IF(Proc[[#This Row],[type]]="LFF (MDG-F)",MID(Proc[[#This Row],[Obj]],13,10),"")</f>
        <v/>
      </c>
      <c r="J1949" s="94" t="b">
        <f ca="1">Proc[[#This Row],[Requested]]=Proc[[#This Row],[CurrentParent]]</f>
        <v>1</v>
      </c>
      <c r="K1949" s="94" t="str">
        <f ca="1"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138" t="str">
        <f ca="1"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 ca="1">IF(Proc[[#This Row],[type]]="LFF (MDG-F)",MID(Proc[[#This Row],[Obj]],13,10),"")</f>
        <v/>
      </c>
      <c r="J1950" s="94" t="b">
        <f ca="1">Proc[[#This Row],[Requested]]=Proc[[#This Row],[CurrentParent]]</f>
        <v>1</v>
      </c>
      <c r="K1950" s="94" t="str">
        <f ca="1"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138" t="str">
        <f ca="1"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 ca="1">IF(Proc[[#This Row],[type]]="LFF (MDG-F)",MID(Proc[[#This Row],[Obj]],13,10),"")</f>
        <v/>
      </c>
      <c r="J1951" s="94" t="b">
        <f ca="1">Proc[[#This Row],[Requested]]=Proc[[#This Row],[CurrentParent]]</f>
        <v>1</v>
      </c>
      <c r="K1951" s="94" t="str">
        <f ca="1"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138" t="str">
        <f ca="1"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 ca="1">IF(Proc[[#This Row],[type]]="LFF (MDG-F)",MID(Proc[[#This Row],[Obj]],13,10),"")</f>
        <v/>
      </c>
      <c r="J1952" s="94" t="b">
        <f ca="1">Proc[[#This Row],[Requested]]=Proc[[#This Row],[CurrentParent]]</f>
        <v>1</v>
      </c>
      <c r="K1952" s="94" t="str">
        <f ca="1"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138" t="str">
        <f ca="1"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 ca="1">IF(Proc[[#This Row],[type]]="LFF (MDG-F)",MID(Proc[[#This Row],[Obj]],13,10),"")</f>
        <v/>
      </c>
      <c r="J1953" s="94" t="b">
        <f ca="1">Proc[[#This Row],[Requested]]=Proc[[#This Row],[CurrentParent]]</f>
        <v>1</v>
      </c>
      <c r="K1953" s="94" t="str">
        <f ca="1"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138" t="str">
        <f ca="1"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 ca="1">IF(Proc[[#This Row],[type]]="LFF (MDG-F)",MID(Proc[[#This Row],[Obj]],13,10),"")</f>
        <v/>
      </c>
      <c r="J1954" s="94" t="b">
        <f ca="1">Proc[[#This Row],[Requested]]=Proc[[#This Row],[CurrentParent]]</f>
        <v>1</v>
      </c>
      <c r="K1954" s="94" t="str">
        <f ca="1"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138" t="str">
        <f ca="1"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 ca="1">IF(Proc[[#This Row],[type]]="LFF (MDG-F)",MID(Proc[[#This Row],[Obj]],13,10),"")</f>
        <v/>
      </c>
      <c r="J1955" s="94" t="b">
        <f ca="1">Proc[[#This Row],[Requested]]=Proc[[#This Row],[CurrentParent]]</f>
        <v>1</v>
      </c>
      <c r="K1955" s="94" t="str">
        <f ca="1"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138" t="str">
        <f ca="1"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 ca="1">IF(Proc[[#This Row],[type]]="LFF (MDG-F)",MID(Proc[[#This Row],[Obj]],13,10),"")</f>
        <v/>
      </c>
      <c r="J1956" s="94" t="b">
        <f ca="1">Proc[[#This Row],[Requested]]=Proc[[#This Row],[CurrentParent]]</f>
        <v>1</v>
      </c>
      <c r="K1956" s="94" t="str">
        <f ca="1"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138" t="str">
        <f ca="1"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 ca="1">IF(Proc[[#This Row],[type]]="LFF (MDG-F)",MID(Proc[[#This Row],[Obj]],13,10),"")</f>
        <v/>
      </c>
      <c r="J1957" s="94" t="b">
        <f ca="1">Proc[[#This Row],[Requested]]=Proc[[#This Row],[CurrentParent]]</f>
        <v>1</v>
      </c>
      <c r="K1957" s="94" t="str">
        <f ca="1"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138" t="str">
        <f ca="1"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 ca="1">IF(Proc[[#This Row],[type]]="LFF (MDG-F)",MID(Proc[[#This Row],[Obj]],13,10),"")</f>
        <v/>
      </c>
      <c r="J1958" s="94" t="b">
        <f ca="1">Proc[[#This Row],[Requested]]=Proc[[#This Row],[CurrentParent]]</f>
        <v>1</v>
      </c>
      <c r="K1958" s="94" t="str">
        <f ca="1"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138" t="str">
        <f ca="1"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 ca="1">IF(Proc[[#This Row],[type]]="LFF (MDG-F)",MID(Proc[[#This Row],[Obj]],13,10),"")</f>
        <v/>
      </c>
      <c r="J1959" s="94" t="b">
        <f ca="1">Proc[[#This Row],[Requested]]=Proc[[#This Row],[CurrentParent]]</f>
        <v>1</v>
      </c>
      <c r="K1959" s="94" t="str">
        <f ca="1"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138" t="str">
        <f ca="1"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 ca="1">IF(Proc[[#This Row],[type]]="LFF (MDG-F)",MID(Proc[[#This Row],[Obj]],13,10),"")</f>
        <v/>
      </c>
      <c r="J1960" s="94" t="b">
        <f ca="1">Proc[[#This Row],[Requested]]=Proc[[#This Row],[CurrentParent]]</f>
        <v>1</v>
      </c>
      <c r="K1960" s="94" t="str">
        <f ca="1"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138" t="str">
        <f ca="1"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 ca="1">IF(Proc[[#This Row],[type]]="LFF (MDG-F)",MID(Proc[[#This Row],[Obj]],13,10),"")</f>
        <v/>
      </c>
      <c r="J1961" s="94" t="b">
        <f ca="1">Proc[[#This Row],[Requested]]=Proc[[#This Row],[CurrentParent]]</f>
        <v>1</v>
      </c>
      <c r="K1961" s="94" t="str">
        <f ca="1"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138" t="str">
        <f ca="1"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 ca="1">IF(Proc[[#This Row],[type]]="LFF (MDG-F)",MID(Proc[[#This Row],[Obj]],13,10),"")</f>
        <v/>
      </c>
      <c r="J1962" s="94" t="b">
        <f ca="1">Proc[[#This Row],[Requested]]=Proc[[#This Row],[CurrentParent]]</f>
        <v>1</v>
      </c>
      <c r="K1962" s="94" t="str">
        <f ca="1"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138" t="str">
        <f ca="1"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 ca="1">IF(Proc[[#This Row],[type]]="LFF (MDG-F)",MID(Proc[[#This Row],[Obj]],13,10),"")</f>
        <v/>
      </c>
      <c r="J1963" s="94" t="b">
        <f ca="1">Proc[[#This Row],[Requested]]=Proc[[#This Row],[CurrentParent]]</f>
        <v>1</v>
      </c>
      <c r="K1963" s="94" t="str">
        <f ca="1"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138" t="str">
        <f ca="1"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 ca="1">IF(Proc[[#This Row],[type]]="LFF (MDG-F)",MID(Proc[[#This Row],[Obj]],13,10),"")</f>
        <v/>
      </c>
      <c r="J1964" s="94" t="b">
        <f ca="1">Proc[[#This Row],[Requested]]=Proc[[#This Row],[CurrentParent]]</f>
        <v>1</v>
      </c>
      <c r="K1964" s="94" t="str">
        <f ca="1"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138" t="str">
        <f ca="1"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 ca="1">IF(Proc[[#This Row],[type]]="LFF (MDG-F)",MID(Proc[[#This Row],[Obj]],13,10),"")</f>
        <v/>
      </c>
      <c r="J1965" s="94" t="b">
        <f ca="1">Proc[[#This Row],[Requested]]=Proc[[#This Row],[CurrentParent]]</f>
        <v>1</v>
      </c>
      <c r="K1965" s="94" t="str">
        <f ca="1"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138" t="str">
        <f ca="1"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 ca="1">IF(Proc[[#This Row],[type]]="LFF (MDG-F)",MID(Proc[[#This Row],[Obj]],13,10),"")</f>
        <v/>
      </c>
      <c r="J1966" s="94" t="b">
        <f ca="1">Proc[[#This Row],[Requested]]=Proc[[#This Row],[CurrentParent]]</f>
        <v>1</v>
      </c>
      <c r="K1966" s="94" t="str">
        <f ca="1"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138" t="str">
        <f ca="1"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 ca="1">IF(Proc[[#This Row],[type]]="LFF (MDG-F)",MID(Proc[[#This Row],[Obj]],13,10),"")</f>
        <v/>
      </c>
      <c r="J1967" s="94" t="b">
        <f ca="1">Proc[[#This Row],[Requested]]=Proc[[#This Row],[CurrentParent]]</f>
        <v>1</v>
      </c>
      <c r="K1967" s="94" t="str">
        <f ca="1"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138" t="str">
        <f ca="1"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 ca="1">IF(Proc[[#This Row],[type]]="LFF (MDG-F)",MID(Proc[[#This Row],[Obj]],13,10),"")</f>
        <v/>
      </c>
      <c r="J1968" s="94" t="b">
        <f ca="1">Proc[[#This Row],[Requested]]=Proc[[#This Row],[CurrentParent]]</f>
        <v>1</v>
      </c>
      <c r="K1968" s="94" t="str">
        <f ca="1"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138" t="str">
        <f ca="1"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 ca="1">IF(Proc[[#This Row],[type]]="LFF (MDG-F)",MID(Proc[[#This Row],[Obj]],13,10),"")</f>
        <v/>
      </c>
      <c r="J1969" s="94" t="b">
        <f ca="1">Proc[[#This Row],[Requested]]=Proc[[#This Row],[CurrentParent]]</f>
        <v>1</v>
      </c>
      <c r="K1969" s="94" t="str">
        <f ca="1"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138" t="str">
        <f ca="1"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 ca="1">IF(Proc[[#This Row],[type]]="LFF (MDG-F)",MID(Proc[[#This Row],[Obj]],13,10),"")</f>
        <v/>
      </c>
      <c r="J1970" s="94" t="b">
        <f ca="1">Proc[[#This Row],[Requested]]=Proc[[#This Row],[CurrentParent]]</f>
        <v>1</v>
      </c>
      <c r="K1970" s="94" t="str">
        <f ca="1"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138" t="str">
        <f ca="1"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 ca="1">IF(Proc[[#This Row],[type]]="LFF (MDG-F)",MID(Proc[[#This Row],[Obj]],13,10),"")</f>
        <v/>
      </c>
      <c r="J1971" s="94" t="b">
        <f ca="1">Proc[[#This Row],[Requested]]=Proc[[#This Row],[CurrentParent]]</f>
        <v>1</v>
      </c>
      <c r="K1971" s="94" t="str">
        <f ca="1"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138" t="str">
        <f ca="1"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 ca="1">IF(Proc[[#This Row],[type]]="LFF (MDG-F)",MID(Proc[[#This Row],[Obj]],13,10),"")</f>
        <v/>
      </c>
      <c r="J1972" s="94" t="b">
        <f ca="1">Proc[[#This Row],[Requested]]=Proc[[#This Row],[CurrentParent]]</f>
        <v>1</v>
      </c>
      <c r="K1972" s="94" t="str">
        <f ca="1"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138" t="str">
        <f ca="1"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 ca="1">IF(Proc[[#This Row],[type]]="LFF (MDG-F)",MID(Proc[[#This Row],[Obj]],13,10),"")</f>
        <v/>
      </c>
      <c r="J1973" s="94" t="b">
        <f ca="1">Proc[[#This Row],[Requested]]=Proc[[#This Row],[CurrentParent]]</f>
        <v>1</v>
      </c>
      <c r="K1973" s="94" t="str">
        <f ca="1"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138" t="str">
        <f ca="1"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 ca="1">IF(Proc[[#This Row],[type]]="LFF (MDG-F)",MID(Proc[[#This Row],[Obj]],13,10),"")</f>
        <v/>
      </c>
      <c r="J1974" s="94" t="b">
        <f ca="1">Proc[[#This Row],[Requested]]=Proc[[#This Row],[CurrentParent]]</f>
        <v>1</v>
      </c>
      <c r="K1974" s="94" t="str">
        <f ca="1"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138" t="str">
        <f ca="1"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 ca="1">IF(Proc[[#This Row],[type]]="LFF (MDG-F)",MID(Proc[[#This Row],[Obj]],13,10),"")</f>
        <v/>
      </c>
      <c r="J1975" s="94" t="b">
        <f ca="1">Proc[[#This Row],[Requested]]=Proc[[#This Row],[CurrentParent]]</f>
        <v>1</v>
      </c>
      <c r="K1975" s="94" t="str">
        <f ca="1"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138" t="str">
        <f ca="1"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 ca="1">IF(Proc[[#This Row],[type]]="LFF (MDG-F)",MID(Proc[[#This Row],[Obj]],13,10),"")</f>
        <v/>
      </c>
      <c r="J1976" s="94" t="b">
        <f ca="1">Proc[[#This Row],[Requested]]=Proc[[#This Row],[CurrentParent]]</f>
        <v>1</v>
      </c>
      <c r="K1976" s="94" t="str">
        <f ca="1"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138" t="str">
        <f ca="1"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 ca="1">IF(Proc[[#This Row],[type]]="LFF (MDG-F)",MID(Proc[[#This Row],[Obj]],13,10),"")</f>
        <v/>
      </c>
      <c r="J1977" s="94" t="b">
        <f ca="1">Proc[[#This Row],[Requested]]=Proc[[#This Row],[CurrentParent]]</f>
        <v>1</v>
      </c>
      <c r="K1977" s="94" t="str">
        <f ca="1"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138" t="str">
        <f ca="1"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 ca="1">IF(Proc[[#This Row],[type]]="LFF (MDG-F)",MID(Proc[[#This Row],[Obj]],13,10),"")</f>
        <v/>
      </c>
      <c r="J1978" s="94" t="b">
        <f ca="1">Proc[[#This Row],[Requested]]=Proc[[#This Row],[CurrentParent]]</f>
        <v>1</v>
      </c>
      <c r="K1978" s="94" t="str">
        <f ca="1"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138" t="str">
        <f ca="1"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 ca="1">IF(Proc[[#This Row],[type]]="LFF (MDG-F)",MID(Proc[[#This Row],[Obj]],13,10),"")</f>
        <v/>
      </c>
      <c r="J1979" s="94" t="b">
        <f ca="1">Proc[[#This Row],[Requested]]=Proc[[#This Row],[CurrentParent]]</f>
        <v>1</v>
      </c>
      <c r="K1979" s="94" t="str">
        <f ca="1"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138" t="str">
        <f ca="1"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 ca="1">IF(Proc[[#This Row],[type]]="LFF (MDG-F)",MID(Proc[[#This Row],[Obj]],13,10),"")</f>
        <v/>
      </c>
      <c r="J1980" s="94" t="b">
        <f ca="1">Proc[[#This Row],[Requested]]=Proc[[#This Row],[CurrentParent]]</f>
        <v>1</v>
      </c>
      <c r="K1980" s="94" t="str">
        <f ca="1"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138" t="str">
        <f ca="1"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 ca="1">IF(Proc[[#This Row],[type]]="LFF (MDG-F)",MID(Proc[[#This Row],[Obj]],13,10),"")</f>
        <v/>
      </c>
      <c r="J1981" s="94" t="b">
        <f ca="1">Proc[[#This Row],[Requested]]=Proc[[#This Row],[CurrentParent]]</f>
        <v>1</v>
      </c>
      <c r="K1981" s="94" t="str">
        <f ca="1"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138" t="str">
        <f ca="1"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 ca="1">IF(Proc[[#This Row],[type]]="LFF (MDG-F)",MID(Proc[[#This Row],[Obj]],13,10),"")</f>
        <v/>
      </c>
      <c r="J1982" s="94" t="b">
        <f ca="1">Proc[[#This Row],[Requested]]=Proc[[#This Row],[CurrentParent]]</f>
        <v>1</v>
      </c>
      <c r="K1982" s="94" t="str">
        <f ca="1"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138" t="str">
        <f ca="1"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 ca="1">IF(Proc[[#This Row],[type]]="LFF (MDG-F)",MID(Proc[[#This Row],[Obj]],13,10),"")</f>
        <v/>
      </c>
      <c r="J1983" s="94" t="b">
        <f ca="1">Proc[[#This Row],[Requested]]=Proc[[#This Row],[CurrentParent]]</f>
        <v>1</v>
      </c>
      <c r="K1983" s="94" t="str">
        <f ca="1"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138" t="str">
        <f ca="1"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 ca="1">IF(Proc[[#This Row],[type]]="LFF (MDG-F)",MID(Proc[[#This Row],[Obj]],13,10),"")</f>
        <v/>
      </c>
      <c r="J1984" s="94" t="b">
        <f ca="1">Proc[[#This Row],[Requested]]=Proc[[#This Row],[CurrentParent]]</f>
        <v>1</v>
      </c>
      <c r="K1984" s="94" t="str">
        <f ca="1"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138" t="str">
        <f ca="1"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 ca="1">IF(Proc[[#This Row],[type]]="LFF (MDG-F)",MID(Proc[[#This Row],[Obj]],13,10),"")</f>
        <v/>
      </c>
      <c r="J1985" s="94" t="b">
        <f ca="1">Proc[[#This Row],[Requested]]=Proc[[#This Row],[CurrentParent]]</f>
        <v>1</v>
      </c>
      <c r="K1985" s="94" t="str">
        <f ca="1"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138" t="str">
        <f ca="1"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 ca="1">IF(Proc[[#This Row],[type]]="LFF (MDG-F)",MID(Proc[[#This Row],[Obj]],13,10),"")</f>
        <v/>
      </c>
      <c r="J1986" s="94" t="b">
        <f ca="1">Proc[[#This Row],[Requested]]=Proc[[#This Row],[CurrentParent]]</f>
        <v>1</v>
      </c>
      <c r="K1986" s="94" t="str">
        <f ca="1"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138" t="str">
        <f ca="1"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 ca="1">IF(Proc[[#This Row],[type]]="LFF (MDG-F)",MID(Proc[[#This Row],[Obj]],13,10),"")</f>
        <v/>
      </c>
      <c r="J1987" s="94" t="b">
        <f ca="1">Proc[[#This Row],[Requested]]=Proc[[#This Row],[CurrentParent]]</f>
        <v>1</v>
      </c>
      <c r="K1987" s="94" t="str">
        <f ca="1"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138" t="str">
        <f ca="1"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 ca="1">IF(Proc[[#This Row],[type]]="LFF (MDG-F)",MID(Proc[[#This Row],[Obj]],13,10),"")</f>
        <v/>
      </c>
      <c r="J1988" s="94" t="b">
        <f ca="1">Proc[[#This Row],[Requested]]=Proc[[#This Row],[CurrentParent]]</f>
        <v>1</v>
      </c>
      <c r="K1988" s="94" t="str">
        <f ca="1"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138" t="str">
        <f ca="1"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 ca="1">IF(Proc[[#This Row],[type]]="LFF (MDG-F)",MID(Proc[[#This Row],[Obj]],13,10),"")</f>
        <v/>
      </c>
      <c r="J1989" s="94" t="b">
        <f ca="1">Proc[[#This Row],[Requested]]=Proc[[#This Row],[CurrentParent]]</f>
        <v>1</v>
      </c>
      <c r="K1989" s="94" t="str">
        <f ca="1"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138" t="str">
        <f ca="1"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 ca="1">IF(Proc[[#This Row],[type]]="LFF (MDG-F)",MID(Proc[[#This Row],[Obj]],13,10),"")</f>
        <v/>
      </c>
      <c r="J1990" s="94" t="b">
        <f ca="1">Proc[[#This Row],[Requested]]=Proc[[#This Row],[CurrentParent]]</f>
        <v>1</v>
      </c>
      <c r="K1990" s="94" t="str">
        <f ca="1"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138" t="str">
        <f ca="1"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 ca="1">IF(Proc[[#This Row],[type]]="LFF (MDG-F)",MID(Proc[[#This Row],[Obj]],13,10),"")</f>
        <v/>
      </c>
      <c r="J1991" s="94" t="b">
        <f ca="1">Proc[[#This Row],[Requested]]=Proc[[#This Row],[CurrentParent]]</f>
        <v>1</v>
      </c>
      <c r="K1991" s="94" t="str">
        <f ca="1"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138" t="str">
        <f ca="1"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 ca="1">IF(Proc[[#This Row],[type]]="LFF (MDG-F)",MID(Proc[[#This Row],[Obj]],13,10),"")</f>
        <v/>
      </c>
      <c r="J1992" s="94" t="b">
        <f ca="1">Proc[[#This Row],[Requested]]=Proc[[#This Row],[CurrentParent]]</f>
        <v>1</v>
      </c>
      <c r="K1992" s="94" t="str">
        <f ca="1"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138" t="str">
        <f ca="1"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 ca="1">IF(Proc[[#This Row],[type]]="LFF (MDG-F)",MID(Proc[[#This Row],[Obj]],13,10),"")</f>
        <v/>
      </c>
      <c r="J1993" s="94" t="b">
        <f ca="1">Proc[[#This Row],[Requested]]=Proc[[#This Row],[CurrentParent]]</f>
        <v>1</v>
      </c>
      <c r="K1993" s="94" t="str">
        <f ca="1"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138" t="str">
        <f ca="1"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 ca="1">IF(Proc[[#This Row],[type]]="LFF (MDG-F)",MID(Proc[[#This Row],[Obj]],13,10),"")</f>
        <v/>
      </c>
      <c r="J1994" s="94" t="b">
        <f ca="1">Proc[[#This Row],[Requested]]=Proc[[#This Row],[CurrentParent]]</f>
        <v>1</v>
      </c>
      <c r="K1994" s="94" t="str">
        <f ca="1"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138" t="str">
        <f ca="1"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 ca="1">IF(Proc[[#This Row],[type]]="LFF (MDG-F)",MID(Proc[[#This Row],[Obj]],13,10),"")</f>
        <v/>
      </c>
      <c r="J1995" s="94" t="b">
        <f ca="1">Proc[[#This Row],[Requested]]=Proc[[#This Row],[CurrentParent]]</f>
        <v>1</v>
      </c>
      <c r="K1995" s="94" t="str">
        <f ca="1"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138" t="str">
        <f ca="1"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 ca="1">IF(Proc[[#This Row],[type]]="LFF (MDG-F)",MID(Proc[[#This Row],[Obj]],13,10),"")</f>
        <v/>
      </c>
      <c r="J1996" s="94" t="b">
        <f ca="1">Proc[[#This Row],[Requested]]=Proc[[#This Row],[CurrentParent]]</f>
        <v>1</v>
      </c>
      <c r="K1996" s="94" t="str">
        <f ca="1"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138" t="str">
        <f ca="1"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 ca="1">IF(Proc[[#This Row],[type]]="LFF (MDG-F)",MID(Proc[[#This Row],[Obj]],13,10),"")</f>
        <v/>
      </c>
      <c r="J1997" s="94" t="b">
        <f ca="1">Proc[[#This Row],[Requested]]=Proc[[#This Row],[CurrentParent]]</f>
        <v>1</v>
      </c>
      <c r="K1997" s="94" t="str">
        <f ca="1"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138" t="str">
        <f ca="1"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 ca="1">IF(Proc[[#This Row],[type]]="LFF (MDG-F)",MID(Proc[[#This Row],[Obj]],13,10),"")</f>
        <v/>
      </c>
      <c r="J1998" s="94" t="b">
        <f ca="1">Proc[[#This Row],[Requested]]=Proc[[#This Row],[CurrentParent]]</f>
        <v>1</v>
      </c>
      <c r="K1998" s="94" t="str">
        <f ca="1"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138" t="str">
        <f ca="1"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 ca="1">IF(Proc[[#This Row],[type]]="LFF (MDG-F)",MID(Proc[[#This Row],[Obj]],13,10),"")</f>
        <v/>
      </c>
      <c r="J1999" s="94" t="b">
        <f ca="1">Proc[[#This Row],[Requested]]=Proc[[#This Row],[CurrentParent]]</f>
        <v>1</v>
      </c>
      <c r="K1999" s="94" t="str">
        <f ca="1"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138" t="str">
        <f ca="1"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 ca="1">IF(Proc[[#This Row],[type]]="LFF (MDG-F)",MID(Proc[[#This Row],[Obj]],13,10),"")</f>
        <v/>
      </c>
      <c r="J2000" s="94" t="b">
        <f ca="1">Proc[[#This Row],[Requested]]=Proc[[#This Row],[CurrentParent]]</f>
        <v>1</v>
      </c>
      <c r="K2000" s="94" t="str">
        <f ca="1"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138" t="str">
        <f ca="1"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 ca="1">IF(Proc[[#This Row],[type]]="LFF (MDG-F)",MID(Proc[[#This Row],[Obj]],13,10),"")</f>
        <v/>
      </c>
      <c r="J2001" s="94" t="b">
        <f ca="1">Proc[[#This Row],[Requested]]=Proc[[#This Row],[CurrentParent]]</f>
        <v>1</v>
      </c>
      <c r="K2001" s="94" t="str">
        <f ca="1"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138" t="str">
        <f ca="1"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 ca="1">IF(Proc[[#This Row],[type]]="LFF (MDG-F)",MID(Proc[[#This Row],[Obj]],13,10),"")</f>
        <v/>
      </c>
      <c r="J2002" s="94" t="b">
        <f ca="1">Proc[[#This Row],[Requested]]=Proc[[#This Row],[CurrentParent]]</f>
        <v>1</v>
      </c>
      <c r="K2002" s="94" t="str">
        <f ca="1"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138" t="str">
        <f ca="1"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 ca="1">IF(Proc[[#This Row],[type]]="LFF (MDG-F)",MID(Proc[[#This Row],[Obj]],13,10),"")</f>
        <v/>
      </c>
      <c r="J2003" s="94" t="b">
        <f ca="1">Proc[[#This Row],[Requested]]=Proc[[#This Row],[CurrentParent]]</f>
        <v>1</v>
      </c>
      <c r="K2003" s="94" t="str">
        <f ca="1"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138" t="str">
        <f ca="1"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 ca="1">IF(Proc[[#This Row],[type]]="LFF (MDG-F)",MID(Proc[[#This Row],[Obj]],13,10),"")</f>
        <v/>
      </c>
      <c r="J2004" s="94" t="b">
        <f ca="1">Proc[[#This Row],[Requested]]=Proc[[#This Row],[CurrentParent]]</f>
        <v>1</v>
      </c>
      <c r="K2004" s="94" t="str">
        <f ca="1"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138" t="str">
        <f ca="1"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 ca="1">IF(Proc[[#This Row],[type]]="LFF (MDG-F)",MID(Proc[[#This Row],[Obj]],13,10),"")</f>
        <v/>
      </c>
      <c r="J2005" s="94" t="b">
        <f ca="1">Proc[[#This Row],[Requested]]=Proc[[#This Row],[CurrentParent]]</f>
        <v>1</v>
      </c>
      <c r="K2005" s="94" t="str">
        <f ca="1"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138" t="str">
        <f ca="1"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 ca="1">IF(Proc[[#This Row],[type]]="LFF (MDG-F)",MID(Proc[[#This Row],[Obj]],13,10),"")</f>
        <v/>
      </c>
      <c r="J2006" s="94" t="b">
        <f ca="1">Proc[[#This Row],[Requested]]=Proc[[#This Row],[CurrentParent]]</f>
        <v>1</v>
      </c>
      <c r="K2006" s="94" t="str">
        <f ca="1"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138" t="str">
        <f ca="1"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 ca="1">IF(Proc[[#This Row],[type]]="LFF (MDG-F)",MID(Proc[[#This Row],[Obj]],13,10),"")</f>
        <v/>
      </c>
      <c r="J2007" s="94" t="b">
        <f ca="1">Proc[[#This Row],[Requested]]=Proc[[#This Row],[CurrentParent]]</f>
        <v>1</v>
      </c>
      <c r="K2007" s="94" t="str">
        <f ca="1"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138" t="str">
        <f ca="1"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 ca="1">IF(Proc[[#This Row],[type]]="LFF (MDG-F)",MID(Proc[[#This Row],[Obj]],13,10),"")</f>
        <v/>
      </c>
      <c r="J2008" s="94" t="b">
        <f ca="1">Proc[[#This Row],[Requested]]=Proc[[#This Row],[CurrentParent]]</f>
        <v>1</v>
      </c>
      <c r="K2008" s="94" t="str">
        <f ca="1"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138" t="str">
        <f ca="1"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 ca="1">IF(Proc[[#This Row],[type]]="LFF (MDG-F)",MID(Proc[[#This Row],[Obj]],13,10),"")</f>
        <v/>
      </c>
      <c r="J2009" s="94" t="b">
        <f ca="1">Proc[[#This Row],[Requested]]=Proc[[#This Row],[CurrentParent]]</f>
        <v>1</v>
      </c>
      <c r="K2009" s="94" t="str">
        <f ca="1"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138" t="str">
        <f ca="1"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 ca="1">IF(Proc[[#This Row],[type]]="LFF (MDG-F)",MID(Proc[[#This Row],[Obj]],13,10),"")</f>
        <v/>
      </c>
      <c r="J2010" s="94" t="b">
        <f ca="1">Proc[[#This Row],[Requested]]=Proc[[#This Row],[CurrentParent]]</f>
        <v>1</v>
      </c>
      <c r="K2010" s="94" t="str">
        <f ca="1"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138" t="str">
        <f ca="1"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 ca="1">IF(Proc[[#This Row],[type]]="LFF (MDG-F)",MID(Proc[[#This Row],[Obj]],13,10),"")</f>
        <v/>
      </c>
      <c r="J2011" s="94" t="b">
        <f ca="1">Proc[[#This Row],[Requested]]=Proc[[#This Row],[CurrentParent]]</f>
        <v>1</v>
      </c>
      <c r="K2011" s="94" t="str">
        <f ca="1"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138" t="str">
        <f ca="1"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 ca="1">IF(Proc[[#This Row],[type]]="LFF (MDG-F)",MID(Proc[[#This Row],[Obj]],13,10),"")</f>
        <v/>
      </c>
      <c r="J2012" s="94" t="b">
        <f ca="1">Proc[[#This Row],[Requested]]=Proc[[#This Row],[CurrentParent]]</f>
        <v>1</v>
      </c>
      <c r="K2012" s="94" t="str">
        <f ca="1"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138" t="str">
        <f ca="1"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 ca="1">IF(Proc[[#This Row],[type]]="LFF (MDG-F)",MID(Proc[[#This Row],[Obj]],13,10),"")</f>
        <v/>
      </c>
      <c r="J2013" s="94" t="b">
        <f ca="1">Proc[[#This Row],[Requested]]=Proc[[#This Row],[CurrentParent]]</f>
        <v>1</v>
      </c>
      <c r="K2013" s="94" t="str">
        <f ca="1"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138" t="str">
        <f ca="1"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 ca="1">IF(Proc[[#This Row],[type]]="LFF (MDG-F)",MID(Proc[[#This Row],[Obj]],13,10),"")</f>
        <v/>
      </c>
      <c r="J2014" s="94" t="b">
        <f ca="1">Proc[[#This Row],[Requested]]=Proc[[#This Row],[CurrentParent]]</f>
        <v>1</v>
      </c>
      <c r="K2014" s="94" t="str">
        <f ca="1"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138" t="str">
        <f ca="1"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 ca="1">IF(Proc[[#This Row],[type]]="LFF (MDG-F)",MID(Proc[[#This Row],[Obj]],13,10),"")</f>
        <v/>
      </c>
      <c r="J2015" s="94" t="b">
        <f ca="1">Proc[[#This Row],[Requested]]=Proc[[#This Row],[CurrentParent]]</f>
        <v>1</v>
      </c>
      <c r="K2015" s="94" t="str">
        <f ca="1"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138" t="str">
        <f ca="1"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 ca="1">IF(Proc[[#This Row],[type]]="LFF (MDG-F)",MID(Proc[[#This Row],[Obj]],13,10),"")</f>
        <v/>
      </c>
      <c r="J2016" s="94" t="b">
        <f ca="1">Proc[[#This Row],[Requested]]=Proc[[#This Row],[CurrentParent]]</f>
        <v>1</v>
      </c>
      <c r="K2016" s="94" t="str">
        <f ca="1"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138" t="str">
        <f ca="1"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 ca="1">IF(Proc[[#This Row],[type]]="LFF (MDG-F)",MID(Proc[[#This Row],[Obj]],13,10),"")</f>
        <v/>
      </c>
      <c r="J2017" s="94" t="b">
        <f ca="1">Proc[[#This Row],[Requested]]=Proc[[#This Row],[CurrentParent]]</f>
        <v>1</v>
      </c>
      <c r="K2017" s="94" t="str">
        <f ca="1"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138" t="str">
        <f ca="1"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 ca="1">IF(Proc[[#This Row],[type]]="LFF (MDG-F)",MID(Proc[[#This Row],[Obj]],13,10),"")</f>
        <v/>
      </c>
      <c r="J2018" s="94" t="b">
        <f ca="1">Proc[[#This Row],[Requested]]=Proc[[#This Row],[CurrentParent]]</f>
        <v>1</v>
      </c>
      <c r="K2018" s="94" t="str">
        <f ca="1"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138" t="str">
        <f ca="1"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 ca="1">IF(Proc[[#This Row],[type]]="LFF (MDG-F)",MID(Proc[[#This Row],[Obj]],13,10),"")</f>
        <v/>
      </c>
      <c r="J2019" s="94" t="b">
        <f ca="1">Proc[[#This Row],[Requested]]=Proc[[#This Row],[CurrentParent]]</f>
        <v>1</v>
      </c>
      <c r="K2019" s="94" t="str">
        <f ca="1"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138" t="str">
        <f ca="1"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 ca="1">IF(Proc[[#This Row],[type]]="LFF (MDG-F)",MID(Proc[[#This Row],[Obj]],13,10),"")</f>
        <v/>
      </c>
      <c r="J2020" s="94" t="b">
        <f ca="1">Proc[[#This Row],[Requested]]=Proc[[#This Row],[CurrentParent]]</f>
        <v>1</v>
      </c>
      <c r="K2020" s="94" t="str">
        <f ca="1"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138" t="str">
        <f ca="1"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 ca="1">IF(Proc[[#This Row],[type]]="LFF (MDG-F)",MID(Proc[[#This Row],[Obj]],13,10),"")</f>
        <v/>
      </c>
      <c r="J2021" s="94" t="b">
        <f ca="1">Proc[[#This Row],[Requested]]=Proc[[#This Row],[CurrentParent]]</f>
        <v>1</v>
      </c>
      <c r="K2021" s="94" t="str">
        <f ca="1"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138" t="str">
        <f ca="1"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 ca="1">IF(Proc[[#This Row],[type]]="LFF (MDG-F)",MID(Proc[[#This Row],[Obj]],13,10),"")</f>
        <v/>
      </c>
      <c r="J2022" s="94" t="b">
        <f ca="1">Proc[[#This Row],[Requested]]=Proc[[#This Row],[CurrentParent]]</f>
        <v>1</v>
      </c>
      <c r="K2022" s="94" t="str">
        <f ca="1"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138" t="str">
        <f ca="1"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 ca="1">IF(Proc[[#This Row],[type]]="LFF (MDG-F)",MID(Proc[[#This Row],[Obj]],13,10),"")</f>
        <v/>
      </c>
      <c r="J2023" s="94" t="b">
        <f ca="1">Proc[[#This Row],[Requested]]=Proc[[#This Row],[CurrentParent]]</f>
        <v>1</v>
      </c>
      <c r="K2023" s="94" t="str">
        <f ca="1"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138" t="str">
        <f ca="1"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 ca="1">IF(Proc[[#This Row],[type]]="LFF (MDG-F)",MID(Proc[[#This Row],[Obj]],13,10),"")</f>
        <v/>
      </c>
      <c r="J2024" s="94" t="b">
        <f ca="1">Proc[[#This Row],[Requested]]=Proc[[#This Row],[CurrentParent]]</f>
        <v>1</v>
      </c>
      <c r="K2024" s="94" t="str">
        <f ca="1"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138" t="str">
        <f ca="1"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 ca="1">IF(Proc[[#This Row],[type]]="LFF (MDG-F)",MID(Proc[[#This Row],[Obj]],13,10),"")</f>
        <v/>
      </c>
      <c r="J2025" s="94" t="b">
        <f ca="1">Proc[[#This Row],[Requested]]=Proc[[#This Row],[CurrentParent]]</f>
        <v>1</v>
      </c>
      <c r="K2025" s="94" t="str">
        <f ca="1"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138" t="str">
        <f ca="1"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 ca="1">IF(Proc[[#This Row],[type]]="LFF (MDG-F)",MID(Proc[[#This Row],[Obj]],13,10),"")</f>
        <v/>
      </c>
      <c r="J2026" s="94" t="b">
        <f ca="1">Proc[[#This Row],[Requested]]=Proc[[#This Row],[CurrentParent]]</f>
        <v>1</v>
      </c>
      <c r="K2026" s="94" t="str">
        <f ca="1"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138" t="str">
        <f ca="1"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 ca="1">IF(Proc[[#This Row],[type]]="LFF (MDG-F)",MID(Proc[[#This Row],[Obj]],13,10),"")</f>
        <v/>
      </c>
      <c r="J2027" s="94" t="b">
        <f ca="1">Proc[[#This Row],[Requested]]=Proc[[#This Row],[CurrentParent]]</f>
        <v>1</v>
      </c>
      <c r="K2027" s="94" t="str">
        <f ca="1"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138" t="str">
        <f ca="1"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 ca="1">IF(Proc[[#This Row],[type]]="LFF (MDG-F)",MID(Proc[[#This Row],[Obj]],13,10),"")</f>
        <v/>
      </c>
      <c r="J2028" s="94" t="b">
        <f ca="1">Proc[[#This Row],[Requested]]=Proc[[#This Row],[CurrentParent]]</f>
        <v>1</v>
      </c>
      <c r="K2028" s="94" t="str">
        <f ca="1"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138" t="str">
        <f ca="1"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 ca="1">IF(Proc[[#This Row],[type]]="LFF (MDG-F)",MID(Proc[[#This Row],[Obj]],13,10),"")</f>
        <v/>
      </c>
      <c r="J2029" s="94" t="b">
        <f ca="1">Proc[[#This Row],[Requested]]=Proc[[#This Row],[CurrentParent]]</f>
        <v>1</v>
      </c>
      <c r="K2029" s="94" t="str">
        <f ca="1"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138" t="str">
        <f ca="1"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 ca="1">IF(Proc[[#This Row],[type]]="LFF (MDG-F)",MID(Proc[[#This Row],[Obj]],13,10),"")</f>
        <v/>
      </c>
      <c r="J2030" s="94" t="b">
        <f ca="1">Proc[[#This Row],[Requested]]=Proc[[#This Row],[CurrentParent]]</f>
        <v>1</v>
      </c>
      <c r="K2030" s="94" t="str">
        <f ca="1"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138" t="str">
        <f ca="1"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 ca="1">IF(Proc[[#This Row],[type]]="LFF (MDG-F)",MID(Proc[[#This Row],[Obj]],13,10),"")</f>
        <v/>
      </c>
      <c r="J2031" s="94" t="b">
        <f ca="1">Proc[[#This Row],[Requested]]=Proc[[#This Row],[CurrentParent]]</f>
        <v>1</v>
      </c>
      <c r="K2031" s="94" t="str">
        <f ca="1"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138" t="str">
        <f ca="1"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 ca="1">IF(Proc[[#This Row],[type]]="LFF (MDG-F)",MID(Proc[[#This Row],[Obj]],13,10),"")</f>
        <v/>
      </c>
      <c r="J2032" s="94" t="b">
        <f ca="1">Proc[[#This Row],[Requested]]=Proc[[#This Row],[CurrentParent]]</f>
        <v>1</v>
      </c>
      <c r="K2032" s="94" t="str">
        <f ca="1"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138" t="str">
        <f ca="1"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 ca="1">IF(Proc[[#This Row],[type]]="LFF (MDG-F)",MID(Proc[[#This Row],[Obj]],13,10),"")</f>
        <v/>
      </c>
      <c r="J2033" s="94" t="b">
        <f ca="1">Proc[[#This Row],[Requested]]=Proc[[#This Row],[CurrentParent]]</f>
        <v>1</v>
      </c>
      <c r="K2033" s="94" t="str">
        <f ca="1"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138" t="str">
        <f ca="1"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 ca="1">IF(Proc[[#This Row],[type]]="LFF (MDG-F)",MID(Proc[[#This Row],[Obj]],13,10),"")</f>
        <v/>
      </c>
      <c r="J2034" s="94" t="b">
        <f ca="1">Proc[[#This Row],[Requested]]=Proc[[#This Row],[CurrentParent]]</f>
        <v>1</v>
      </c>
      <c r="K2034" s="94" t="str">
        <f ca="1"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138" t="str">
        <f ca="1"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 ca="1">IF(Proc[[#This Row],[type]]="LFF (MDG-F)",MID(Proc[[#This Row],[Obj]],13,10),"")</f>
        <v/>
      </c>
      <c r="J2035" s="94" t="b">
        <f ca="1">Proc[[#This Row],[Requested]]=Proc[[#This Row],[CurrentParent]]</f>
        <v>1</v>
      </c>
      <c r="K2035" s="94" t="str">
        <f ca="1"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138" t="str">
        <f ca="1"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 ca="1">IF(Proc[[#This Row],[type]]="LFF (MDG-F)",MID(Proc[[#This Row],[Obj]],13,10),"")</f>
        <v/>
      </c>
      <c r="J2036" s="94" t="b">
        <f ca="1">Proc[[#This Row],[Requested]]=Proc[[#This Row],[CurrentParent]]</f>
        <v>1</v>
      </c>
      <c r="K2036" s="94" t="str">
        <f ca="1"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138" t="str">
        <f ca="1"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 ca="1">IF(Proc[[#This Row],[type]]="LFF (MDG-F)",MID(Proc[[#This Row],[Obj]],13,10),"")</f>
        <v/>
      </c>
      <c r="J2037" s="94" t="b">
        <f ca="1">Proc[[#This Row],[Requested]]=Proc[[#This Row],[CurrentParent]]</f>
        <v>1</v>
      </c>
      <c r="K2037" s="94" t="str">
        <f ca="1"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138" t="str">
        <f ca="1"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 ca="1">IF(Proc[[#This Row],[type]]="LFF (MDG-F)",MID(Proc[[#This Row],[Obj]],13,10),"")</f>
        <v/>
      </c>
      <c r="J2038" s="94" t="b">
        <f ca="1">Proc[[#This Row],[Requested]]=Proc[[#This Row],[CurrentParent]]</f>
        <v>1</v>
      </c>
      <c r="K2038" s="94" t="str">
        <f ca="1"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138" t="str">
        <f ca="1"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 ca="1">IF(Proc[[#This Row],[type]]="LFF (MDG-F)",MID(Proc[[#This Row],[Obj]],13,10),"")</f>
        <v/>
      </c>
      <c r="J2039" s="94" t="b">
        <f ca="1">Proc[[#This Row],[Requested]]=Proc[[#This Row],[CurrentParent]]</f>
        <v>1</v>
      </c>
      <c r="K2039" s="94" t="str">
        <f ca="1"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138" t="str">
        <f ca="1"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 ca="1">IF(Proc[[#This Row],[type]]="LFF (MDG-F)",MID(Proc[[#This Row],[Obj]],13,10),"")</f>
        <v/>
      </c>
      <c r="J2040" s="94" t="b">
        <f ca="1">Proc[[#This Row],[Requested]]=Proc[[#This Row],[CurrentParent]]</f>
        <v>1</v>
      </c>
      <c r="K2040" s="94" t="str">
        <f ca="1"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138" t="str">
        <f ca="1"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 ca="1">IF(Proc[[#This Row],[type]]="LFF (MDG-F)",MID(Proc[[#This Row],[Obj]],13,10),"")</f>
        <v/>
      </c>
      <c r="J2041" s="94" t="b">
        <f ca="1">Proc[[#This Row],[Requested]]=Proc[[#This Row],[CurrentParent]]</f>
        <v>1</v>
      </c>
      <c r="K2041" s="94" t="str">
        <f ca="1"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138" t="str">
        <f ca="1"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 ca="1">IF(Proc[[#This Row],[type]]="LFF (MDG-F)",MID(Proc[[#This Row],[Obj]],13,10),"")</f>
        <v/>
      </c>
      <c r="J2042" s="94" t="b">
        <f ca="1">Proc[[#This Row],[Requested]]=Proc[[#This Row],[CurrentParent]]</f>
        <v>1</v>
      </c>
      <c r="K2042" s="94" t="str">
        <f ca="1"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138" t="str">
        <f ca="1"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 ca="1">IF(Proc[[#This Row],[type]]="LFF (MDG-F)",MID(Proc[[#This Row],[Obj]],13,10),"")</f>
        <v/>
      </c>
      <c r="J2043" s="94" t="b">
        <f ca="1">Proc[[#This Row],[Requested]]=Proc[[#This Row],[CurrentParent]]</f>
        <v>1</v>
      </c>
      <c r="K2043" s="94" t="str">
        <f ca="1"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138" t="str">
        <f ca="1"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 ca="1">IF(Proc[[#This Row],[type]]="LFF (MDG-F)",MID(Proc[[#This Row],[Obj]],13,10),"")</f>
        <v/>
      </c>
      <c r="J2044" s="94" t="b">
        <f ca="1">Proc[[#This Row],[Requested]]=Proc[[#This Row],[CurrentParent]]</f>
        <v>1</v>
      </c>
      <c r="K2044" s="94" t="str">
        <f ca="1"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138" t="str">
        <f ca="1"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 ca="1">IF(Proc[[#This Row],[type]]="LFF (MDG-F)",MID(Proc[[#This Row],[Obj]],13,10),"")</f>
        <v/>
      </c>
      <c r="J2045" s="94" t="b">
        <f ca="1">Proc[[#This Row],[Requested]]=Proc[[#This Row],[CurrentParent]]</f>
        <v>1</v>
      </c>
      <c r="K2045" s="94" t="str">
        <f ca="1"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138" t="str">
        <f ca="1"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 ca="1">IF(Proc[[#This Row],[type]]="LFF (MDG-F)",MID(Proc[[#This Row],[Obj]],13,10),"")</f>
        <v/>
      </c>
      <c r="J2046" s="94" t="b">
        <f ca="1">Proc[[#This Row],[Requested]]=Proc[[#This Row],[CurrentParent]]</f>
        <v>1</v>
      </c>
      <c r="K2046" s="94" t="str">
        <f ca="1"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138" t="str">
        <f ca="1"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 ca="1">IF(Proc[[#This Row],[type]]="LFF (MDG-F)",MID(Proc[[#This Row],[Obj]],13,10),"")</f>
        <v/>
      </c>
      <c r="J2047" s="94" t="b">
        <f ca="1">Proc[[#This Row],[Requested]]=Proc[[#This Row],[CurrentParent]]</f>
        <v>1</v>
      </c>
      <c r="K2047" s="94" t="str">
        <f ca="1"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138" t="str">
        <f ca="1"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 ca="1">IF(Proc[[#This Row],[type]]="LFF (MDG-F)",MID(Proc[[#This Row],[Obj]],13,10),"")</f>
        <v/>
      </c>
      <c r="J2048" s="94" t="b">
        <f ca="1">Proc[[#This Row],[Requested]]=Proc[[#This Row],[CurrentParent]]</f>
        <v>1</v>
      </c>
      <c r="K2048" s="94" t="str">
        <f ca="1"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138" t="str">
        <f ca="1"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 ca="1">IF(Proc[[#This Row],[type]]="LFF (MDG-F)",MID(Proc[[#This Row],[Obj]],13,10),"")</f>
        <v/>
      </c>
      <c r="J2049" s="94" t="b">
        <f ca="1">Proc[[#This Row],[Requested]]=Proc[[#This Row],[CurrentParent]]</f>
        <v>1</v>
      </c>
      <c r="K2049" s="94" t="str">
        <f ca="1"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138" t="str">
        <f ca="1"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 ca="1">IF(Proc[[#This Row],[type]]="LFF (MDG-F)",MID(Proc[[#This Row],[Obj]],13,10),"")</f>
        <v/>
      </c>
      <c r="J2050" s="94" t="b">
        <f ca="1">Proc[[#This Row],[Requested]]=Proc[[#This Row],[CurrentParent]]</f>
        <v>1</v>
      </c>
      <c r="K2050" s="94" t="str">
        <f ca="1"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138" t="str">
        <f ca="1"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 ca="1">IF(Proc[[#This Row],[type]]="LFF (MDG-F)",MID(Proc[[#This Row],[Obj]],13,10),"")</f>
        <v/>
      </c>
      <c r="J2051" s="94" t="b">
        <f ca="1">Proc[[#This Row],[Requested]]=Proc[[#This Row],[CurrentParent]]</f>
        <v>1</v>
      </c>
      <c r="K2051" s="94" t="str">
        <f ca="1"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138" t="str">
        <f ca="1"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 ca="1">IF(Proc[[#This Row],[type]]="LFF (MDG-F)",MID(Proc[[#This Row],[Obj]],13,10),"")</f>
        <v/>
      </c>
      <c r="J2052" s="94" t="b">
        <f ca="1">Proc[[#This Row],[Requested]]=Proc[[#This Row],[CurrentParent]]</f>
        <v>1</v>
      </c>
      <c r="K2052" s="94" t="str">
        <f ca="1"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138" t="str">
        <f ca="1"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 ca="1">IF(Proc[[#This Row],[type]]="LFF (MDG-F)",MID(Proc[[#This Row],[Obj]],13,10),"")</f>
        <v/>
      </c>
      <c r="J2053" s="94" t="b">
        <f ca="1">Proc[[#This Row],[Requested]]=Proc[[#This Row],[CurrentParent]]</f>
        <v>1</v>
      </c>
      <c r="K2053" s="94" t="str">
        <f ca="1"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138" t="str">
        <f ca="1"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 ca="1">IF(Proc[[#This Row],[type]]="LFF (MDG-F)",MID(Proc[[#This Row],[Obj]],13,10),"")</f>
        <v/>
      </c>
      <c r="J2054" s="94" t="b">
        <f ca="1">Proc[[#This Row],[Requested]]=Proc[[#This Row],[CurrentParent]]</f>
        <v>1</v>
      </c>
      <c r="K2054" s="94" t="str">
        <f ca="1"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138" t="str">
        <f ca="1"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 ca="1">IF(Proc[[#This Row],[type]]="LFF (MDG-F)",MID(Proc[[#This Row],[Obj]],13,10),"")</f>
        <v/>
      </c>
      <c r="J2055" s="94" t="b">
        <f ca="1">Proc[[#This Row],[Requested]]=Proc[[#This Row],[CurrentParent]]</f>
        <v>1</v>
      </c>
      <c r="K2055" s="94" t="str">
        <f ca="1"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138" t="str">
        <f ca="1"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 ca="1">IF(Proc[[#This Row],[type]]="LFF (MDG-F)",MID(Proc[[#This Row],[Obj]],13,10),"")</f>
        <v/>
      </c>
      <c r="J2056" s="94" t="b">
        <f ca="1">Proc[[#This Row],[Requested]]=Proc[[#This Row],[CurrentParent]]</f>
        <v>1</v>
      </c>
      <c r="K2056" s="94" t="str">
        <f ca="1"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138" t="str">
        <f ca="1"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 ca="1">IF(Proc[[#This Row],[type]]="LFF (MDG-F)",MID(Proc[[#This Row],[Obj]],13,10),"")</f>
        <v/>
      </c>
      <c r="J2057" s="94" t="b">
        <f ca="1">Proc[[#This Row],[Requested]]=Proc[[#This Row],[CurrentParent]]</f>
        <v>1</v>
      </c>
      <c r="K2057" s="94" t="str">
        <f ca="1"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138" t="str">
        <f ca="1"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 ca="1">IF(Proc[[#This Row],[type]]="LFF (MDG-F)",MID(Proc[[#This Row],[Obj]],13,10),"")</f>
        <v/>
      </c>
      <c r="J2058" s="94" t="b">
        <f ca="1">Proc[[#This Row],[Requested]]=Proc[[#This Row],[CurrentParent]]</f>
        <v>1</v>
      </c>
      <c r="K2058" s="94" t="str">
        <f ca="1"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138" t="str">
        <f ca="1"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 ca="1">IF(Proc[[#This Row],[type]]="LFF (MDG-F)",MID(Proc[[#This Row],[Obj]],13,10),"")</f>
        <v/>
      </c>
      <c r="J2059" s="94" t="b">
        <f ca="1">Proc[[#This Row],[Requested]]=Proc[[#This Row],[CurrentParent]]</f>
        <v>1</v>
      </c>
      <c r="K2059" s="94" t="str">
        <f ca="1"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138" t="str">
        <f ca="1"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 ca="1">IF(Proc[[#This Row],[type]]="LFF (MDG-F)",MID(Proc[[#This Row],[Obj]],13,10),"")</f>
        <v/>
      </c>
      <c r="J2060" s="94" t="b">
        <f ca="1">Proc[[#This Row],[Requested]]=Proc[[#This Row],[CurrentParent]]</f>
        <v>1</v>
      </c>
      <c r="K2060" s="94" t="str">
        <f ca="1"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138" t="str">
        <f ca="1"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 ca="1">IF(Proc[[#This Row],[type]]="LFF (MDG-F)",MID(Proc[[#This Row],[Obj]],13,10),"")</f>
        <v/>
      </c>
      <c r="J2061" s="94" t="b">
        <f ca="1">Proc[[#This Row],[Requested]]=Proc[[#This Row],[CurrentParent]]</f>
        <v>1</v>
      </c>
      <c r="K2061" s="94" t="str">
        <f ca="1"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138" t="str">
        <f ca="1"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 ca="1">IF(Proc[[#This Row],[type]]="LFF (MDG-F)",MID(Proc[[#This Row],[Obj]],13,10),"")</f>
        <v/>
      </c>
      <c r="J2062" s="94" t="b">
        <f ca="1">Proc[[#This Row],[Requested]]=Proc[[#This Row],[CurrentParent]]</f>
        <v>1</v>
      </c>
      <c r="K2062" s="94" t="str">
        <f ca="1"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138" t="str">
        <f ca="1"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 ca="1">IF(Proc[[#This Row],[type]]="LFF (MDG-F)",MID(Proc[[#This Row],[Obj]],13,10),"")</f>
        <v/>
      </c>
      <c r="J2063" s="94" t="b">
        <f ca="1">Proc[[#This Row],[Requested]]=Proc[[#This Row],[CurrentParent]]</f>
        <v>1</v>
      </c>
      <c r="K2063" s="94" t="str">
        <f ca="1"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138" t="str">
        <f ca="1"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 ca="1">IF(Proc[[#This Row],[type]]="LFF (MDG-F)",MID(Proc[[#This Row],[Obj]],13,10),"")</f>
        <v/>
      </c>
      <c r="J2064" s="94" t="b">
        <f ca="1">Proc[[#This Row],[Requested]]=Proc[[#This Row],[CurrentParent]]</f>
        <v>1</v>
      </c>
      <c r="K2064" s="94" t="str">
        <f ca="1"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138" t="str">
        <f ca="1"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 ca="1">IF(Proc[[#This Row],[type]]="LFF (MDG-F)",MID(Proc[[#This Row],[Obj]],13,10),"")</f>
        <v/>
      </c>
      <c r="J2065" s="94" t="b">
        <f ca="1">Proc[[#This Row],[Requested]]=Proc[[#This Row],[CurrentParent]]</f>
        <v>1</v>
      </c>
      <c r="K2065" s="94" t="str">
        <f ca="1"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138" t="str">
        <f ca="1"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 ca="1">IF(Proc[[#This Row],[type]]="LFF (MDG-F)",MID(Proc[[#This Row],[Obj]],13,10),"")</f>
        <v/>
      </c>
      <c r="J2066" s="94" t="b">
        <f ca="1">Proc[[#This Row],[Requested]]=Proc[[#This Row],[CurrentParent]]</f>
        <v>1</v>
      </c>
      <c r="K2066" s="94" t="str">
        <f ca="1"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138" t="str">
        <f ca="1"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 ca="1">IF(Proc[[#This Row],[type]]="LFF (MDG-F)",MID(Proc[[#This Row],[Obj]],13,10),"")</f>
        <v/>
      </c>
      <c r="J2067" s="94" t="b">
        <f ca="1">Proc[[#This Row],[Requested]]=Proc[[#This Row],[CurrentParent]]</f>
        <v>1</v>
      </c>
      <c r="K2067" s="94" t="str">
        <f ca="1"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138" t="str">
        <f ca="1"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 ca="1">IF(Proc[[#This Row],[type]]="LFF (MDG-F)",MID(Proc[[#This Row],[Obj]],13,10),"")</f>
        <v/>
      </c>
      <c r="J2068" s="94" t="b">
        <f ca="1">Proc[[#This Row],[Requested]]=Proc[[#This Row],[CurrentParent]]</f>
        <v>1</v>
      </c>
      <c r="K2068" s="94" t="str">
        <f ca="1"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138" t="str">
        <f ca="1"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 ca="1">IF(Proc[[#This Row],[type]]="LFF (MDG-F)",MID(Proc[[#This Row],[Obj]],13,10),"")</f>
        <v/>
      </c>
      <c r="J2069" s="94" t="b">
        <f ca="1">Proc[[#This Row],[Requested]]=Proc[[#This Row],[CurrentParent]]</f>
        <v>1</v>
      </c>
      <c r="K2069" s="94" t="str">
        <f ca="1"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138" t="str">
        <f ca="1"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 ca="1">IF(Proc[[#This Row],[type]]="LFF (MDG-F)",MID(Proc[[#This Row],[Obj]],13,10),"")</f>
        <v/>
      </c>
      <c r="J2070" s="94" t="b">
        <f ca="1">Proc[[#This Row],[Requested]]=Proc[[#This Row],[CurrentParent]]</f>
        <v>1</v>
      </c>
      <c r="K2070" s="94" t="str">
        <f ca="1"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138" t="str">
        <f ca="1"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 ca="1">IF(Proc[[#This Row],[type]]="LFF (MDG-F)",MID(Proc[[#This Row],[Obj]],13,10),"")</f>
        <v/>
      </c>
      <c r="J2071" s="94" t="b">
        <f ca="1">Proc[[#This Row],[Requested]]=Proc[[#This Row],[CurrentParent]]</f>
        <v>1</v>
      </c>
      <c r="K2071" s="94" t="str">
        <f ca="1"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138" t="str">
        <f ca="1"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 ca="1">IF(Proc[[#This Row],[type]]="LFF (MDG-F)",MID(Proc[[#This Row],[Obj]],13,10),"")</f>
        <v/>
      </c>
      <c r="J2072" s="94" t="b">
        <f ca="1">Proc[[#This Row],[Requested]]=Proc[[#This Row],[CurrentParent]]</f>
        <v>1</v>
      </c>
      <c r="K2072" s="94" t="str">
        <f ca="1"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138" t="str">
        <f ca="1"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 ca="1">IF(Proc[[#This Row],[type]]="LFF (MDG-F)",MID(Proc[[#This Row],[Obj]],13,10),"")</f>
        <v/>
      </c>
      <c r="J2073" s="94" t="b">
        <f ca="1">Proc[[#This Row],[Requested]]=Proc[[#This Row],[CurrentParent]]</f>
        <v>1</v>
      </c>
      <c r="K2073" s="94" t="str">
        <f ca="1"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138" t="str">
        <f ca="1"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 ca="1">IF(Proc[[#This Row],[type]]="LFF (MDG-F)",MID(Proc[[#This Row],[Obj]],13,10),"")</f>
        <v/>
      </c>
      <c r="J2074" s="94" t="b">
        <f ca="1">Proc[[#This Row],[Requested]]=Proc[[#This Row],[CurrentParent]]</f>
        <v>1</v>
      </c>
      <c r="K2074" s="94" t="str">
        <f ca="1"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138" t="str">
        <f ca="1"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 ca="1">IF(Proc[[#This Row],[type]]="LFF (MDG-F)",MID(Proc[[#This Row],[Obj]],13,10),"")</f>
        <v/>
      </c>
      <c r="J2075" s="94" t="b">
        <f ca="1">Proc[[#This Row],[Requested]]=Proc[[#This Row],[CurrentParent]]</f>
        <v>1</v>
      </c>
      <c r="K2075" s="94" t="str">
        <f ca="1"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138" t="str">
        <f ca="1"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 ca="1">IF(Proc[[#This Row],[type]]="LFF (MDG-F)",MID(Proc[[#This Row],[Obj]],13,10),"")</f>
        <v/>
      </c>
      <c r="J2076" s="94" t="b">
        <f ca="1">Proc[[#This Row],[Requested]]=Proc[[#This Row],[CurrentParent]]</f>
        <v>1</v>
      </c>
      <c r="K2076" s="94" t="str">
        <f ca="1"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138" t="str">
        <f ca="1"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 ca="1">IF(Proc[[#This Row],[type]]="LFF (MDG-F)",MID(Proc[[#This Row],[Obj]],13,10),"")</f>
        <v/>
      </c>
      <c r="J2077" s="94" t="b">
        <f ca="1">Proc[[#This Row],[Requested]]=Proc[[#This Row],[CurrentParent]]</f>
        <v>1</v>
      </c>
      <c r="K2077" s="94" t="str">
        <f ca="1"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138" t="str">
        <f ca="1"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 ca="1">IF(Proc[[#This Row],[type]]="LFF (MDG-F)",MID(Proc[[#This Row],[Obj]],13,10),"")</f>
        <v/>
      </c>
      <c r="J2078" s="94" t="b">
        <f ca="1">Proc[[#This Row],[Requested]]=Proc[[#This Row],[CurrentParent]]</f>
        <v>1</v>
      </c>
      <c r="K2078" s="94" t="str">
        <f ca="1"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138" t="str">
        <f ca="1"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 ca="1">IF(Proc[[#This Row],[type]]="LFF (MDG-F)",MID(Proc[[#This Row],[Obj]],13,10),"")</f>
        <v/>
      </c>
      <c r="J2079" s="94" t="b">
        <f ca="1">Proc[[#This Row],[Requested]]=Proc[[#This Row],[CurrentParent]]</f>
        <v>1</v>
      </c>
      <c r="K2079" s="94" t="str">
        <f ca="1"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138" t="str">
        <f ca="1"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 ca="1">IF(Proc[[#This Row],[type]]="LFF (MDG-F)",MID(Proc[[#This Row],[Obj]],13,10),"")</f>
        <v/>
      </c>
      <c r="J2080" s="94" t="b">
        <f ca="1">Proc[[#This Row],[Requested]]=Proc[[#This Row],[CurrentParent]]</f>
        <v>1</v>
      </c>
      <c r="K2080" s="94" t="str">
        <f ca="1"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138" t="str">
        <f ca="1"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 ca="1">IF(Proc[[#This Row],[type]]="LFF (MDG-F)",MID(Proc[[#This Row],[Obj]],13,10),"")</f>
        <v/>
      </c>
      <c r="J2081" s="94" t="b">
        <f ca="1">Proc[[#This Row],[Requested]]=Proc[[#This Row],[CurrentParent]]</f>
        <v>1</v>
      </c>
      <c r="K2081" s="94" t="str">
        <f ca="1"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138" t="str">
        <f ca="1"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 ca="1">IF(Proc[[#This Row],[type]]="LFF (MDG-F)",MID(Proc[[#This Row],[Obj]],13,10),"")</f>
        <v/>
      </c>
      <c r="J2082" s="94" t="b">
        <f ca="1">Proc[[#This Row],[Requested]]=Proc[[#This Row],[CurrentParent]]</f>
        <v>1</v>
      </c>
      <c r="K2082" s="94" t="str">
        <f ca="1"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138" t="str">
        <f ca="1"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 ca="1">IF(Proc[[#This Row],[type]]="LFF (MDG-F)",MID(Proc[[#This Row],[Obj]],13,10),"")</f>
        <v/>
      </c>
      <c r="J2083" s="94" t="b">
        <f ca="1">Proc[[#This Row],[Requested]]=Proc[[#This Row],[CurrentParent]]</f>
        <v>1</v>
      </c>
      <c r="K2083" s="94" t="str">
        <f ca="1"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138" t="str">
        <f ca="1"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 ca="1">IF(Proc[[#This Row],[type]]="LFF (MDG-F)",MID(Proc[[#This Row],[Obj]],13,10),"")</f>
        <v/>
      </c>
      <c r="J2084" s="94" t="b">
        <f ca="1">Proc[[#This Row],[Requested]]=Proc[[#This Row],[CurrentParent]]</f>
        <v>1</v>
      </c>
      <c r="K2084" s="94" t="str">
        <f ca="1"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138" t="str">
        <f ca="1"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 ca="1">IF(Proc[[#This Row],[type]]="LFF (MDG-F)",MID(Proc[[#This Row],[Obj]],13,10),"")</f>
        <v/>
      </c>
      <c r="J2085" s="94" t="b">
        <f ca="1">Proc[[#This Row],[Requested]]=Proc[[#This Row],[CurrentParent]]</f>
        <v>1</v>
      </c>
      <c r="K2085" s="94" t="str">
        <f ca="1"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138" t="str">
        <f ca="1"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 ca="1">IF(Proc[[#This Row],[type]]="LFF (MDG-F)",MID(Proc[[#This Row],[Obj]],13,10),"")</f>
        <v/>
      </c>
      <c r="J2086" s="94" t="b">
        <f ca="1">Proc[[#This Row],[Requested]]=Proc[[#This Row],[CurrentParent]]</f>
        <v>1</v>
      </c>
      <c r="K2086" s="94" t="str">
        <f ca="1"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138" t="str">
        <f ca="1"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 ca="1">IF(Proc[[#This Row],[type]]="LFF (MDG-F)",MID(Proc[[#This Row],[Obj]],13,10),"")</f>
        <v/>
      </c>
      <c r="J2087" s="94" t="b">
        <f ca="1">Proc[[#This Row],[Requested]]=Proc[[#This Row],[CurrentParent]]</f>
        <v>1</v>
      </c>
      <c r="K2087" s="94" t="str">
        <f ca="1"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138" t="str">
        <f ca="1"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 ca="1">IF(Proc[[#This Row],[type]]="LFF (MDG-F)",MID(Proc[[#This Row],[Obj]],13,10),"")</f>
        <v/>
      </c>
      <c r="J2088" s="94" t="b">
        <f ca="1">Proc[[#This Row],[Requested]]=Proc[[#This Row],[CurrentParent]]</f>
        <v>1</v>
      </c>
      <c r="K2088" s="94" t="str">
        <f ca="1"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138" t="str">
        <f ca="1"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 ca="1">IF(Proc[[#This Row],[type]]="LFF (MDG-F)",MID(Proc[[#This Row],[Obj]],13,10),"")</f>
        <v/>
      </c>
      <c r="J2089" s="94" t="b">
        <f ca="1">Proc[[#This Row],[Requested]]=Proc[[#This Row],[CurrentParent]]</f>
        <v>1</v>
      </c>
      <c r="K2089" s="94" t="str">
        <f ca="1"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138" t="str">
        <f ca="1"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 ca="1">IF(Proc[[#This Row],[type]]="LFF (MDG-F)",MID(Proc[[#This Row],[Obj]],13,10),"")</f>
        <v/>
      </c>
      <c r="J2090" s="94" t="b">
        <f ca="1">Proc[[#This Row],[Requested]]=Proc[[#This Row],[CurrentParent]]</f>
        <v>1</v>
      </c>
      <c r="K2090" s="94" t="str">
        <f ca="1"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138" t="str">
        <f ca="1"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 ca="1">IF(Proc[[#This Row],[type]]="LFF (MDG-F)",MID(Proc[[#This Row],[Obj]],13,10),"")</f>
        <v/>
      </c>
      <c r="J2091" s="94" t="b">
        <f ca="1">Proc[[#This Row],[Requested]]=Proc[[#This Row],[CurrentParent]]</f>
        <v>1</v>
      </c>
      <c r="K2091" s="94" t="str">
        <f ca="1"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138" t="str">
        <f ca="1"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 ca="1">IF(Proc[[#This Row],[type]]="LFF (MDG-F)",MID(Proc[[#This Row],[Obj]],13,10),"")</f>
        <v/>
      </c>
      <c r="J2092" s="94" t="b">
        <f ca="1">Proc[[#This Row],[Requested]]=Proc[[#This Row],[CurrentParent]]</f>
        <v>1</v>
      </c>
      <c r="K2092" s="94" t="str">
        <f ca="1"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138" t="str">
        <f ca="1"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 ca="1">IF(Proc[[#This Row],[type]]="LFF (MDG-F)",MID(Proc[[#This Row],[Obj]],13,10),"")</f>
        <v/>
      </c>
      <c r="J2093" s="94" t="b">
        <f ca="1">Proc[[#This Row],[Requested]]=Proc[[#This Row],[CurrentParent]]</f>
        <v>1</v>
      </c>
      <c r="K2093" s="94" t="str">
        <f ca="1"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138" t="str">
        <f ca="1"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 ca="1">IF(Proc[[#This Row],[type]]="LFF (MDG-F)",MID(Proc[[#This Row],[Obj]],13,10),"")</f>
        <v/>
      </c>
      <c r="J2094" s="94" t="b">
        <f ca="1">Proc[[#This Row],[Requested]]=Proc[[#This Row],[CurrentParent]]</f>
        <v>1</v>
      </c>
      <c r="K2094" s="94" t="str">
        <f ca="1"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138" t="str">
        <f ca="1"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 ca="1">IF(Proc[[#This Row],[type]]="LFF (MDG-F)",MID(Proc[[#This Row],[Obj]],13,10),"")</f>
        <v/>
      </c>
      <c r="J2095" s="94" t="b">
        <f ca="1">Proc[[#This Row],[Requested]]=Proc[[#This Row],[CurrentParent]]</f>
        <v>1</v>
      </c>
      <c r="K2095" s="94" t="str">
        <f ca="1"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138" t="str">
        <f ca="1"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 ca="1">IF(Proc[[#This Row],[type]]="LFF (MDG-F)",MID(Proc[[#This Row],[Obj]],13,10),"")</f>
        <v/>
      </c>
      <c r="J2096" s="94" t="b">
        <f ca="1">Proc[[#This Row],[Requested]]=Proc[[#This Row],[CurrentParent]]</f>
        <v>1</v>
      </c>
      <c r="K2096" s="94" t="str">
        <f ca="1"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138" t="str">
        <f ca="1"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 ca="1">IF(Proc[[#This Row],[type]]="LFF (MDG-F)",MID(Proc[[#This Row],[Obj]],13,10),"")</f>
        <v/>
      </c>
      <c r="J2097" s="94" t="b">
        <f ca="1">Proc[[#This Row],[Requested]]=Proc[[#This Row],[CurrentParent]]</f>
        <v>1</v>
      </c>
      <c r="K2097" s="94" t="str">
        <f ca="1"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138" t="str">
        <f ca="1"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 ca="1">IF(Proc[[#This Row],[type]]="LFF (MDG-F)",MID(Proc[[#This Row],[Obj]],13,10),"")</f>
        <v/>
      </c>
      <c r="J2098" s="94" t="b">
        <f ca="1">Proc[[#This Row],[Requested]]=Proc[[#This Row],[CurrentParent]]</f>
        <v>1</v>
      </c>
      <c r="K2098" s="94" t="str">
        <f ca="1"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138" t="str">
        <f ca="1"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 ca="1">IF(Proc[[#This Row],[type]]="LFF (MDG-F)",MID(Proc[[#This Row],[Obj]],13,10),"")</f>
        <v/>
      </c>
      <c r="J2099" s="94" t="b">
        <f ca="1">Proc[[#This Row],[Requested]]=Proc[[#This Row],[CurrentParent]]</f>
        <v>1</v>
      </c>
      <c r="K2099" s="94" t="str">
        <f ca="1"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138" t="str">
        <f ca="1"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 ca="1">IF(Proc[[#This Row],[type]]="LFF (MDG-F)",MID(Proc[[#This Row],[Obj]],13,10),"")</f>
        <v/>
      </c>
      <c r="J2100" s="94" t="b">
        <f ca="1">Proc[[#This Row],[Requested]]=Proc[[#This Row],[CurrentParent]]</f>
        <v>1</v>
      </c>
      <c r="K2100" s="94" t="str">
        <f ca="1"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138" t="str">
        <f ca="1"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 ca="1">IF(Proc[[#This Row],[type]]="LFF (MDG-F)",MID(Proc[[#This Row],[Obj]],13,10),"")</f>
        <v/>
      </c>
      <c r="J2101" s="94" t="b">
        <f ca="1">Proc[[#This Row],[Requested]]=Proc[[#This Row],[CurrentParent]]</f>
        <v>1</v>
      </c>
      <c r="K2101" s="94" t="str">
        <f ca="1"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138" t="str">
        <f ca="1"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 ca="1">IF(Proc[[#This Row],[type]]="LFF (MDG-F)",MID(Proc[[#This Row],[Obj]],13,10),"")</f>
        <v/>
      </c>
      <c r="J2102" s="94" t="b">
        <f ca="1">Proc[[#This Row],[Requested]]=Proc[[#This Row],[CurrentParent]]</f>
        <v>1</v>
      </c>
      <c r="K2102" s="94" t="str">
        <f ca="1"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138" t="str">
        <f ca="1"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 ca="1">IF(Proc[[#This Row],[type]]="LFF (MDG-F)",MID(Proc[[#This Row],[Obj]],13,10),"")</f>
        <v/>
      </c>
      <c r="J2103" s="94" t="b">
        <f ca="1">Proc[[#This Row],[Requested]]=Proc[[#This Row],[CurrentParent]]</f>
        <v>1</v>
      </c>
      <c r="K2103" s="94" t="str">
        <f ca="1"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138" t="str">
        <f ca="1"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 ca="1">IF(Proc[[#This Row],[type]]="LFF (MDG-F)",MID(Proc[[#This Row],[Obj]],13,10),"")</f>
        <v/>
      </c>
      <c r="J2104" s="94" t="b">
        <f ca="1">Proc[[#This Row],[Requested]]=Proc[[#This Row],[CurrentParent]]</f>
        <v>1</v>
      </c>
      <c r="K2104" s="94" t="str">
        <f ca="1"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138" t="str">
        <f ca="1"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 ca="1">IF(Proc[[#This Row],[type]]="LFF (MDG-F)",MID(Proc[[#This Row],[Obj]],13,10),"")</f>
        <v/>
      </c>
      <c r="J2105" s="94" t="b">
        <f ca="1">Proc[[#This Row],[Requested]]=Proc[[#This Row],[CurrentParent]]</f>
        <v>1</v>
      </c>
      <c r="K2105" s="94" t="str">
        <f ca="1"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138" t="str">
        <f ca="1"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 ca="1">IF(Proc[[#This Row],[type]]="LFF (MDG-F)",MID(Proc[[#This Row],[Obj]],13,10),"")</f>
        <v/>
      </c>
      <c r="J2106" s="94" t="b">
        <f ca="1">Proc[[#This Row],[Requested]]=Proc[[#This Row],[CurrentParent]]</f>
        <v>1</v>
      </c>
      <c r="K2106" s="94" t="str">
        <f ca="1"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138" t="str">
        <f ca="1"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 ca="1">IF(Proc[[#This Row],[type]]="LFF (MDG-F)",MID(Proc[[#This Row],[Obj]],13,10),"")</f>
        <v/>
      </c>
      <c r="J2107" s="94" t="b">
        <f ca="1">Proc[[#This Row],[Requested]]=Proc[[#This Row],[CurrentParent]]</f>
        <v>1</v>
      </c>
      <c r="K2107" s="94" t="str">
        <f ca="1"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138" t="str">
        <f ca="1"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 ca="1">IF(Proc[[#This Row],[type]]="LFF (MDG-F)",MID(Proc[[#This Row],[Obj]],13,10),"")</f>
        <v/>
      </c>
      <c r="J2108" s="94" t="b">
        <f ca="1">Proc[[#This Row],[Requested]]=Proc[[#This Row],[CurrentParent]]</f>
        <v>1</v>
      </c>
      <c r="K2108" s="94" t="str">
        <f ca="1"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138" t="str">
        <f ca="1"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 ca="1">IF(Proc[[#This Row],[type]]="LFF (MDG-F)",MID(Proc[[#This Row],[Obj]],13,10),"")</f>
        <v/>
      </c>
      <c r="J2109" s="94" t="b">
        <f ca="1">Proc[[#This Row],[Requested]]=Proc[[#This Row],[CurrentParent]]</f>
        <v>1</v>
      </c>
      <c r="K2109" s="94" t="str">
        <f ca="1"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138" t="str">
        <f ca="1"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 ca="1">IF(Proc[[#This Row],[type]]="LFF (MDG-F)",MID(Proc[[#This Row],[Obj]],13,10),"")</f>
        <v/>
      </c>
      <c r="J2110" s="94" t="b">
        <f ca="1">Proc[[#This Row],[Requested]]=Proc[[#This Row],[CurrentParent]]</f>
        <v>1</v>
      </c>
      <c r="K2110" s="94" t="str">
        <f ca="1"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138" t="str">
        <f ca="1"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 ca="1">IF(Proc[[#This Row],[type]]="LFF (MDG-F)",MID(Proc[[#This Row],[Obj]],13,10),"")</f>
        <v/>
      </c>
      <c r="J2111" s="94" t="b">
        <f ca="1">Proc[[#This Row],[Requested]]=Proc[[#This Row],[CurrentParent]]</f>
        <v>1</v>
      </c>
      <c r="K2111" s="94" t="str">
        <f ca="1"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138" t="str">
        <f ca="1"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 ca="1">IF(Proc[[#This Row],[type]]="LFF (MDG-F)",MID(Proc[[#This Row],[Obj]],13,10),"")</f>
        <v/>
      </c>
      <c r="J2112" s="94" t="b">
        <f ca="1">Proc[[#This Row],[Requested]]=Proc[[#This Row],[CurrentParent]]</f>
        <v>1</v>
      </c>
      <c r="K2112" s="94" t="str">
        <f ca="1"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138" t="str">
        <f ca="1"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 ca="1">IF(Proc[[#This Row],[type]]="LFF (MDG-F)",MID(Proc[[#This Row],[Obj]],13,10),"")</f>
        <v/>
      </c>
      <c r="J2113" s="94" t="b">
        <f ca="1">Proc[[#This Row],[Requested]]=Proc[[#This Row],[CurrentParent]]</f>
        <v>1</v>
      </c>
      <c r="K2113" s="94" t="str">
        <f ca="1"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138" t="str">
        <f ca="1"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 ca="1">IF(Proc[[#This Row],[type]]="LFF (MDG-F)",MID(Proc[[#This Row],[Obj]],13,10),"")</f>
        <v/>
      </c>
      <c r="J2114" s="94" t="b">
        <f ca="1">Proc[[#This Row],[Requested]]=Proc[[#This Row],[CurrentParent]]</f>
        <v>1</v>
      </c>
      <c r="K2114" s="94" t="str">
        <f ca="1"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138" t="str">
        <f ca="1"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 ca="1">IF(Proc[[#This Row],[type]]="LFF (MDG-F)",MID(Proc[[#This Row],[Obj]],13,10),"")</f>
        <v/>
      </c>
      <c r="J2115" s="94" t="b">
        <f ca="1">Proc[[#This Row],[Requested]]=Proc[[#This Row],[CurrentParent]]</f>
        <v>1</v>
      </c>
      <c r="K2115" s="94" t="str">
        <f ca="1"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138" t="str">
        <f ca="1"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 ca="1">IF(Proc[[#This Row],[type]]="LFF (MDG-F)",MID(Proc[[#This Row],[Obj]],13,10),"")</f>
        <v/>
      </c>
      <c r="J2116" s="94" t="b">
        <f ca="1">Proc[[#This Row],[Requested]]=Proc[[#This Row],[CurrentParent]]</f>
        <v>1</v>
      </c>
      <c r="K2116" s="94" t="str">
        <f ca="1"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138" t="str">
        <f ca="1"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 ca="1">IF(Proc[[#This Row],[type]]="LFF (MDG-F)",MID(Proc[[#This Row],[Obj]],13,10),"")</f>
        <v/>
      </c>
      <c r="J2117" s="94" t="b">
        <f ca="1">Proc[[#This Row],[Requested]]=Proc[[#This Row],[CurrentParent]]</f>
        <v>1</v>
      </c>
      <c r="K2117" s="94" t="str">
        <f ca="1"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138" t="str">
        <f ca="1"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 ca="1">IF(Proc[[#This Row],[type]]="LFF (MDG-F)",MID(Proc[[#This Row],[Obj]],13,10),"")</f>
        <v/>
      </c>
      <c r="J2118" s="94" t="b">
        <f ca="1">Proc[[#This Row],[Requested]]=Proc[[#This Row],[CurrentParent]]</f>
        <v>1</v>
      </c>
      <c r="K2118" s="94" t="str">
        <f ca="1"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138" t="str">
        <f ca="1"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 ca="1">IF(Proc[[#This Row],[type]]="LFF (MDG-F)",MID(Proc[[#This Row],[Obj]],13,10),"")</f>
        <v/>
      </c>
      <c r="J2119" s="94" t="b">
        <f ca="1">Proc[[#This Row],[Requested]]=Proc[[#This Row],[CurrentParent]]</f>
        <v>1</v>
      </c>
      <c r="K2119" s="94" t="str">
        <f ca="1"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138" t="str">
        <f ca="1"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 ca="1">IF(Proc[[#This Row],[type]]="LFF (MDG-F)",MID(Proc[[#This Row],[Obj]],13,10),"")</f>
        <v/>
      </c>
      <c r="J2120" s="94" t="b">
        <f ca="1">Proc[[#This Row],[Requested]]=Proc[[#This Row],[CurrentParent]]</f>
        <v>1</v>
      </c>
      <c r="K2120" s="94" t="str">
        <f ca="1"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138" t="str">
        <f ca="1"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 ca="1">IF(Proc[[#This Row],[type]]="LFF (MDG-F)",MID(Proc[[#This Row],[Obj]],13,10),"")</f>
        <v/>
      </c>
      <c r="J2121" s="94" t="b">
        <f ca="1">Proc[[#This Row],[Requested]]=Proc[[#This Row],[CurrentParent]]</f>
        <v>1</v>
      </c>
      <c r="K2121" s="94" t="str">
        <f ca="1"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138" t="str">
        <f ca="1"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 ca="1">IF(Proc[[#This Row],[type]]="LFF (MDG-F)",MID(Proc[[#This Row],[Obj]],13,10),"")</f>
        <v/>
      </c>
      <c r="J2122" s="94" t="b">
        <f ca="1">Proc[[#This Row],[Requested]]=Proc[[#This Row],[CurrentParent]]</f>
        <v>1</v>
      </c>
      <c r="K2122" s="94" t="str">
        <f ca="1"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138" t="str">
        <f ca="1"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 ca="1">IF(Proc[[#This Row],[type]]="LFF (MDG-F)",MID(Proc[[#This Row],[Obj]],13,10),"")</f>
        <v/>
      </c>
      <c r="J2123" s="94" t="b">
        <f ca="1">Proc[[#This Row],[Requested]]=Proc[[#This Row],[CurrentParent]]</f>
        <v>1</v>
      </c>
      <c r="K2123" s="94" t="str">
        <f ca="1"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138" t="str">
        <f ca="1"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 ca="1">IF(Proc[[#This Row],[type]]="LFF (MDG-F)",MID(Proc[[#This Row],[Obj]],13,10),"")</f>
        <v/>
      </c>
      <c r="J2124" s="94" t="b">
        <f ca="1">Proc[[#This Row],[Requested]]=Proc[[#This Row],[CurrentParent]]</f>
        <v>1</v>
      </c>
      <c r="K2124" s="94" t="str">
        <f ca="1"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138" t="str">
        <f ca="1"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 ca="1">IF(Proc[[#This Row],[type]]="LFF (MDG-F)",MID(Proc[[#This Row],[Obj]],13,10),"")</f>
        <v/>
      </c>
      <c r="J2125" s="94" t="b">
        <f ca="1">Proc[[#This Row],[Requested]]=Proc[[#This Row],[CurrentParent]]</f>
        <v>1</v>
      </c>
      <c r="K2125" s="94" t="str">
        <f ca="1"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138" t="str">
        <f ca="1"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 ca="1">IF(Proc[[#This Row],[type]]="LFF (MDG-F)",MID(Proc[[#This Row],[Obj]],13,10),"")</f>
        <v/>
      </c>
      <c r="J2126" s="94" t="b">
        <f ca="1">Proc[[#This Row],[Requested]]=Proc[[#This Row],[CurrentParent]]</f>
        <v>1</v>
      </c>
      <c r="K2126" s="94" t="str">
        <f ca="1"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138" t="str">
        <f ca="1"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 ca="1">IF(Proc[[#This Row],[type]]="LFF (MDG-F)",MID(Proc[[#This Row],[Obj]],13,10),"")</f>
        <v/>
      </c>
      <c r="J2127" s="94" t="b">
        <f ca="1">Proc[[#This Row],[Requested]]=Proc[[#This Row],[CurrentParent]]</f>
        <v>1</v>
      </c>
      <c r="K2127" s="94" t="str">
        <f ca="1"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138" t="str">
        <f ca="1"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 ca="1">IF(Proc[[#This Row],[type]]="LFF (MDG-F)",MID(Proc[[#This Row],[Obj]],13,10),"")</f>
        <v/>
      </c>
      <c r="J2128" s="94" t="b">
        <f ca="1">Proc[[#This Row],[Requested]]=Proc[[#This Row],[CurrentParent]]</f>
        <v>1</v>
      </c>
      <c r="K2128" s="94" t="str">
        <f ca="1"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138" t="str">
        <f ca="1"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 ca="1">IF(Proc[[#This Row],[type]]="LFF (MDG-F)",MID(Proc[[#This Row],[Obj]],13,10),"")</f>
        <v/>
      </c>
      <c r="J2129" s="94" t="b">
        <f ca="1">Proc[[#This Row],[Requested]]=Proc[[#This Row],[CurrentParent]]</f>
        <v>1</v>
      </c>
      <c r="K2129" s="94" t="str">
        <f ca="1"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138" t="str">
        <f ca="1"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 ca="1">IF(Proc[[#This Row],[type]]="LFF (MDG-F)",MID(Proc[[#This Row],[Obj]],13,10),"")</f>
        <v/>
      </c>
      <c r="J2130" s="94" t="b">
        <f ca="1">Proc[[#This Row],[Requested]]=Proc[[#This Row],[CurrentParent]]</f>
        <v>1</v>
      </c>
      <c r="K2130" s="94" t="str">
        <f ca="1"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138" t="str">
        <f ca="1"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 ca="1">IF(Proc[[#This Row],[type]]="LFF (MDG-F)",MID(Proc[[#This Row],[Obj]],13,10),"")</f>
        <v/>
      </c>
      <c r="J2131" s="94" t="b">
        <f ca="1">Proc[[#This Row],[Requested]]=Proc[[#This Row],[CurrentParent]]</f>
        <v>1</v>
      </c>
      <c r="K2131" s="94" t="str">
        <f ca="1"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138" t="str">
        <f ca="1"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 ca="1">IF(Proc[[#This Row],[type]]="LFF (MDG-F)",MID(Proc[[#This Row],[Obj]],13,10),"")</f>
        <v/>
      </c>
      <c r="J2132" s="94" t="b">
        <f ca="1">Proc[[#This Row],[Requested]]=Proc[[#This Row],[CurrentParent]]</f>
        <v>1</v>
      </c>
      <c r="K2132" s="94" t="str">
        <f ca="1"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138" t="str">
        <f ca="1"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 ca="1">IF(Proc[[#This Row],[type]]="LFF (MDG-F)",MID(Proc[[#This Row],[Obj]],13,10),"")</f>
        <v/>
      </c>
      <c r="J2133" s="94" t="b">
        <f ca="1">Proc[[#This Row],[Requested]]=Proc[[#This Row],[CurrentParent]]</f>
        <v>1</v>
      </c>
      <c r="K2133" s="94" t="str">
        <f ca="1"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138" t="str">
        <f ca="1"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 ca="1">IF(Proc[[#This Row],[type]]="LFF (MDG-F)",MID(Proc[[#This Row],[Obj]],13,10),"")</f>
        <v/>
      </c>
      <c r="J2134" s="94" t="b">
        <f ca="1">Proc[[#This Row],[Requested]]=Proc[[#This Row],[CurrentParent]]</f>
        <v>1</v>
      </c>
      <c r="K2134" s="94" t="str">
        <f ca="1"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138" t="str">
        <f ca="1"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 ca="1">IF(Proc[[#This Row],[type]]="LFF (MDG-F)",MID(Proc[[#This Row],[Obj]],13,10),"")</f>
        <v/>
      </c>
      <c r="J2135" s="94" t="b">
        <f ca="1">Proc[[#This Row],[Requested]]=Proc[[#This Row],[CurrentParent]]</f>
        <v>1</v>
      </c>
      <c r="K2135" s="94" t="str">
        <f ca="1"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138" t="str">
        <f ca="1"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 ca="1">IF(Proc[[#This Row],[type]]="LFF (MDG-F)",MID(Proc[[#This Row],[Obj]],13,10),"")</f>
        <v/>
      </c>
      <c r="J2136" s="94" t="b">
        <f ca="1">Proc[[#This Row],[Requested]]=Proc[[#This Row],[CurrentParent]]</f>
        <v>1</v>
      </c>
      <c r="K2136" s="94" t="str">
        <f ca="1"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138" t="str">
        <f ca="1"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 ca="1">IF(Proc[[#This Row],[type]]="LFF (MDG-F)",MID(Proc[[#This Row],[Obj]],13,10),"")</f>
        <v/>
      </c>
      <c r="J2137" s="94" t="b">
        <f ca="1">Proc[[#This Row],[Requested]]=Proc[[#This Row],[CurrentParent]]</f>
        <v>1</v>
      </c>
      <c r="K2137" s="94" t="str">
        <f ca="1"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138" t="str">
        <f ca="1"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 ca="1">IF(Proc[[#This Row],[type]]="LFF (MDG-F)",MID(Proc[[#This Row],[Obj]],13,10),"")</f>
        <v/>
      </c>
      <c r="J2138" s="94" t="b">
        <f ca="1">Proc[[#This Row],[Requested]]=Proc[[#This Row],[CurrentParent]]</f>
        <v>1</v>
      </c>
      <c r="K2138" s="94" t="str">
        <f ca="1"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138" t="str">
        <f ca="1"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 ca="1">IF(Proc[[#This Row],[type]]="LFF (MDG-F)",MID(Proc[[#This Row],[Obj]],13,10),"")</f>
        <v/>
      </c>
      <c r="J2139" s="94" t="b">
        <f ca="1">Proc[[#This Row],[Requested]]=Proc[[#This Row],[CurrentParent]]</f>
        <v>1</v>
      </c>
      <c r="K2139" s="94" t="str">
        <f ca="1"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138" t="str">
        <f ca="1"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 ca="1">IF(Proc[[#This Row],[type]]="LFF (MDG-F)",MID(Proc[[#This Row],[Obj]],13,10),"")</f>
        <v/>
      </c>
      <c r="J2140" s="94" t="b">
        <f ca="1">Proc[[#This Row],[Requested]]=Proc[[#This Row],[CurrentParent]]</f>
        <v>1</v>
      </c>
      <c r="K2140" s="94" t="str">
        <f ca="1"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138" t="str">
        <f ca="1"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 ca="1">IF(Proc[[#This Row],[type]]="LFF (MDG-F)",MID(Proc[[#This Row],[Obj]],13,10),"")</f>
        <v/>
      </c>
      <c r="J2141" s="94" t="b">
        <f ca="1">Proc[[#This Row],[Requested]]=Proc[[#This Row],[CurrentParent]]</f>
        <v>1</v>
      </c>
      <c r="K2141" s="94" t="str">
        <f ca="1"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138" t="str">
        <f ca="1"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 ca="1">IF(Proc[[#This Row],[type]]="LFF (MDG-F)",MID(Proc[[#This Row],[Obj]],13,10),"")</f>
        <v/>
      </c>
      <c r="J2142" s="94" t="b">
        <f ca="1">Proc[[#This Row],[Requested]]=Proc[[#This Row],[CurrentParent]]</f>
        <v>1</v>
      </c>
      <c r="K2142" s="94" t="str">
        <f ca="1"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138" t="str">
        <f ca="1"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 ca="1">IF(Proc[[#This Row],[type]]="LFF (MDG-F)",MID(Proc[[#This Row],[Obj]],13,10),"")</f>
        <v/>
      </c>
      <c r="J2143" s="94" t="b">
        <f ca="1">Proc[[#This Row],[Requested]]=Proc[[#This Row],[CurrentParent]]</f>
        <v>1</v>
      </c>
      <c r="K2143" s="94" t="str">
        <f ca="1"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138" t="str">
        <f ca="1"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 ca="1">IF(Proc[[#This Row],[type]]="LFF (MDG-F)",MID(Proc[[#This Row],[Obj]],13,10),"")</f>
        <v/>
      </c>
      <c r="J2144" s="94" t="b">
        <f ca="1">Proc[[#This Row],[Requested]]=Proc[[#This Row],[CurrentParent]]</f>
        <v>1</v>
      </c>
      <c r="K2144" s="94" t="str">
        <f ca="1"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138" t="str">
        <f ca="1"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 ca="1">IF(Proc[[#This Row],[type]]="LFF (MDG-F)",MID(Proc[[#This Row],[Obj]],13,10),"")</f>
        <v/>
      </c>
      <c r="J2145" s="94" t="b">
        <f ca="1">Proc[[#This Row],[Requested]]=Proc[[#This Row],[CurrentParent]]</f>
        <v>1</v>
      </c>
      <c r="K2145" s="94" t="str">
        <f ca="1"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138" t="str">
        <f ca="1"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 ca="1">IF(Proc[[#This Row],[type]]="LFF (MDG-F)",MID(Proc[[#This Row],[Obj]],13,10),"")</f>
        <v/>
      </c>
      <c r="J2146" s="94" t="b">
        <f ca="1">Proc[[#This Row],[Requested]]=Proc[[#This Row],[CurrentParent]]</f>
        <v>1</v>
      </c>
      <c r="K2146" s="94" t="str">
        <f ca="1"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138" t="str">
        <f ca="1"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 ca="1">IF(Proc[[#This Row],[type]]="LFF (MDG-F)",MID(Proc[[#This Row],[Obj]],13,10),"")</f>
        <v/>
      </c>
      <c r="J2147" s="94" t="b">
        <f ca="1">Proc[[#This Row],[Requested]]=Proc[[#This Row],[CurrentParent]]</f>
        <v>1</v>
      </c>
      <c r="K2147" s="94" t="str">
        <f ca="1"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138" t="str">
        <f ca="1"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 ca="1">IF(Proc[[#This Row],[type]]="LFF (MDG-F)",MID(Proc[[#This Row],[Obj]],13,10),"")</f>
        <v/>
      </c>
      <c r="J2148" s="94" t="b">
        <f ca="1">Proc[[#This Row],[Requested]]=Proc[[#This Row],[CurrentParent]]</f>
        <v>1</v>
      </c>
      <c r="K2148" s="94" t="str">
        <f ca="1"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138" t="str">
        <f ca="1"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 ca="1">IF(Proc[[#This Row],[type]]="LFF (MDG-F)",MID(Proc[[#This Row],[Obj]],13,10),"")</f>
        <v/>
      </c>
      <c r="J2149" s="94" t="b">
        <f ca="1">Proc[[#This Row],[Requested]]=Proc[[#This Row],[CurrentParent]]</f>
        <v>1</v>
      </c>
      <c r="K2149" s="94" t="str">
        <f ca="1"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138" t="str">
        <f ca="1"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 ca="1">IF(Proc[[#This Row],[type]]="LFF (MDG-F)",MID(Proc[[#This Row],[Obj]],13,10),"")</f>
        <v/>
      </c>
      <c r="J2150" s="94" t="b">
        <f ca="1">Proc[[#This Row],[Requested]]=Proc[[#This Row],[CurrentParent]]</f>
        <v>1</v>
      </c>
      <c r="K2150" s="94" t="str">
        <f ca="1"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138" t="str">
        <f ca="1"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 ca="1">IF(Proc[[#This Row],[type]]="LFF (MDG-F)",MID(Proc[[#This Row],[Obj]],13,10),"")</f>
        <v/>
      </c>
      <c r="J2151" s="94" t="b">
        <f ca="1">Proc[[#This Row],[Requested]]=Proc[[#This Row],[CurrentParent]]</f>
        <v>1</v>
      </c>
      <c r="K2151" s="94" t="str">
        <f ca="1"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138" t="str">
        <f ca="1"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 ca="1">IF(Proc[[#This Row],[type]]="LFF (MDG-F)",MID(Proc[[#This Row],[Obj]],13,10),"")</f>
        <v/>
      </c>
      <c r="J2152" s="94" t="b">
        <f ca="1">Proc[[#This Row],[Requested]]=Proc[[#This Row],[CurrentParent]]</f>
        <v>1</v>
      </c>
      <c r="K2152" s="94" t="str">
        <f ca="1"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138" t="str">
        <f ca="1"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 ca="1">IF(Proc[[#This Row],[type]]="LFF (MDG-F)",MID(Proc[[#This Row],[Obj]],13,10),"")</f>
        <v/>
      </c>
      <c r="J2153" s="94" t="b">
        <f ca="1">Proc[[#This Row],[Requested]]=Proc[[#This Row],[CurrentParent]]</f>
        <v>1</v>
      </c>
      <c r="K2153" s="94" t="str">
        <f ca="1"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138" t="str">
        <f ca="1"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 ca="1">IF(Proc[[#This Row],[type]]="LFF (MDG-F)",MID(Proc[[#This Row],[Obj]],13,10),"")</f>
        <v/>
      </c>
      <c r="J2154" s="94" t="b">
        <f ca="1">Proc[[#This Row],[Requested]]=Proc[[#This Row],[CurrentParent]]</f>
        <v>1</v>
      </c>
      <c r="K2154" s="94" t="str">
        <f ca="1"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138" t="str">
        <f ca="1"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 ca="1">IF(Proc[[#This Row],[type]]="LFF (MDG-F)",MID(Proc[[#This Row],[Obj]],13,10),"")</f>
        <v/>
      </c>
      <c r="J2155" s="94" t="b">
        <f ca="1">Proc[[#This Row],[Requested]]=Proc[[#This Row],[CurrentParent]]</f>
        <v>1</v>
      </c>
      <c r="K2155" s="94" t="str">
        <f ca="1"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138" t="str">
        <f ca="1"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 ca="1">IF(Proc[[#This Row],[type]]="LFF (MDG-F)",MID(Proc[[#This Row],[Obj]],13,10),"")</f>
        <v/>
      </c>
      <c r="J2156" s="94" t="b">
        <f ca="1">Proc[[#This Row],[Requested]]=Proc[[#This Row],[CurrentParent]]</f>
        <v>1</v>
      </c>
      <c r="K2156" s="94" t="str">
        <f ca="1"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138" t="str">
        <f ca="1"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 ca="1">IF(Proc[[#This Row],[type]]="LFF (MDG-F)",MID(Proc[[#This Row],[Obj]],13,10),"")</f>
        <v/>
      </c>
      <c r="J2157" s="94" t="b">
        <f ca="1">Proc[[#This Row],[Requested]]=Proc[[#This Row],[CurrentParent]]</f>
        <v>1</v>
      </c>
      <c r="K2157" s="94" t="str">
        <f ca="1"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138" t="str">
        <f ca="1"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 ca="1">IF(Proc[[#This Row],[type]]="LFF (MDG-F)",MID(Proc[[#This Row],[Obj]],13,10),"")</f>
        <v/>
      </c>
      <c r="J2158" s="94" t="b">
        <f ca="1">Proc[[#This Row],[Requested]]=Proc[[#This Row],[CurrentParent]]</f>
        <v>1</v>
      </c>
      <c r="K2158" s="94" t="str">
        <f ca="1"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138" t="str">
        <f ca="1"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 ca="1">IF(Proc[[#This Row],[type]]="LFF (MDG-F)",MID(Proc[[#This Row],[Obj]],13,10),"")</f>
        <v/>
      </c>
      <c r="J2159" s="94" t="b">
        <f ca="1">Proc[[#This Row],[Requested]]=Proc[[#This Row],[CurrentParent]]</f>
        <v>1</v>
      </c>
      <c r="K2159" s="94" t="str">
        <f ca="1"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138" t="str">
        <f ca="1"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 ca="1">IF(Proc[[#This Row],[type]]="LFF (MDG-F)",MID(Proc[[#This Row],[Obj]],13,10),"")</f>
        <v/>
      </c>
      <c r="J2160" s="94" t="b">
        <f ca="1">Proc[[#This Row],[Requested]]=Proc[[#This Row],[CurrentParent]]</f>
        <v>1</v>
      </c>
      <c r="K2160" s="94" t="str">
        <f ca="1"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138" t="str">
        <f ca="1"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 ca="1">IF(Proc[[#This Row],[type]]="LFF (MDG-F)",MID(Proc[[#This Row],[Obj]],13,10),"")</f>
        <v/>
      </c>
      <c r="J2161" s="94" t="b">
        <f ca="1">Proc[[#This Row],[Requested]]=Proc[[#This Row],[CurrentParent]]</f>
        <v>1</v>
      </c>
      <c r="K2161" s="94" t="str">
        <f ca="1"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138" t="str">
        <f ca="1"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 ca="1">IF(Proc[[#This Row],[type]]="LFF (MDG-F)",MID(Proc[[#This Row],[Obj]],13,10),"")</f>
        <v/>
      </c>
      <c r="J2162" s="94" t="b">
        <f ca="1">Proc[[#This Row],[Requested]]=Proc[[#This Row],[CurrentParent]]</f>
        <v>1</v>
      </c>
      <c r="K2162" s="94" t="str">
        <f ca="1"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138" t="str">
        <f ca="1"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 ca="1">IF(Proc[[#This Row],[type]]="LFF (MDG-F)",MID(Proc[[#This Row],[Obj]],13,10),"")</f>
        <v/>
      </c>
      <c r="J2163" s="94" t="b">
        <f ca="1">Proc[[#This Row],[Requested]]=Proc[[#This Row],[CurrentParent]]</f>
        <v>1</v>
      </c>
      <c r="K2163" s="94" t="str">
        <f ca="1"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138" t="str">
        <f ca="1"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 ca="1">IF(Proc[[#This Row],[type]]="LFF (MDG-F)",MID(Proc[[#This Row],[Obj]],13,10),"")</f>
        <v/>
      </c>
      <c r="J2164" s="94" t="b">
        <f ca="1">Proc[[#This Row],[Requested]]=Proc[[#This Row],[CurrentParent]]</f>
        <v>1</v>
      </c>
      <c r="K2164" s="94" t="str">
        <f ca="1"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138" t="str">
        <f ca="1"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 ca="1">IF(Proc[[#This Row],[type]]="LFF (MDG-F)",MID(Proc[[#This Row],[Obj]],13,10),"")</f>
        <v/>
      </c>
      <c r="J2165" s="94" t="b">
        <f ca="1">Proc[[#This Row],[Requested]]=Proc[[#This Row],[CurrentParent]]</f>
        <v>1</v>
      </c>
      <c r="K2165" s="94" t="str">
        <f ca="1"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138" t="str">
        <f ca="1"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 ca="1">IF(Proc[[#This Row],[type]]="LFF (MDG-F)",MID(Proc[[#This Row],[Obj]],13,10),"")</f>
        <v/>
      </c>
      <c r="J2166" s="94" t="b">
        <f ca="1">Proc[[#This Row],[Requested]]=Proc[[#This Row],[CurrentParent]]</f>
        <v>1</v>
      </c>
      <c r="K2166" s="94" t="str">
        <f ca="1"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138" t="str">
        <f ca="1"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 ca="1">IF(Proc[[#This Row],[type]]="LFF (MDG-F)",MID(Proc[[#This Row],[Obj]],13,10),"")</f>
        <v/>
      </c>
      <c r="J2167" s="94" t="b">
        <f ca="1">Proc[[#This Row],[Requested]]=Proc[[#This Row],[CurrentParent]]</f>
        <v>1</v>
      </c>
      <c r="K2167" s="94" t="str">
        <f ca="1"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138" t="str">
        <f ca="1"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 ca="1">IF(Proc[[#This Row],[type]]="LFF (MDG-F)",MID(Proc[[#This Row],[Obj]],13,10),"")</f>
        <v/>
      </c>
      <c r="J2168" s="94" t="b">
        <f ca="1">Proc[[#This Row],[Requested]]=Proc[[#This Row],[CurrentParent]]</f>
        <v>1</v>
      </c>
      <c r="K2168" s="94" t="str">
        <f ca="1"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138" t="str">
        <f ca="1"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 ca="1">IF(Proc[[#This Row],[type]]="LFF (MDG-F)",MID(Proc[[#This Row],[Obj]],13,10),"")</f>
        <v/>
      </c>
      <c r="J2169" s="94" t="b">
        <f ca="1">Proc[[#This Row],[Requested]]=Proc[[#This Row],[CurrentParent]]</f>
        <v>1</v>
      </c>
      <c r="K2169" s="94" t="str">
        <f ca="1"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138" t="str">
        <f ca="1"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 ca="1">IF(Proc[[#This Row],[type]]="LFF (MDG-F)",MID(Proc[[#This Row],[Obj]],13,10),"")</f>
        <v/>
      </c>
      <c r="J2170" s="94" t="b">
        <f ca="1">Proc[[#This Row],[Requested]]=Proc[[#This Row],[CurrentParent]]</f>
        <v>1</v>
      </c>
      <c r="K2170" s="94" t="str">
        <f ca="1"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138" t="str">
        <f ca="1"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 ca="1">IF(Proc[[#This Row],[type]]="LFF (MDG-F)",MID(Proc[[#This Row],[Obj]],13,10),"")</f>
        <v/>
      </c>
      <c r="J2171" s="94" t="b">
        <f ca="1">Proc[[#This Row],[Requested]]=Proc[[#This Row],[CurrentParent]]</f>
        <v>1</v>
      </c>
      <c r="K2171" s="94" t="str">
        <f ca="1"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138" t="str">
        <f ca="1"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 ca="1">IF(Proc[[#This Row],[type]]="LFF (MDG-F)",MID(Proc[[#This Row],[Obj]],13,10),"")</f>
        <v/>
      </c>
      <c r="J2172" s="94" t="b">
        <f ca="1">Proc[[#This Row],[Requested]]=Proc[[#This Row],[CurrentParent]]</f>
        <v>1</v>
      </c>
      <c r="K2172" s="94" t="str">
        <f ca="1"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138" t="str">
        <f ca="1"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 ca="1">IF(Proc[[#This Row],[type]]="LFF (MDG-F)",MID(Proc[[#This Row],[Obj]],13,10),"")</f>
        <v/>
      </c>
      <c r="J2173" s="94" t="b">
        <f ca="1">Proc[[#This Row],[Requested]]=Proc[[#This Row],[CurrentParent]]</f>
        <v>1</v>
      </c>
      <c r="K2173" s="94" t="str">
        <f ca="1"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138" t="str">
        <f ca="1"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 ca="1">IF(Proc[[#This Row],[type]]="LFF (MDG-F)",MID(Proc[[#This Row],[Obj]],13,10),"")</f>
        <v/>
      </c>
      <c r="J2174" s="94" t="b">
        <f ca="1">Proc[[#This Row],[Requested]]=Proc[[#This Row],[CurrentParent]]</f>
        <v>1</v>
      </c>
      <c r="K2174" s="94" t="str">
        <f ca="1"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138" t="str">
        <f ca="1"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 ca="1">IF(Proc[[#This Row],[type]]="LFF (MDG-F)",MID(Proc[[#This Row],[Obj]],13,10),"")</f>
        <v/>
      </c>
      <c r="J2175" s="94" t="b">
        <f ca="1">Proc[[#This Row],[Requested]]=Proc[[#This Row],[CurrentParent]]</f>
        <v>1</v>
      </c>
      <c r="K2175" s="94" t="str">
        <f ca="1"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138" t="str">
        <f ca="1"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 ca="1">IF(Proc[[#This Row],[type]]="LFF (MDG-F)",MID(Proc[[#This Row],[Obj]],13,10),"")</f>
        <v/>
      </c>
      <c r="J2176" s="94" t="b">
        <f ca="1">Proc[[#This Row],[Requested]]=Proc[[#This Row],[CurrentParent]]</f>
        <v>1</v>
      </c>
      <c r="K2176" s="94" t="str">
        <f ca="1"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138" t="str">
        <f ca="1"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 ca="1">IF(Proc[[#This Row],[type]]="LFF (MDG-F)",MID(Proc[[#This Row],[Obj]],13,10),"")</f>
        <v/>
      </c>
      <c r="J2177" s="94" t="b">
        <f ca="1">Proc[[#This Row],[Requested]]=Proc[[#This Row],[CurrentParent]]</f>
        <v>1</v>
      </c>
      <c r="K2177" s="94" t="str">
        <f ca="1"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138" t="str">
        <f ca="1"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 ca="1">IF(Proc[[#This Row],[type]]="LFF (MDG-F)",MID(Proc[[#This Row],[Obj]],13,10),"")</f>
        <v/>
      </c>
      <c r="J2178" s="94" t="b">
        <f ca="1">Proc[[#This Row],[Requested]]=Proc[[#This Row],[CurrentParent]]</f>
        <v>1</v>
      </c>
      <c r="K2178" s="94" t="str">
        <f ca="1"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138" t="str">
        <f ca="1"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 ca="1">IF(Proc[[#This Row],[type]]="LFF (MDG-F)",MID(Proc[[#This Row],[Obj]],13,10),"")</f>
        <v/>
      </c>
      <c r="J2179" s="94" t="b">
        <f ca="1">Proc[[#This Row],[Requested]]=Proc[[#This Row],[CurrentParent]]</f>
        <v>1</v>
      </c>
      <c r="K2179" s="94" t="str">
        <f ca="1"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138" t="str">
        <f ca="1"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 ca="1">IF(Proc[[#This Row],[type]]="LFF (MDG-F)",MID(Proc[[#This Row],[Obj]],13,10),"")</f>
        <v/>
      </c>
      <c r="J2180" s="94" t="b">
        <f ca="1">Proc[[#This Row],[Requested]]=Proc[[#This Row],[CurrentParent]]</f>
        <v>1</v>
      </c>
      <c r="K2180" s="94" t="str">
        <f ca="1"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138" t="str">
        <f ca="1"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 ca="1">IF(Proc[[#This Row],[type]]="LFF (MDG-F)",MID(Proc[[#This Row],[Obj]],13,10),"")</f>
        <v/>
      </c>
      <c r="J2181" s="94" t="b">
        <f ca="1">Proc[[#This Row],[Requested]]=Proc[[#This Row],[CurrentParent]]</f>
        <v>1</v>
      </c>
      <c r="K2181" s="94" t="str">
        <f ca="1"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138" t="str">
        <f ca="1"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 ca="1">IF(Proc[[#This Row],[type]]="LFF (MDG-F)",MID(Proc[[#This Row],[Obj]],13,10),"")</f>
        <v/>
      </c>
      <c r="J2182" s="94" t="b">
        <f ca="1">Proc[[#This Row],[Requested]]=Proc[[#This Row],[CurrentParent]]</f>
        <v>1</v>
      </c>
      <c r="K2182" s="94" t="str">
        <f ca="1"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138" t="str">
        <f ca="1"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 ca="1">IF(Proc[[#This Row],[type]]="LFF (MDG-F)",MID(Proc[[#This Row],[Obj]],13,10),"")</f>
        <v/>
      </c>
      <c r="J2183" s="94" t="b">
        <f ca="1">Proc[[#This Row],[Requested]]=Proc[[#This Row],[CurrentParent]]</f>
        <v>1</v>
      </c>
      <c r="K2183" s="94" t="str">
        <f ca="1"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138" t="str">
        <f ca="1"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 ca="1">IF(Proc[[#This Row],[type]]="LFF (MDG-F)",MID(Proc[[#This Row],[Obj]],13,10),"")</f>
        <v/>
      </c>
      <c r="J2184" s="94" t="b">
        <f ca="1">Proc[[#This Row],[Requested]]=Proc[[#This Row],[CurrentParent]]</f>
        <v>1</v>
      </c>
      <c r="K2184" s="94" t="str">
        <f ca="1"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138" t="str">
        <f ca="1"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 ca="1">IF(Proc[[#This Row],[type]]="LFF (MDG-F)",MID(Proc[[#This Row],[Obj]],13,10),"")</f>
        <v/>
      </c>
      <c r="J2185" s="94" t="b">
        <f ca="1">Proc[[#This Row],[Requested]]=Proc[[#This Row],[CurrentParent]]</f>
        <v>1</v>
      </c>
      <c r="K2185" s="94" t="str">
        <f ca="1"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138" t="str">
        <f ca="1"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 ca="1">IF(Proc[[#This Row],[type]]="LFF (MDG-F)",MID(Proc[[#This Row],[Obj]],13,10),"")</f>
        <v/>
      </c>
      <c r="J2186" s="94" t="b">
        <f ca="1">Proc[[#This Row],[Requested]]=Proc[[#This Row],[CurrentParent]]</f>
        <v>1</v>
      </c>
      <c r="K2186" s="94" t="str">
        <f ca="1"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138" t="str">
        <f ca="1"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 ca="1">IF(Proc[[#This Row],[type]]="LFF (MDG-F)",MID(Proc[[#This Row],[Obj]],13,10),"")</f>
        <v/>
      </c>
      <c r="J2187" s="94" t="b">
        <f ca="1">Proc[[#This Row],[Requested]]=Proc[[#This Row],[CurrentParent]]</f>
        <v>1</v>
      </c>
      <c r="K2187" s="94" t="str">
        <f ca="1"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138" t="str">
        <f ca="1"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 ca="1">IF(Proc[[#This Row],[type]]="LFF (MDG-F)",MID(Proc[[#This Row],[Obj]],13,10),"")</f>
        <v/>
      </c>
      <c r="J2188" s="94" t="b">
        <f ca="1">Proc[[#This Row],[Requested]]=Proc[[#This Row],[CurrentParent]]</f>
        <v>1</v>
      </c>
      <c r="K2188" s="94" t="str">
        <f ca="1"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138" t="str">
        <f ca="1"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 ca="1">IF(Proc[[#This Row],[type]]="LFF (MDG-F)",MID(Proc[[#This Row],[Obj]],13,10),"")</f>
        <v/>
      </c>
      <c r="J2189" s="94" t="b">
        <f ca="1">Proc[[#This Row],[Requested]]=Proc[[#This Row],[CurrentParent]]</f>
        <v>1</v>
      </c>
      <c r="K2189" s="94" t="str">
        <f ca="1"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138" t="str">
        <f ca="1"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 ca="1">IF(Proc[[#This Row],[type]]="LFF (MDG-F)",MID(Proc[[#This Row],[Obj]],13,10),"")</f>
        <v/>
      </c>
      <c r="J2190" s="94" t="b">
        <f ca="1">Proc[[#This Row],[Requested]]=Proc[[#This Row],[CurrentParent]]</f>
        <v>1</v>
      </c>
      <c r="K2190" s="94" t="str">
        <f ca="1"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138" t="str">
        <f ca="1"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 ca="1">IF(Proc[[#This Row],[type]]="LFF (MDG-F)",MID(Proc[[#This Row],[Obj]],13,10),"")</f>
        <v/>
      </c>
      <c r="J2191" s="94" t="b">
        <f ca="1">Proc[[#This Row],[Requested]]=Proc[[#This Row],[CurrentParent]]</f>
        <v>1</v>
      </c>
      <c r="K2191" s="94" t="str">
        <f ca="1"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138" t="str">
        <f ca="1"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 ca="1">IF(Proc[[#This Row],[type]]="LFF (MDG-F)",MID(Proc[[#This Row],[Obj]],13,10),"")</f>
        <v/>
      </c>
      <c r="J2192" s="94" t="b">
        <f ca="1">Proc[[#This Row],[Requested]]=Proc[[#This Row],[CurrentParent]]</f>
        <v>1</v>
      </c>
      <c r="K2192" s="94" t="str">
        <f ca="1"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138" t="str">
        <f ca="1"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 ca="1">IF(Proc[[#This Row],[type]]="LFF (MDG-F)",MID(Proc[[#This Row],[Obj]],13,10),"")</f>
        <v/>
      </c>
      <c r="J2193" s="94" t="b">
        <f ca="1">Proc[[#This Row],[Requested]]=Proc[[#This Row],[CurrentParent]]</f>
        <v>1</v>
      </c>
      <c r="K2193" s="94" t="str">
        <f ca="1"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138" t="str">
        <f ca="1"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 ca="1">IF(Proc[[#This Row],[type]]="LFF (MDG-F)",MID(Proc[[#This Row],[Obj]],13,10),"")</f>
        <v/>
      </c>
      <c r="J2194" s="94" t="b">
        <f ca="1">Proc[[#This Row],[Requested]]=Proc[[#This Row],[CurrentParent]]</f>
        <v>1</v>
      </c>
      <c r="K2194" s="94" t="str">
        <f ca="1"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138" t="str">
        <f ca="1"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 ca="1">IF(Proc[[#This Row],[type]]="LFF (MDG-F)",MID(Proc[[#This Row],[Obj]],13,10),"")</f>
        <v/>
      </c>
      <c r="J2195" s="94" t="b">
        <f ca="1">Proc[[#This Row],[Requested]]=Proc[[#This Row],[CurrentParent]]</f>
        <v>1</v>
      </c>
      <c r="K2195" s="94" t="str">
        <f ca="1"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138" t="str">
        <f ca="1"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 ca="1">IF(Proc[[#This Row],[type]]="LFF (MDG-F)",MID(Proc[[#This Row],[Obj]],13,10),"")</f>
        <v/>
      </c>
      <c r="J2196" s="94" t="b">
        <f ca="1">Proc[[#This Row],[Requested]]=Proc[[#This Row],[CurrentParent]]</f>
        <v>1</v>
      </c>
      <c r="K2196" s="94" t="str">
        <f ca="1"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138" t="str">
        <f ca="1"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 ca="1">IF(Proc[[#This Row],[type]]="LFF (MDG-F)",MID(Proc[[#This Row],[Obj]],13,10),"")</f>
        <v/>
      </c>
      <c r="J2197" s="94" t="b">
        <f ca="1">Proc[[#This Row],[Requested]]=Proc[[#This Row],[CurrentParent]]</f>
        <v>1</v>
      </c>
      <c r="K2197" s="94" t="str">
        <f ca="1"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138" t="str">
        <f ca="1"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 ca="1">IF(Proc[[#This Row],[type]]="LFF (MDG-F)",MID(Proc[[#This Row],[Obj]],13,10),"")</f>
        <v/>
      </c>
      <c r="J2198" s="94" t="b">
        <f ca="1">Proc[[#This Row],[Requested]]=Proc[[#This Row],[CurrentParent]]</f>
        <v>1</v>
      </c>
      <c r="K2198" s="94" t="str">
        <f ca="1"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138" t="str">
        <f ca="1"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 ca="1">IF(Proc[[#This Row],[type]]="LFF (MDG-F)",MID(Proc[[#This Row],[Obj]],13,10),"")</f>
        <v/>
      </c>
      <c r="J2199" s="94" t="b">
        <f ca="1">Proc[[#This Row],[Requested]]=Proc[[#This Row],[CurrentParent]]</f>
        <v>1</v>
      </c>
      <c r="K2199" s="94" t="str">
        <f ca="1"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138" t="str">
        <f ca="1"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 ca="1">IF(Proc[[#This Row],[type]]="LFF (MDG-F)",MID(Proc[[#This Row],[Obj]],13,10),"")</f>
        <v/>
      </c>
      <c r="J2200" s="94" t="b">
        <f ca="1">Proc[[#This Row],[Requested]]=Proc[[#This Row],[CurrentParent]]</f>
        <v>1</v>
      </c>
      <c r="K2200" s="94" t="str">
        <f ca="1"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138" t="str">
        <f ca="1"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 ca="1">IF(Proc[[#This Row],[type]]="LFF (MDG-F)",MID(Proc[[#This Row],[Obj]],13,10),"")</f>
        <v/>
      </c>
      <c r="J2201" s="94" t="b">
        <f ca="1">Proc[[#This Row],[Requested]]=Proc[[#This Row],[CurrentParent]]</f>
        <v>1</v>
      </c>
      <c r="K2201" s="94" t="str">
        <f ca="1"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138" t="str">
        <f ca="1"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 ca="1">IF(Proc[[#This Row],[type]]="LFF (MDG-F)",MID(Proc[[#This Row],[Obj]],13,10),"")</f>
        <v/>
      </c>
      <c r="J2202" s="94" t="b">
        <f ca="1">Proc[[#This Row],[Requested]]=Proc[[#This Row],[CurrentParent]]</f>
        <v>1</v>
      </c>
      <c r="K2202" s="94" t="str">
        <f ca="1"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138" t="str">
        <f ca="1"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 ca="1">IF(Proc[[#This Row],[type]]="LFF (MDG-F)",MID(Proc[[#This Row],[Obj]],13,10),"")</f>
        <v/>
      </c>
      <c r="J2203" s="94" t="b">
        <f ca="1">Proc[[#This Row],[Requested]]=Proc[[#This Row],[CurrentParent]]</f>
        <v>1</v>
      </c>
      <c r="K2203" s="94" t="str">
        <f ca="1"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138" t="str">
        <f ca="1"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 ca="1">IF(Proc[[#This Row],[type]]="LFF (MDG-F)",MID(Proc[[#This Row],[Obj]],13,10),"")</f>
        <v/>
      </c>
      <c r="J2204" s="94" t="b">
        <f ca="1">Proc[[#This Row],[Requested]]=Proc[[#This Row],[CurrentParent]]</f>
        <v>1</v>
      </c>
      <c r="K2204" s="94" t="str">
        <f ca="1"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138" t="str">
        <f ca="1"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 ca="1">IF(Proc[[#This Row],[type]]="LFF (MDG-F)",MID(Proc[[#This Row],[Obj]],13,10),"")</f>
        <v/>
      </c>
      <c r="J2205" s="94" t="b">
        <f ca="1">Proc[[#This Row],[Requested]]=Proc[[#This Row],[CurrentParent]]</f>
        <v>1</v>
      </c>
      <c r="K2205" s="94" t="str">
        <f ca="1"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138" t="str">
        <f ca="1"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 ca="1">IF(Proc[[#This Row],[type]]="LFF (MDG-F)",MID(Proc[[#This Row],[Obj]],13,10),"")</f>
        <v/>
      </c>
      <c r="J2206" s="94" t="b">
        <f ca="1">Proc[[#This Row],[Requested]]=Proc[[#This Row],[CurrentParent]]</f>
        <v>1</v>
      </c>
      <c r="K2206" s="94" t="str">
        <f ca="1"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138" t="str">
        <f ca="1"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 ca="1">IF(Proc[[#This Row],[type]]="LFF (MDG-F)",MID(Proc[[#This Row],[Obj]],13,10),"")</f>
        <v/>
      </c>
      <c r="J2207" s="94" t="b">
        <f ca="1">Proc[[#This Row],[Requested]]=Proc[[#This Row],[CurrentParent]]</f>
        <v>1</v>
      </c>
      <c r="K2207" s="94" t="str">
        <f ca="1"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138" t="str">
        <f ca="1"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 ca="1">IF(Proc[[#This Row],[type]]="LFF (MDG-F)",MID(Proc[[#This Row],[Obj]],13,10),"")</f>
        <v/>
      </c>
      <c r="J2208" s="94" t="b">
        <f ca="1">Proc[[#This Row],[Requested]]=Proc[[#This Row],[CurrentParent]]</f>
        <v>1</v>
      </c>
      <c r="K2208" s="94" t="str">
        <f ca="1"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138" t="str">
        <f ca="1"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 ca="1">IF(Proc[[#This Row],[type]]="LFF (MDG-F)",MID(Proc[[#This Row],[Obj]],13,10),"")</f>
        <v/>
      </c>
      <c r="J2209" s="94" t="b">
        <f ca="1">Proc[[#This Row],[Requested]]=Proc[[#This Row],[CurrentParent]]</f>
        <v>1</v>
      </c>
      <c r="K2209" s="94" t="str">
        <f ca="1"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138" t="str">
        <f ca="1"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 ca="1">IF(Proc[[#This Row],[type]]="LFF (MDG-F)",MID(Proc[[#This Row],[Obj]],13,10),"")</f>
        <v/>
      </c>
      <c r="J2210" s="94" t="b">
        <f ca="1">Proc[[#This Row],[Requested]]=Proc[[#This Row],[CurrentParent]]</f>
        <v>1</v>
      </c>
      <c r="K2210" s="94" t="str">
        <f ca="1"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138" t="str">
        <f ca="1"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 ca="1">IF(Proc[[#This Row],[type]]="LFF (MDG-F)",MID(Proc[[#This Row],[Obj]],13,10),"")</f>
        <v/>
      </c>
      <c r="J2211" s="94" t="b">
        <f ca="1">Proc[[#This Row],[Requested]]=Proc[[#This Row],[CurrentParent]]</f>
        <v>1</v>
      </c>
      <c r="K2211" s="94" t="str">
        <f ca="1"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138" t="str">
        <f ca="1"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 ca="1">IF(Proc[[#This Row],[type]]="LFF (MDG-F)",MID(Proc[[#This Row],[Obj]],13,10),"")</f>
        <v/>
      </c>
      <c r="J2212" s="94" t="b">
        <f ca="1">Proc[[#This Row],[Requested]]=Proc[[#This Row],[CurrentParent]]</f>
        <v>1</v>
      </c>
      <c r="K2212" s="94" t="str">
        <f ca="1"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138" t="str">
        <f ca="1"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 ca="1">IF(Proc[[#This Row],[type]]="LFF (MDG-F)",MID(Proc[[#This Row],[Obj]],13,10),"")</f>
        <v/>
      </c>
      <c r="J2213" s="94" t="b">
        <f ca="1">Proc[[#This Row],[Requested]]=Proc[[#This Row],[CurrentParent]]</f>
        <v>1</v>
      </c>
      <c r="K2213" s="94" t="str">
        <f ca="1"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138" t="str">
        <f ca="1"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 ca="1">IF(Proc[[#This Row],[type]]="LFF (MDG-F)",MID(Proc[[#This Row],[Obj]],13,10),"")</f>
        <v/>
      </c>
      <c r="J2214" s="94" t="b">
        <f ca="1">Proc[[#This Row],[Requested]]=Proc[[#This Row],[CurrentParent]]</f>
        <v>1</v>
      </c>
      <c r="K2214" s="94" t="str">
        <f ca="1"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138" t="str">
        <f ca="1"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 ca="1">IF(Proc[[#This Row],[type]]="LFF (MDG-F)",MID(Proc[[#This Row],[Obj]],13,10),"")</f>
        <v/>
      </c>
      <c r="J2215" s="94" t="b">
        <f ca="1">Proc[[#This Row],[Requested]]=Proc[[#This Row],[CurrentParent]]</f>
        <v>1</v>
      </c>
      <c r="K2215" s="94" t="str">
        <f ca="1"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138" t="str">
        <f ca="1"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 ca="1">IF(Proc[[#This Row],[type]]="LFF (MDG-F)",MID(Proc[[#This Row],[Obj]],13,10),"")</f>
        <v/>
      </c>
      <c r="J2216" s="94" t="b">
        <f ca="1">Proc[[#This Row],[Requested]]=Proc[[#This Row],[CurrentParent]]</f>
        <v>1</v>
      </c>
      <c r="K2216" s="94" t="str">
        <f ca="1"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138" t="str">
        <f ca="1"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 ca="1">IF(Proc[[#This Row],[type]]="LFF (MDG-F)",MID(Proc[[#This Row],[Obj]],13,10),"")</f>
        <v/>
      </c>
      <c r="J2217" s="94" t="b">
        <f ca="1">Proc[[#This Row],[Requested]]=Proc[[#This Row],[CurrentParent]]</f>
        <v>1</v>
      </c>
      <c r="K2217" s="94" t="str">
        <f ca="1"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138" t="str">
        <f ca="1"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 ca="1">IF(Proc[[#This Row],[type]]="LFF (MDG-F)",MID(Proc[[#This Row],[Obj]],13,10),"")</f>
        <v/>
      </c>
      <c r="J2218" s="94" t="b">
        <f ca="1">Proc[[#This Row],[Requested]]=Proc[[#This Row],[CurrentParent]]</f>
        <v>1</v>
      </c>
      <c r="K2218" s="94" t="str">
        <f ca="1"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138" t="str">
        <f ca="1"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 ca="1">IF(Proc[[#This Row],[type]]="LFF (MDG-F)",MID(Proc[[#This Row],[Obj]],13,10),"")</f>
        <v/>
      </c>
      <c r="J2219" s="94" t="b">
        <f ca="1">Proc[[#This Row],[Requested]]=Proc[[#This Row],[CurrentParent]]</f>
        <v>1</v>
      </c>
      <c r="K2219" s="94" t="str">
        <f ca="1"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138" t="str">
        <f ca="1"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 ca="1">IF(Proc[[#This Row],[type]]="LFF (MDG-F)",MID(Proc[[#This Row],[Obj]],13,10),"")</f>
        <v/>
      </c>
      <c r="J2220" s="94" t="b">
        <f ca="1">Proc[[#This Row],[Requested]]=Proc[[#This Row],[CurrentParent]]</f>
        <v>1</v>
      </c>
      <c r="K2220" s="94" t="str">
        <f ca="1"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138" t="str">
        <f ca="1"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 ca="1">IF(Proc[[#This Row],[type]]="LFF (MDG-F)",MID(Proc[[#This Row],[Obj]],13,10),"")</f>
        <v/>
      </c>
      <c r="J2221" s="94" t="b">
        <f ca="1">Proc[[#This Row],[Requested]]=Proc[[#This Row],[CurrentParent]]</f>
        <v>1</v>
      </c>
      <c r="K2221" s="94" t="str">
        <f ca="1"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138" t="str">
        <f ca="1"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 ca="1">IF(Proc[[#This Row],[type]]="LFF (MDG-F)",MID(Proc[[#This Row],[Obj]],13,10),"")</f>
        <v/>
      </c>
      <c r="J2222" s="94" t="b">
        <f ca="1">Proc[[#This Row],[Requested]]=Proc[[#This Row],[CurrentParent]]</f>
        <v>1</v>
      </c>
      <c r="K2222" s="94" t="str">
        <f ca="1"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138" t="str">
        <f ca="1"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 ca="1">IF(Proc[[#This Row],[type]]="LFF (MDG-F)",MID(Proc[[#This Row],[Obj]],13,10),"")</f>
        <v/>
      </c>
      <c r="J2223" s="94" t="b">
        <f ca="1">Proc[[#This Row],[Requested]]=Proc[[#This Row],[CurrentParent]]</f>
        <v>1</v>
      </c>
      <c r="K2223" s="94" t="str">
        <f ca="1"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138" t="str">
        <f ca="1"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 ca="1">IF(Proc[[#This Row],[type]]="LFF (MDG-F)",MID(Proc[[#This Row],[Obj]],13,10),"")</f>
        <v/>
      </c>
      <c r="J2224" s="94" t="b">
        <f ca="1">Proc[[#This Row],[Requested]]=Proc[[#This Row],[CurrentParent]]</f>
        <v>1</v>
      </c>
      <c r="K2224" s="94" t="str">
        <f ca="1"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138" t="str">
        <f ca="1"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 ca="1">IF(Proc[[#This Row],[type]]="LFF (MDG-F)",MID(Proc[[#This Row],[Obj]],13,10),"")</f>
        <v/>
      </c>
      <c r="J2225" s="94" t="b">
        <f ca="1">Proc[[#This Row],[Requested]]=Proc[[#This Row],[CurrentParent]]</f>
        <v>1</v>
      </c>
      <c r="K2225" s="94" t="str">
        <f ca="1"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138" t="str">
        <f ca="1"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 ca="1">IF(Proc[[#This Row],[type]]="LFF (MDG-F)",MID(Proc[[#This Row],[Obj]],13,10),"")</f>
        <v/>
      </c>
      <c r="J2226" s="94" t="b">
        <f ca="1">Proc[[#This Row],[Requested]]=Proc[[#This Row],[CurrentParent]]</f>
        <v>1</v>
      </c>
      <c r="K2226" s="94" t="str">
        <f ca="1"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138" t="str">
        <f ca="1"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 ca="1">IF(Proc[[#This Row],[type]]="LFF (MDG-F)",MID(Proc[[#This Row],[Obj]],13,10),"")</f>
        <v/>
      </c>
      <c r="J2227" s="94" t="b">
        <f ca="1">Proc[[#This Row],[Requested]]=Proc[[#This Row],[CurrentParent]]</f>
        <v>1</v>
      </c>
      <c r="K2227" s="94" t="str">
        <f ca="1"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138" t="str">
        <f ca="1"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 ca="1">IF(Proc[[#This Row],[type]]="LFF (MDG-F)",MID(Proc[[#This Row],[Obj]],13,10),"")</f>
        <v/>
      </c>
      <c r="J2228" s="94" t="b">
        <f ca="1">Proc[[#This Row],[Requested]]=Proc[[#This Row],[CurrentParent]]</f>
        <v>1</v>
      </c>
      <c r="K2228" s="94" t="str">
        <f ca="1"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138" t="str">
        <f ca="1"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 ca="1">IF(Proc[[#This Row],[type]]="LFF (MDG-F)",MID(Proc[[#This Row],[Obj]],13,10),"")</f>
        <v/>
      </c>
      <c r="J2229" s="94" t="b">
        <f ca="1">Proc[[#This Row],[Requested]]=Proc[[#This Row],[CurrentParent]]</f>
        <v>1</v>
      </c>
      <c r="K2229" s="94" t="str">
        <f ca="1"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138" t="str">
        <f ca="1"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 ca="1">IF(Proc[[#This Row],[type]]="LFF (MDG-F)",MID(Proc[[#This Row],[Obj]],13,10),"")</f>
        <v/>
      </c>
      <c r="J2230" s="94" t="b">
        <f ca="1">Proc[[#This Row],[Requested]]=Proc[[#This Row],[CurrentParent]]</f>
        <v>1</v>
      </c>
      <c r="K2230" s="94" t="str">
        <f ca="1"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138" t="str">
        <f ca="1"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 ca="1">IF(Proc[[#This Row],[type]]="LFF (MDG-F)",MID(Proc[[#This Row],[Obj]],13,10),"")</f>
        <v/>
      </c>
      <c r="J2231" s="94" t="b">
        <f ca="1">Proc[[#This Row],[Requested]]=Proc[[#This Row],[CurrentParent]]</f>
        <v>1</v>
      </c>
      <c r="K2231" s="94" t="str">
        <f ca="1"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138" t="str">
        <f ca="1"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 ca="1">IF(Proc[[#This Row],[type]]="LFF (MDG-F)",MID(Proc[[#This Row],[Obj]],13,10),"")</f>
        <v/>
      </c>
      <c r="J2232" s="94" t="b">
        <f ca="1">Proc[[#This Row],[Requested]]=Proc[[#This Row],[CurrentParent]]</f>
        <v>1</v>
      </c>
      <c r="K2232" s="94" t="str">
        <f ca="1"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138" t="str">
        <f ca="1"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 ca="1">IF(Proc[[#This Row],[type]]="LFF (MDG-F)",MID(Proc[[#This Row],[Obj]],13,10),"")</f>
        <v>CZ50GIT01D</v>
      </c>
      <c r="I2233" t="s">
        <v>4083</v>
      </c>
      <c r="J2233" s="94" t="b">
        <f ca="1">Proc[[#This Row],[Requested]]=Proc[[#This Row],[CurrentParent]]</f>
        <v>1</v>
      </c>
      <c r="K2233" s="94" t="str">
        <f ca="1"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138" t="str">
        <f ca="1"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 ca="1">IF(Proc[[#This Row],[type]]="LFF (MDG-F)",MID(Proc[[#This Row],[Obj]],13,10),"")</f>
        <v>CZ50GM1000</v>
      </c>
      <c r="I2234" s="93" t="s">
        <v>4083</v>
      </c>
      <c r="J2234" s="94" t="b">
        <f ca="1">Proc[[#This Row],[Requested]]=Proc[[#This Row],[CurrentParent]]</f>
        <v>1</v>
      </c>
      <c r="K2234" s="94" t="str">
        <f ca="1"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138" t="str">
        <f ca="1"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 ca="1">IF(Proc[[#This Row],[type]]="LFF (MDG-F)",MID(Proc[[#This Row],[Obj]],13,10),"")</f>
        <v>CZ50GIT01M</v>
      </c>
      <c r="I2235" s="93" t="s">
        <v>4083</v>
      </c>
      <c r="J2235" s="94" t="b">
        <f ca="1">Proc[[#This Row],[Requested]]=Proc[[#This Row],[CurrentParent]]</f>
        <v>1</v>
      </c>
      <c r="K2235" s="94" t="str">
        <f ca="1"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138" t="str">
        <f ca="1"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 ca="1">IF(Proc[[#This Row],[type]]="LFF (MDG-F)",MID(Proc[[#This Row],[Obj]],13,10),"")</f>
        <v>CZ50GM1000</v>
      </c>
      <c r="I2236" s="93" t="s">
        <v>4083</v>
      </c>
      <c r="J2236" s="94" t="b">
        <f ca="1">Proc[[#This Row],[Requested]]=Proc[[#This Row],[CurrentParent]]</f>
        <v>1</v>
      </c>
      <c r="K2236" s="94" t="str">
        <f ca="1"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138" t="str">
        <f ca="1"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 ca="1">IF(Proc[[#This Row],[type]]="LFF (MDG-F)",MID(Proc[[#This Row],[Obj]],13,10),"")</f>
        <v>CZ50OF0007</v>
      </c>
      <c r="I2237" s="93" t="s">
        <v>4083</v>
      </c>
      <c r="J2237" s="94" t="b">
        <f ca="1">Proc[[#This Row],[Requested]]=Proc[[#This Row],[CurrentParent]]</f>
        <v>1</v>
      </c>
      <c r="K2237" s="94" t="str">
        <f ca="1"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138" t="str">
        <f ca="1"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 ca="1">IF(Proc[[#This Row],[type]]="LFF (MDG-F)",MID(Proc[[#This Row],[Obj]],13,10),"")</f>
        <v/>
      </c>
      <c r="J2238" s="94" t="b">
        <f ca="1">Proc[[#This Row],[Requested]]=Proc[[#This Row],[CurrentParent]]</f>
        <v>1</v>
      </c>
      <c r="K2238" s="94" t="str">
        <f ca="1"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138" t="str">
        <f ca="1"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 ca="1">IF(Proc[[#This Row],[type]]="LFF (MDG-F)",MID(Proc[[#This Row],[Obj]],13,10),"")</f>
        <v>CH75GIT060</v>
      </c>
      <c r="I2239" t="s">
        <v>4091</v>
      </c>
      <c r="J2239" s="94" t="b">
        <f ca="1">Proc[[#This Row],[Requested]]=Proc[[#This Row],[CurrentParent]]</f>
        <v>1</v>
      </c>
      <c r="K2239" s="94" t="str">
        <f ca="1"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138" t="str">
        <f ca="1"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 ca="1">IF(Proc[[#This Row],[type]]="LFF (MDG-F)",MID(Proc[[#This Row],[Obj]],13,10),"")</f>
        <v>DE10653700</v>
      </c>
      <c r="I2240" s="93" t="s">
        <v>4091</v>
      </c>
      <c r="J2240" s="94" t="b">
        <f ca="1">Proc[[#This Row],[Requested]]=Proc[[#This Row],[CurrentParent]]</f>
        <v>1</v>
      </c>
      <c r="K2240" s="94" t="str">
        <f ca="1"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138" t="str">
        <f ca="1"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 ca="1">IF(Proc[[#This Row],[type]]="LFF (MDG-F)",MID(Proc[[#This Row],[Obj]],13,10),"")</f>
        <v/>
      </c>
      <c r="J2241" s="94" t="b">
        <f ca="1">Proc[[#This Row],[Requested]]=Proc[[#This Row],[CurrentParent]]</f>
        <v>1</v>
      </c>
      <c r="K2241" s="94" t="str">
        <f ca="1"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138" t="str">
        <f ca="1"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 ca="1">IF(Proc[[#This Row],[type]]="LFF (MDG-F)",MID(Proc[[#This Row],[Obj]],13,10),"")</f>
        <v/>
      </c>
      <c r="J2242" s="94" t="b">
        <f ca="1">Proc[[#This Row],[Requested]]=Proc[[#This Row],[CurrentParent]]</f>
        <v>1</v>
      </c>
      <c r="K2242" s="94" t="str">
        <f ca="1"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138" t="str">
        <f ca="1"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 ca="1">IF(Proc[[#This Row],[type]]="LFF (MDG-F)",MID(Proc[[#This Row],[Obj]],13,10),"")</f>
        <v/>
      </c>
      <c r="J2243" s="94" t="b">
        <f ca="1">Proc[[#This Row],[Requested]]=Proc[[#This Row],[CurrentParent]]</f>
        <v>1</v>
      </c>
      <c r="K2243" s="94" t="str">
        <f ca="1"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138" t="str">
        <f ca="1"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 ca="1">IF(Proc[[#This Row],[type]]="LFF (MDG-F)",MID(Proc[[#This Row],[Obj]],13,10),"")</f>
        <v/>
      </c>
      <c r="J2244" s="94" t="b">
        <f ca="1">Proc[[#This Row],[Requested]]=Proc[[#This Row],[CurrentParent]]</f>
        <v>1</v>
      </c>
      <c r="K2244" s="94" t="str">
        <f ca="1"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138" t="str">
        <f ca="1"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 ca="1">IF(Proc[[#This Row],[type]]="LFF (MDG-F)",MID(Proc[[#This Row],[Obj]],13,10),"")</f>
        <v/>
      </c>
      <c r="J2245" s="94" t="b">
        <f ca="1">Proc[[#This Row],[Requested]]=Proc[[#This Row],[CurrentParent]]</f>
        <v>1</v>
      </c>
      <c r="K2245" s="94" t="str">
        <f ca="1"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70</v>
      </c>
      <c r="R2245" s="95" t="s">
        <v>764</v>
      </c>
      <c r="S2245" s="94"/>
    </row>
    <row r="2246" spans="1:19" hidden="1">
      <c r="A2246" t="s">
        <v>4098</v>
      </c>
      <c r="B2246" s="138" t="str">
        <f ca="1"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 ca="1">IF(Proc[[#This Row],[type]]="LFF (MDG-F)",MID(Proc[[#This Row],[Obj]],13,10),"")</f>
        <v/>
      </c>
      <c r="J2246" s="94" t="b">
        <f ca="1">Proc[[#This Row],[Requested]]=Proc[[#This Row],[CurrentParent]]</f>
        <v>1</v>
      </c>
      <c r="K2246" s="94" t="str">
        <f ca="1"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70</v>
      </c>
      <c r="R2246" s="95" t="s">
        <v>515</v>
      </c>
      <c r="S2246" s="94"/>
    </row>
    <row r="2247" spans="1:19" hidden="1">
      <c r="A2247" t="s">
        <v>4099</v>
      </c>
      <c r="B2247" s="138" t="str">
        <f ca="1"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 ca="1">IF(Proc[[#This Row],[type]]="LFF (MDG-F)",MID(Proc[[#This Row],[Obj]],13,10),"")</f>
        <v/>
      </c>
      <c r="J2247" s="94" t="b">
        <f ca="1">Proc[[#This Row],[Requested]]=Proc[[#This Row],[CurrentParent]]</f>
        <v>1</v>
      </c>
      <c r="K2247" s="94" t="str">
        <f ca="1"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138" t="str">
        <f ca="1"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 ca="1">IF(Proc[[#This Row],[type]]="LFF (MDG-F)",MID(Proc[[#This Row],[Obj]],13,10),"")</f>
        <v/>
      </c>
      <c r="J2248" s="94" t="b">
        <f ca="1">Proc[[#This Row],[Requested]]=Proc[[#This Row],[CurrentParent]]</f>
        <v>1</v>
      </c>
      <c r="K2248" s="94" t="str">
        <f ca="1"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138" t="str">
        <f ca="1"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 ca="1">IF(Proc[[#This Row],[type]]="LFF (MDG-F)",MID(Proc[[#This Row],[Obj]],13,10),"")</f>
        <v/>
      </c>
      <c r="J2249" s="94" t="b">
        <f ca="1">Proc[[#This Row],[Requested]]=Proc[[#This Row],[CurrentParent]]</f>
        <v>1</v>
      </c>
      <c r="K2249" s="94" t="str">
        <f ca="1"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 ca="1">VLOOKUP(Proc[[#This Row],[Obj]],#REF!,2,0)</f>
        <v>#REF!</v>
      </c>
    </row>
    <row r="2250" spans="1:19" hidden="1">
      <c r="A2250" t="s">
        <v>4116</v>
      </c>
      <c r="B2250" s="138" t="str">
        <f ca="1"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 ca="1">IF(Proc[[#This Row],[type]]="LFF (MDG-F)",MID(Proc[[#This Row],[Obj]],13,10),"")</f>
        <v>DE20538353</v>
      </c>
      <c r="I2250" t="s">
        <v>4117</v>
      </c>
      <c r="J2250" s="94" t="b">
        <f ca="1">Proc[[#This Row],[Requested]]=Proc[[#This Row],[CurrentParent]]</f>
        <v>1</v>
      </c>
      <c r="K2250" s="94" t="str">
        <f ca="1"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138" t="str">
        <f ca="1"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 ca="1">IF(Proc[[#This Row],[type]]="LFF (MDG-F)",MID(Proc[[#This Row],[Obj]],13,10),"")</f>
        <v>DE10538353</v>
      </c>
      <c r="I2251" s="97" t="s">
        <v>4117</v>
      </c>
      <c r="J2251" s="94" t="b">
        <f ca="1">Proc[[#This Row],[Requested]]=Proc[[#This Row],[CurrentParent]]</f>
        <v>1</v>
      </c>
      <c r="K2251" s="94" t="str">
        <f ca="1"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138" t="str">
        <f ca="1"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 ca="1">IF(Proc[[#This Row],[type]]="LFF (MDG-F)",MID(Proc[[#This Row],[Obj]],13,10),"")</f>
        <v>DE10538602</v>
      </c>
      <c r="I2252" s="97" t="s">
        <v>4117</v>
      </c>
      <c r="J2252" s="94" t="b">
        <f ca="1">Proc[[#This Row],[Requested]]=Proc[[#This Row],[CurrentParent]]</f>
        <v>1</v>
      </c>
      <c r="K2252" s="94" t="str">
        <f ca="1"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138" t="str">
        <f ca="1"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 ca="1">IF(Proc[[#This Row],[type]]="LFF (MDG-F)",MID(Proc[[#This Row],[Obj]],13,10),"")</f>
        <v>DE10538603</v>
      </c>
      <c r="I2253" s="97" t="s">
        <v>4117</v>
      </c>
      <c r="J2253" s="94" t="b">
        <f ca="1">Proc[[#This Row],[Requested]]=Proc[[#This Row],[CurrentParent]]</f>
        <v>1</v>
      </c>
      <c r="K2253" s="94" t="str">
        <f ca="1"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138" t="str">
        <f ca="1"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 ca="1">IF(Proc[[#This Row],[type]]="LFF (MDG-F)",MID(Proc[[#This Row],[Obj]],13,10),"")</f>
        <v>DE10538604</v>
      </c>
      <c r="I2254" s="97" t="s">
        <v>4117</v>
      </c>
      <c r="J2254" s="94" t="b">
        <f ca="1">Proc[[#This Row],[Requested]]=Proc[[#This Row],[CurrentParent]]</f>
        <v>1</v>
      </c>
      <c r="K2254" s="94" t="str">
        <f ca="1"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138" t="str">
        <f ca="1"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 ca="1">IF(Proc[[#This Row],[type]]="LFF (MDG-F)",MID(Proc[[#This Row],[Obj]],13,10),"")</f>
        <v>DE20538602</v>
      </c>
      <c r="I2255" s="97" t="s">
        <v>4117</v>
      </c>
      <c r="J2255" s="94" t="b">
        <f ca="1">Proc[[#This Row],[Requested]]=Proc[[#This Row],[CurrentParent]]</f>
        <v>1</v>
      </c>
      <c r="K2255" s="94" t="str">
        <f ca="1"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138" t="str">
        <f ca="1"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 ca="1">IF(Proc[[#This Row],[type]]="LFF (MDG-F)",MID(Proc[[#This Row],[Obj]],13,10),"")</f>
        <v>DE20538603</v>
      </c>
      <c r="I2256" s="97" t="s">
        <v>4117</v>
      </c>
      <c r="J2256" s="94" t="b">
        <f ca="1">Proc[[#This Row],[Requested]]=Proc[[#This Row],[CurrentParent]]</f>
        <v>1</v>
      </c>
      <c r="K2256" s="94" t="str">
        <f ca="1"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138" t="str">
        <f ca="1"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 ca="1">IF(Proc[[#This Row],[type]]="LFF (MDG-F)",MID(Proc[[#This Row],[Obj]],13,10),"")</f>
        <v>DE20538604</v>
      </c>
      <c r="I2257" s="97" t="s">
        <v>4117</v>
      </c>
      <c r="J2257" s="94" t="b">
        <f ca="1">Proc[[#This Row],[Requested]]=Proc[[#This Row],[CurrentParent]]</f>
        <v>1</v>
      </c>
      <c r="K2257" s="94" t="str">
        <f ca="1"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138" t="str">
        <f ca="1"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 ca="1">IF(Proc[[#This Row],[type]]="LFF (MDG-F)",MID(Proc[[#This Row],[Obj]],13,10),"")</f>
        <v/>
      </c>
      <c r="J2258" s="94" t="b">
        <f ca="1">Proc[[#This Row],[Requested]]=Proc[[#This Row],[CurrentParent]]</f>
        <v>1</v>
      </c>
      <c r="K2258" s="94" t="str">
        <f ca="1"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138" t="str">
        <f ca="1"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 ca="1">IF(Proc[[#This Row],[type]]="LFF (MDG-F)",MID(Proc[[#This Row],[Obj]],13,10),"")</f>
        <v>DE10594600</v>
      </c>
      <c r="J2259" s="94" t="b">
        <f ca="1">Proc[[#This Row],[Requested]]=Proc[[#This Row],[CurrentParent]]</f>
        <v>1</v>
      </c>
      <c r="K2259" s="94" t="str">
        <f ca="1"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65</v>
      </c>
      <c r="R2259" s="98" t="s">
        <v>515</v>
      </c>
      <c r="S2259" s="94"/>
    </row>
    <row r="2260" spans="1:19" hidden="1">
      <c r="A2260" s="101" t="s">
        <v>4120</v>
      </c>
      <c r="B2260" s="138" t="str">
        <f ca="1"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 ca="1">IF(Proc[[#This Row],[type]]="LFF (MDG-F)",MID(Proc[[#This Row],[Obj]],13,10),"")</f>
        <v>DE10629410</v>
      </c>
      <c r="J2260" s="94" t="b">
        <f ca="1">Proc[[#This Row],[Requested]]=Proc[[#This Row],[CurrentParent]]</f>
        <v>1</v>
      </c>
      <c r="K2260" s="94" t="str">
        <f ca="1"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65</v>
      </c>
      <c r="R2260" s="98" t="s">
        <v>515</v>
      </c>
      <c r="S2260" s="94"/>
    </row>
    <row r="2261" spans="1:19" hidden="1">
      <c r="A2261" t="s">
        <v>4124</v>
      </c>
      <c r="B2261" s="138" t="str">
        <f ca="1"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 ca="1">IF(Proc[[#This Row],[type]]="LFF (MDG-F)",MID(Proc[[#This Row],[Obj]],13,10),"")</f>
        <v/>
      </c>
      <c r="J2261" s="94" t="b">
        <f ca="1">Proc[[#This Row],[Requested]]=Proc[[#This Row],[CurrentParent]]</f>
        <v>1</v>
      </c>
      <c r="K2261" s="94" t="str">
        <f ca="1"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138" t="str">
        <f ca="1"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 ca="1">IF(Proc[[#This Row],[type]]="LFF (MDG-F)",MID(Proc[[#This Row],[Obj]],13,10),"")</f>
        <v/>
      </c>
      <c r="J2262" s="94" t="b">
        <f ca="1">Proc[[#This Row],[Requested]]=Proc[[#This Row],[CurrentParent]]</f>
        <v>1</v>
      </c>
      <c r="K2262" s="94" t="str">
        <f ca="1"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138" t="str">
        <f ca="1"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 ca="1">IF(Proc[[#This Row],[type]]="LFF (MDG-F)",MID(Proc[[#This Row],[Obj]],13,10),"")</f>
        <v/>
      </c>
      <c r="J2263" s="94" t="b">
        <f ca="1">Proc[[#This Row],[Requested]]=Proc[[#This Row],[CurrentParent]]</f>
        <v>1</v>
      </c>
      <c r="K2263" s="94" t="str">
        <f ca="1"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138" t="str">
        <f ca="1"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 ca="1">IF(Proc[[#This Row],[type]]="LFF (MDG-F)",MID(Proc[[#This Row],[Obj]],13,10),"")</f>
        <v/>
      </c>
      <c r="J2264" s="94" t="b">
        <f ca="1">Proc[[#This Row],[Requested]]=Proc[[#This Row],[CurrentParent]]</f>
        <v>1</v>
      </c>
      <c r="K2264" s="94" t="str">
        <f ca="1"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138" t="str">
        <f ca="1"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 ca="1">IF(Proc[[#This Row],[type]]="LFF (MDG-F)",MID(Proc[[#This Row],[Obj]],13,10),"")</f>
        <v/>
      </c>
      <c r="J2265" s="94" t="b">
        <f ca="1">Proc[[#This Row],[Requested]]=Proc[[#This Row],[CurrentParent]]</f>
        <v>1</v>
      </c>
      <c r="K2265" s="94" t="str">
        <f ca="1"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138" t="str">
        <f ca="1"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 ca="1">IF(Proc[[#This Row],[type]]="LFF (MDG-F)",MID(Proc[[#This Row],[Obj]],13,10),"")</f>
        <v/>
      </c>
      <c r="J2266" s="94" t="b">
        <f ca="1">Proc[[#This Row],[Requested]]=Proc[[#This Row],[CurrentParent]]</f>
        <v>1</v>
      </c>
      <c r="K2266" s="94" t="str">
        <f ca="1"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138" t="str">
        <f ca="1"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 ca="1">IF(Proc[[#This Row],[type]]="LFF (MDG-F)",MID(Proc[[#This Row],[Obj]],13,10),"")</f>
        <v/>
      </c>
      <c r="J2267" s="94" t="b">
        <f ca="1">Proc[[#This Row],[Requested]]=Proc[[#This Row],[CurrentParent]]</f>
        <v>1</v>
      </c>
      <c r="K2267" s="94" t="str">
        <f ca="1"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138" t="str">
        <f ca="1"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 ca="1">IF(Proc[[#This Row],[type]]="LFF (MDG-F)",MID(Proc[[#This Row],[Obj]],13,10),"")</f>
        <v/>
      </c>
      <c r="J2268" s="94" t="b">
        <f ca="1">Proc[[#This Row],[Requested]]=Proc[[#This Row],[CurrentParent]]</f>
        <v>1</v>
      </c>
      <c r="K2268" s="94" t="str">
        <f ca="1"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138" t="str">
        <f ca="1"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 ca="1">IF(Proc[[#This Row],[type]]="LFF (MDG-F)",MID(Proc[[#This Row],[Obj]],13,10),"")</f>
        <v/>
      </c>
      <c r="J2269" s="94" t="b">
        <f ca="1">Proc[[#This Row],[Requested]]=Proc[[#This Row],[CurrentParent]]</f>
        <v>1</v>
      </c>
      <c r="K2269" s="94" t="str">
        <f ca="1"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138" t="str">
        <f ca="1"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 ca="1">IF(Proc[[#This Row],[type]]="LFF (MDG-F)",MID(Proc[[#This Row],[Obj]],13,10),"")</f>
        <v/>
      </c>
      <c r="J2270" s="94" t="b">
        <f ca="1">Proc[[#This Row],[Requested]]=Proc[[#This Row],[CurrentParent]]</f>
        <v>1</v>
      </c>
      <c r="K2270" s="94" t="str">
        <f ca="1"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138" t="str">
        <f ca="1"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 ca="1">IF(Proc[[#This Row],[type]]="LFF (MDG-F)",MID(Proc[[#This Row],[Obj]],13,10),"")</f>
        <v/>
      </c>
      <c r="J2271" s="94" t="b">
        <f ca="1">Proc[[#This Row],[Requested]]=Proc[[#This Row],[CurrentParent]]</f>
        <v>1</v>
      </c>
      <c r="K2271" s="94" t="str">
        <f ca="1"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138" t="str">
        <f ca="1"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 ca="1">IF(Proc[[#This Row],[type]]="LFF (MDG-F)",MID(Proc[[#This Row],[Obj]],13,10),"")</f>
        <v/>
      </c>
      <c r="J2272" s="94" t="b">
        <f ca="1">Proc[[#This Row],[Requested]]=Proc[[#This Row],[CurrentParent]]</f>
        <v>1</v>
      </c>
      <c r="K2272" s="94" t="str">
        <f ca="1"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138" t="str">
        <f ca="1"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 ca="1">IF(Proc[[#This Row],[type]]="LFF (MDG-F)",MID(Proc[[#This Row],[Obj]],13,10),"")</f>
        <v/>
      </c>
      <c r="J2273" s="94" t="b">
        <f ca="1">Proc[[#This Row],[Requested]]=Proc[[#This Row],[CurrentParent]]</f>
        <v>1</v>
      </c>
      <c r="K2273" s="94" t="str">
        <f ca="1"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138" t="str">
        <f ca="1"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 ca="1">IF(Proc[[#This Row],[type]]="LFF (MDG-F)",MID(Proc[[#This Row],[Obj]],13,10),"")</f>
        <v/>
      </c>
      <c r="J2274" s="94" t="b">
        <f ca="1">Proc[[#This Row],[Requested]]=Proc[[#This Row],[CurrentParent]]</f>
        <v>1</v>
      </c>
      <c r="K2274" s="94" t="str">
        <f ca="1"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138" t="str">
        <f ca="1"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 ca="1">IF(Proc[[#This Row],[type]]="LFF (MDG-F)",MID(Proc[[#This Row],[Obj]],13,10),"")</f>
        <v/>
      </c>
      <c r="J2275" s="94" t="b">
        <f ca="1">Proc[[#This Row],[Requested]]=Proc[[#This Row],[CurrentParent]]</f>
        <v>1</v>
      </c>
      <c r="K2275" s="94" t="str">
        <f ca="1"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138" t="str">
        <f ca="1"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 ca="1">IF(Proc[[#This Row],[type]]="LFF (MDG-F)",MID(Proc[[#This Row],[Obj]],13,10),"")</f>
        <v/>
      </c>
      <c r="J2276" s="94" t="b">
        <f ca="1">Proc[[#This Row],[Requested]]=Proc[[#This Row],[CurrentParent]]</f>
        <v>1</v>
      </c>
      <c r="K2276" s="94" t="str">
        <f ca="1"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138" t="str">
        <f ca="1"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 ca="1">IF(Proc[[#This Row],[type]]="LFF (MDG-F)",MID(Proc[[#This Row],[Obj]],13,10),"")</f>
        <v/>
      </c>
      <c r="J2277" s="94" t="b">
        <f ca="1">Proc[[#This Row],[Requested]]=Proc[[#This Row],[CurrentParent]]</f>
        <v>1</v>
      </c>
      <c r="K2277" s="94" t="str">
        <f ca="1"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138" t="str">
        <f ca="1"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 ca="1">IF(Proc[[#This Row],[type]]="LFF (MDG-F)",MID(Proc[[#This Row],[Obj]],13,10),"")</f>
        <v/>
      </c>
      <c r="J2278" s="94" t="b">
        <f ca="1">Proc[[#This Row],[Requested]]=Proc[[#This Row],[CurrentParent]]</f>
        <v>1</v>
      </c>
      <c r="K2278" s="94" t="str">
        <f ca="1"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138" t="str">
        <f ca="1"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 ca="1">IF(Proc[[#This Row],[type]]="LFF (MDG-F)",MID(Proc[[#This Row],[Obj]],13,10),"")</f>
        <v/>
      </c>
      <c r="J2279" s="94" t="b">
        <f ca="1">Proc[[#This Row],[Requested]]=Proc[[#This Row],[CurrentParent]]</f>
        <v>1</v>
      </c>
      <c r="K2279" s="94" t="str">
        <f ca="1"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138" t="str">
        <f ca="1"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 ca="1">IF(Proc[[#This Row],[type]]="LFF (MDG-F)",MID(Proc[[#This Row],[Obj]],13,10),"")</f>
        <v/>
      </c>
      <c r="J2280" s="94" t="b">
        <f ca="1">Proc[[#This Row],[Requested]]=Proc[[#This Row],[CurrentParent]]</f>
        <v>1</v>
      </c>
      <c r="K2280" s="94" t="str">
        <f ca="1"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138" t="str">
        <f ca="1"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 ca="1">IF(Proc[[#This Row],[type]]="LFF (MDG-F)",MID(Proc[[#This Row],[Obj]],13,10),"")</f>
        <v/>
      </c>
      <c r="J2281" s="94" t="b">
        <f ca="1">Proc[[#This Row],[Requested]]=Proc[[#This Row],[CurrentParent]]</f>
        <v>1</v>
      </c>
      <c r="K2281" s="94" t="str">
        <f ca="1"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138" t="str">
        <f ca="1"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 ca="1">IF(Proc[[#This Row],[type]]="LFF (MDG-F)",MID(Proc[[#This Row],[Obj]],13,10),"")</f>
        <v/>
      </c>
      <c r="J2282" s="94" t="b">
        <f ca="1">Proc[[#This Row],[Requested]]=Proc[[#This Row],[CurrentParent]]</f>
        <v>1</v>
      </c>
      <c r="K2282" s="94" t="str">
        <f ca="1"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138" t="str">
        <f ca="1"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 ca="1">IF(Proc[[#This Row],[type]]="LFF (MDG-F)",MID(Proc[[#This Row],[Obj]],13,10),"")</f>
        <v/>
      </c>
      <c r="J2283" s="94" t="b">
        <f ca="1">Proc[[#This Row],[Requested]]=Proc[[#This Row],[CurrentParent]]</f>
        <v>1</v>
      </c>
      <c r="K2283" s="94" t="str">
        <f ca="1"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138" t="str">
        <f ca="1"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 ca="1">IF(Proc[[#This Row],[type]]="LFF (MDG-F)",MID(Proc[[#This Row],[Obj]],13,10),"")</f>
        <v/>
      </c>
      <c r="J2284" s="94" t="b">
        <f ca="1">Proc[[#This Row],[Requested]]=Proc[[#This Row],[CurrentParent]]</f>
        <v>1</v>
      </c>
      <c r="K2284" s="94" t="str">
        <f ca="1"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138" t="str">
        <f ca="1"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 ca="1">IF(Proc[[#This Row],[type]]="LFF (MDG-F)",MID(Proc[[#This Row],[Obj]],13,10),"")</f>
        <v/>
      </c>
      <c r="J2285" s="94" t="b">
        <f ca="1">Proc[[#This Row],[Requested]]=Proc[[#This Row],[CurrentParent]]</f>
        <v>1</v>
      </c>
      <c r="K2285" s="94" t="str">
        <f ca="1"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138" t="str">
        <f ca="1"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 ca="1">IF(Proc[[#This Row],[type]]="LFF (MDG-F)",MID(Proc[[#This Row],[Obj]],13,10),"")</f>
        <v/>
      </c>
      <c r="J2286" s="94" t="b">
        <f ca="1">Proc[[#This Row],[Requested]]=Proc[[#This Row],[CurrentParent]]</f>
        <v>1</v>
      </c>
      <c r="K2286" s="94" t="str">
        <f ca="1"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138" t="str">
        <f ca="1"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 ca="1">IF(Proc[[#This Row],[type]]="LFF (MDG-F)",MID(Proc[[#This Row],[Obj]],13,10),"")</f>
        <v/>
      </c>
      <c r="J2287" s="94" t="b">
        <f ca="1">Proc[[#This Row],[Requested]]=Proc[[#This Row],[CurrentParent]]</f>
        <v>1</v>
      </c>
      <c r="K2287" s="94" t="str">
        <f ca="1"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138" t="str">
        <f ca="1"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 ca="1">IF(Proc[[#This Row],[type]]="LFF (MDG-F)",MID(Proc[[#This Row],[Obj]],13,10),"")</f>
        <v/>
      </c>
      <c r="J2288" s="94" t="b">
        <f ca="1">Proc[[#This Row],[Requested]]=Proc[[#This Row],[CurrentParent]]</f>
        <v>1</v>
      </c>
      <c r="K2288" s="94" t="str">
        <f ca="1"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138" t="str">
        <f ca="1"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 ca="1">IF(Proc[[#This Row],[type]]="LFF (MDG-F)",MID(Proc[[#This Row],[Obj]],13,10),"")</f>
        <v/>
      </c>
      <c r="J2289" s="94" t="b">
        <f ca="1">Proc[[#This Row],[Requested]]=Proc[[#This Row],[CurrentParent]]</f>
        <v>1</v>
      </c>
      <c r="K2289" s="94" t="str">
        <f ca="1"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138" t="str">
        <f ca="1"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 ca="1">IF(Proc[[#This Row],[type]]="LFF (MDG-F)",MID(Proc[[#This Row],[Obj]],13,10),"")</f>
        <v/>
      </c>
      <c r="J2290" s="94" t="b">
        <f ca="1">Proc[[#This Row],[Requested]]=Proc[[#This Row],[CurrentParent]]</f>
        <v>1</v>
      </c>
      <c r="K2290" s="94" t="str">
        <f ca="1"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138" t="str">
        <f ca="1"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 ca="1">IF(Proc[[#This Row],[type]]="LFF (MDG-F)",MID(Proc[[#This Row],[Obj]],13,10),"")</f>
        <v/>
      </c>
      <c r="J2291" s="94" t="b">
        <f ca="1">Proc[[#This Row],[Requested]]=Proc[[#This Row],[CurrentParent]]</f>
        <v>1</v>
      </c>
      <c r="K2291" s="94" t="str">
        <f ca="1"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138" t="str">
        <f ca="1"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 ca="1">IF(Proc[[#This Row],[type]]="LFF (MDG-F)",MID(Proc[[#This Row],[Obj]],13,10),"")</f>
        <v/>
      </c>
      <c r="J2292" s="94" t="b">
        <f ca="1">Proc[[#This Row],[Requested]]=Proc[[#This Row],[CurrentParent]]</f>
        <v>1</v>
      </c>
      <c r="K2292" s="94" t="str">
        <f ca="1"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138" t="str">
        <f ca="1"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 ca="1">IF(Proc[[#This Row],[type]]="LFF (MDG-F)",MID(Proc[[#This Row],[Obj]],13,10),"")</f>
        <v/>
      </c>
      <c r="J2293" s="94" t="b">
        <f ca="1">Proc[[#This Row],[Requested]]=Proc[[#This Row],[CurrentParent]]</f>
        <v>1</v>
      </c>
      <c r="K2293" s="94" t="str">
        <f ca="1"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138" t="str">
        <f ca="1"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 ca="1">IF(Proc[[#This Row],[type]]="LFF (MDG-F)",MID(Proc[[#This Row],[Obj]],13,10),"")</f>
        <v/>
      </c>
      <c r="J2294" s="94" t="b">
        <f ca="1">Proc[[#This Row],[Requested]]=Proc[[#This Row],[CurrentParent]]</f>
        <v>1</v>
      </c>
      <c r="K2294" s="94" t="str">
        <f ca="1"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138" t="str">
        <f ca="1"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 ca="1">IF(Proc[[#This Row],[type]]="LFF (MDG-F)",MID(Proc[[#This Row],[Obj]],13,10),"")</f>
        <v/>
      </c>
      <c r="J2295" s="94" t="b">
        <f ca="1">Proc[[#This Row],[Requested]]=Proc[[#This Row],[CurrentParent]]</f>
        <v>1</v>
      </c>
      <c r="K2295" s="94" t="str">
        <f ca="1"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138" t="str">
        <f ca="1"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 ca="1">IF(Proc[[#This Row],[type]]="LFF (MDG-F)",MID(Proc[[#This Row],[Obj]],13,10),"")</f>
        <v/>
      </c>
      <c r="J2296" s="94" t="b">
        <f ca="1">Proc[[#This Row],[Requested]]=Proc[[#This Row],[CurrentParent]]</f>
        <v>1</v>
      </c>
      <c r="K2296" s="94" t="str">
        <f ca="1"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138" t="str">
        <f ca="1"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 ca="1">IF(Proc[[#This Row],[type]]="LFF (MDG-F)",MID(Proc[[#This Row],[Obj]],13,10),"")</f>
        <v/>
      </c>
      <c r="J2297" s="94" t="b">
        <f ca="1">Proc[[#This Row],[Requested]]=Proc[[#This Row],[CurrentParent]]</f>
        <v>1</v>
      </c>
      <c r="K2297" s="94" t="str">
        <f ca="1"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138" t="str">
        <f ca="1"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 ca="1">IF(Proc[[#This Row],[type]]="LFF (MDG-F)",MID(Proc[[#This Row],[Obj]],13,10),"")</f>
        <v/>
      </c>
      <c r="J2298" s="94" t="b">
        <f ca="1">Proc[[#This Row],[Requested]]=Proc[[#This Row],[CurrentParent]]</f>
        <v>1</v>
      </c>
      <c r="K2298" s="94" t="str">
        <f ca="1"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138" t="str">
        <f ca="1"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 ca="1">IF(Proc[[#This Row],[type]]="LFF (MDG-F)",MID(Proc[[#This Row],[Obj]],13,10),"")</f>
        <v/>
      </c>
      <c r="J2299" s="94" t="b">
        <f ca="1">Proc[[#This Row],[Requested]]=Proc[[#This Row],[CurrentParent]]</f>
        <v>1</v>
      </c>
      <c r="K2299" s="94" t="str">
        <f ca="1"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138" t="str">
        <f ca="1"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 ca="1">IF(Proc[[#This Row],[type]]="LFF (MDG-F)",MID(Proc[[#This Row],[Obj]],13,10),"")</f>
        <v/>
      </c>
      <c r="J2300" s="94" t="b">
        <f ca="1">Proc[[#This Row],[Requested]]=Proc[[#This Row],[CurrentParent]]</f>
        <v>1</v>
      </c>
      <c r="K2300" s="94" t="str">
        <f ca="1"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138" t="str">
        <f ca="1"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 ca="1">IF(Proc[[#This Row],[type]]="LFF (MDG-F)",MID(Proc[[#This Row],[Obj]],13,10),"")</f>
        <v/>
      </c>
      <c r="J2301" s="94" t="b">
        <f ca="1">Proc[[#This Row],[Requested]]=Proc[[#This Row],[CurrentParent]]</f>
        <v>1</v>
      </c>
      <c r="K2301" s="94" t="str">
        <f ca="1"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138" t="str">
        <f ca="1"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 ca="1">IF(Proc[[#This Row],[type]]="LFF (MDG-F)",MID(Proc[[#This Row],[Obj]],13,10),"")</f>
        <v>TN50Z01000</v>
      </c>
      <c r="J2302" s="94" t="b">
        <f ca="1">Proc[[#This Row],[Requested]]=Proc[[#This Row],[CurrentParent]]</f>
        <v>1</v>
      </c>
      <c r="K2302" s="94" t="str">
        <f ca="1"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60</v>
      </c>
      <c r="R2302" s="104" t="s">
        <v>410</v>
      </c>
      <c r="S2302" s="94"/>
    </row>
    <row r="2303" spans="1:19" hidden="1">
      <c r="A2303" s="103" t="s">
        <v>4140</v>
      </c>
      <c r="B2303" s="138" t="str">
        <f ca="1"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 ca="1">IF(Proc[[#This Row],[type]]="LFF (MDG-F)",MID(Proc[[#This Row],[Obj]],13,10),"")</f>
        <v>TN60Z01000</v>
      </c>
      <c r="J2303" s="94" t="b">
        <f ca="1">Proc[[#This Row],[Requested]]=Proc[[#This Row],[CurrentParent]]</f>
        <v>1</v>
      </c>
      <c r="K2303" s="94" t="str">
        <f ca="1"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60</v>
      </c>
      <c r="R2303" s="104" t="s">
        <v>410</v>
      </c>
      <c r="S2303" s="94"/>
    </row>
    <row r="2304" spans="1:19" hidden="1">
      <c r="A2304" t="s">
        <v>4181</v>
      </c>
      <c r="B2304" s="138" t="str">
        <f ca="1"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 ca="1">IF(Proc[[#This Row],[type]]="LFF (MDG-F)",MID(Proc[[#This Row],[Obj]],13,10),"")</f>
        <v/>
      </c>
      <c r="J2304" s="94" t="b">
        <f ca="1">Proc[[#This Row],[Requested]]=Proc[[#This Row],[CurrentParent]]</f>
        <v>1</v>
      </c>
      <c r="K2304" s="94" t="str">
        <f ca="1"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60</v>
      </c>
      <c r="R2304" s="106" t="s">
        <v>955</v>
      </c>
      <c r="S2304" s="94"/>
    </row>
    <row r="2305" spans="1:19" hidden="1">
      <c r="A2305" t="s">
        <v>4188</v>
      </c>
      <c r="B2305" s="138" t="str">
        <f ca="1"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 ca="1">IF(Proc[[#This Row],[type]]="LFF (MDG-F)",MID(Proc[[#This Row],[Obj]],13,10),"")</f>
        <v/>
      </c>
      <c r="J2305" s="94" t="b">
        <f ca="1">Proc[[#This Row],[Requested]]=Proc[[#This Row],[CurrentParent]]</f>
        <v>1</v>
      </c>
      <c r="K2305" s="94" t="str">
        <f ca="1"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60</v>
      </c>
      <c r="R2305" s="106" t="s">
        <v>972</v>
      </c>
      <c r="S2305" s="94"/>
    </row>
    <row r="2306" spans="1:19" hidden="1">
      <c r="A2306" s="103" t="s">
        <v>4188</v>
      </c>
      <c r="B2306" s="138" t="str">
        <f ca="1"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 ca="1">IF(Proc[[#This Row],[type]]="LFF (MDG-F)",MID(Proc[[#This Row],[Obj]],13,10),"")</f>
        <v/>
      </c>
      <c r="J2306" s="94" t="b">
        <f ca="1">Proc[[#This Row],[Requested]]=Proc[[#This Row],[CurrentParent]]</f>
        <v>1</v>
      </c>
      <c r="K2306" s="94" t="str">
        <f ca="1"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60</v>
      </c>
      <c r="R2306" s="106" t="s">
        <v>972</v>
      </c>
      <c r="S2306" s="94"/>
    </row>
    <row r="2307" spans="1:19" hidden="1">
      <c r="A2307" s="103" t="s">
        <v>4188</v>
      </c>
      <c r="B2307" s="138" t="str">
        <f ca="1"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 ca="1">IF(Proc[[#This Row],[type]]="LFF (MDG-F)",MID(Proc[[#This Row],[Obj]],13,10),"")</f>
        <v/>
      </c>
      <c r="J2307" s="94" t="b">
        <f ca="1">Proc[[#This Row],[Requested]]=Proc[[#This Row],[CurrentParent]]</f>
        <v>1</v>
      </c>
      <c r="K2307" s="94" t="str">
        <f ca="1"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60</v>
      </c>
      <c r="R2307" s="106" t="s">
        <v>972</v>
      </c>
      <c r="S2307" s="94"/>
    </row>
    <row r="2308" spans="1:19" hidden="1">
      <c r="A2308" s="103" t="s">
        <v>4188</v>
      </c>
      <c r="B2308" s="138" t="str">
        <f ca="1"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 ca="1">IF(Proc[[#This Row],[type]]="LFF (MDG-F)",MID(Proc[[#This Row],[Obj]],13,10),"")</f>
        <v/>
      </c>
      <c r="J2308" s="94" t="b">
        <f ca="1">Proc[[#This Row],[Requested]]=Proc[[#This Row],[CurrentParent]]</f>
        <v>1</v>
      </c>
      <c r="K2308" s="94" t="str">
        <f ca="1"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60</v>
      </c>
      <c r="R2308" s="106" t="s">
        <v>972</v>
      </c>
      <c r="S2308" s="94"/>
    </row>
    <row r="2309" spans="1:19" hidden="1">
      <c r="A2309" s="103" t="s">
        <v>4188</v>
      </c>
      <c r="B2309" s="138" t="str">
        <f ca="1"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 ca="1">IF(Proc[[#This Row],[type]]="LFF (MDG-F)",MID(Proc[[#This Row],[Obj]],13,10),"")</f>
        <v/>
      </c>
      <c r="J2309" s="94" t="b">
        <f ca="1">Proc[[#This Row],[Requested]]=Proc[[#This Row],[CurrentParent]]</f>
        <v>1</v>
      </c>
      <c r="K2309" s="94" t="str">
        <f ca="1"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60</v>
      </c>
      <c r="R2309" s="106" t="s">
        <v>972</v>
      </c>
      <c r="S2309" s="94"/>
    </row>
    <row r="2310" spans="1:19" hidden="1">
      <c r="A2310" t="s">
        <v>4189</v>
      </c>
      <c r="B2310" s="138" t="str">
        <f ca="1"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 ca="1">IF(Proc[[#This Row],[type]]="LFF (MDG-F)",MID(Proc[[#This Row],[Obj]],13,10),"")</f>
        <v/>
      </c>
      <c r="J2310" s="94" t="b">
        <f ca="1">Proc[[#This Row],[Requested]]=Proc[[#This Row],[CurrentParent]]</f>
        <v>1</v>
      </c>
      <c r="K2310" s="94" t="str">
        <f ca="1"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60</v>
      </c>
      <c r="R2310" s="106" t="s">
        <v>780</v>
      </c>
      <c r="S2310" s="94"/>
    </row>
    <row r="2311" spans="1:19" hidden="1">
      <c r="A2311" s="103" t="s">
        <v>4189</v>
      </c>
      <c r="B2311" s="138" t="str">
        <f ca="1"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 ca="1">IF(Proc[[#This Row],[type]]="LFF (MDG-F)",MID(Proc[[#This Row],[Obj]],13,10),"")</f>
        <v/>
      </c>
      <c r="J2311" s="94" t="b">
        <f ca="1">Proc[[#This Row],[Requested]]=Proc[[#This Row],[CurrentParent]]</f>
        <v>1</v>
      </c>
      <c r="K2311" s="94" t="str">
        <f ca="1"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60</v>
      </c>
      <c r="R2311" s="106" t="s">
        <v>780</v>
      </c>
      <c r="S2311" s="94"/>
    </row>
    <row r="2312" spans="1:19" hidden="1">
      <c r="A2312" s="103" t="s">
        <v>4189</v>
      </c>
      <c r="B2312" s="138" t="str">
        <f ca="1"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 ca="1">IF(Proc[[#This Row],[type]]="LFF (MDG-F)",MID(Proc[[#This Row],[Obj]],13,10),"")</f>
        <v/>
      </c>
      <c r="J2312" s="94" t="b">
        <f ca="1">Proc[[#This Row],[Requested]]=Proc[[#This Row],[CurrentParent]]</f>
        <v>1</v>
      </c>
      <c r="K2312" s="94" t="str">
        <f ca="1"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60</v>
      </c>
      <c r="R2312" s="106" t="s">
        <v>780</v>
      </c>
      <c r="S2312" s="94"/>
    </row>
    <row r="2313" spans="1:19" hidden="1">
      <c r="A2313" s="103" t="s">
        <v>4189</v>
      </c>
      <c r="B2313" s="138" t="str">
        <f ca="1"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 ca="1">IF(Proc[[#This Row],[type]]="LFF (MDG-F)",MID(Proc[[#This Row],[Obj]],13,10),"")</f>
        <v/>
      </c>
      <c r="J2313" s="94" t="b">
        <f ca="1">Proc[[#This Row],[Requested]]=Proc[[#This Row],[CurrentParent]]</f>
        <v>1</v>
      </c>
      <c r="K2313" s="94" t="str">
        <f ca="1"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60</v>
      </c>
      <c r="R2313" s="106" t="s">
        <v>780</v>
      </c>
      <c r="S2313" s="94"/>
    </row>
    <row r="2314" spans="1:19" hidden="1">
      <c r="A2314" s="103" t="s">
        <v>4189</v>
      </c>
      <c r="B2314" s="138" t="str">
        <f ca="1"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 ca="1">IF(Proc[[#This Row],[type]]="LFF (MDG-F)",MID(Proc[[#This Row],[Obj]],13,10),"")</f>
        <v/>
      </c>
      <c r="J2314" s="94" t="b">
        <f ca="1">Proc[[#This Row],[Requested]]=Proc[[#This Row],[CurrentParent]]</f>
        <v>1</v>
      </c>
      <c r="K2314" s="94" t="str">
        <f ca="1"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60</v>
      </c>
      <c r="R2314" s="106" t="s">
        <v>780</v>
      </c>
      <c r="S2314" s="94"/>
    </row>
    <row r="2315" spans="1:19" hidden="1">
      <c r="A2315" s="103" t="s">
        <v>4189</v>
      </c>
      <c r="B2315" s="138" t="str">
        <f ca="1"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 ca="1">IF(Proc[[#This Row],[type]]="LFF (MDG-F)",MID(Proc[[#This Row],[Obj]],13,10),"")</f>
        <v/>
      </c>
      <c r="J2315" s="94" t="b">
        <f ca="1">Proc[[#This Row],[Requested]]=Proc[[#This Row],[CurrentParent]]</f>
        <v>1</v>
      </c>
      <c r="K2315" s="94" t="str">
        <f ca="1"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60</v>
      </c>
      <c r="R2315" s="106" t="s">
        <v>780</v>
      </c>
      <c r="S2315" s="94"/>
    </row>
    <row r="2316" spans="1:19" hidden="1">
      <c r="A2316" s="103" t="s">
        <v>4189</v>
      </c>
      <c r="B2316" s="138" t="str">
        <f ca="1"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 ca="1">IF(Proc[[#This Row],[type]]="LFF (MDG-F)",MID(Proc[[#This Row],[Obj]],13,10),"")</f>
        <v/>
      </c>
      <c r="J2316" s="94" t="b">
        <f ca="1">Proc[[#This Row],[Requested]]=Proc[[#This Row],[CurrentParent]]</f>
        <v>1</v>
      </c>
      <c r="K2316" s="94" t="str">
        <f ca="1"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60</v>
      </c>
      <c r="R2316" s="106" t="s">
        <v>780</v>
      </c>
      <c r="S2316" s="94"/>
    </row>
    <row r="2317" spans="1:19" hidden="1">
      <c r="A2317" s="103" t="s">
        <v>4189</v>
      </c>
      <c r="B2317" s="138" t="str">
        <f ca="1"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 ca="1">IF(Proc[[#This Row],[type]]="LFF (MDG-F)",MID(Proc[[#This Row],[Obj]],13,10),"")</f>
        <v/>
      </c>
      <c r="J2317" s="94" t="b">
        <f ca="1">Proc[[#This Row],[Requested]]=Proc[[#This Row],[CurrentParent]]</f>
        <v>1</v>
      </c>
      <c r="K2317" s="94" t="str">
        <f ca="1"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60</v>
      </c>
      <c r="R2317" s="106" t="s">
        <v>780</v>
      </c>
      <c r="S2317" s="94"/>
    </row>
    <row r="2318" spans="1:19" hidden="1">
      <c r="A2318" s="103" t="s">
        <v>4189</v>
      </c>
      <c r="B2318" s="138" t="str">
        <f ca="1"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 ca="1">IF(Proc[[#This Row],[type]]="LFF (MDG-F)",MID(Proc[[#This Row],[Obj]],13,10),"")</f>
        <v/>
      </c>
      <c r="J2318" s="94" t="b">
        <f ca="1">Proc[[#This Row],[Requested]]=Proc[[#This Row],[CurrentParent]]</f>
        <v>1</v>
      </c>
      <c r="K2318" s="94" t="str">
        <f ca="1"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60</v>
      </c>
      <c r="R2318" s="106" t="s">
        <v>780</v>
      </c>
      <c r="S2318" s="94"/>
    </row>
    <row r="2319" spans="1:19" hidden="1">
      <c r="A2319" s="103" t="s">
        <v>4189</v>
      </c>
      <c r="B2319" s="138" t="str">
        <f ca="1"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 ca="1">IF(Proc[[#This Row],[type]]="LFF (MDG-F)",MID(Proc[[#This Row],[Obj]],13,10),"")</f>
        <v/>
      </c>
      <c r="J2319" s="94" t="b">
        <f ca="1">Proc[[#This Row],[Requested]]=Proc[[#This Row],[CurrentParent]]</f>
        <v>1</v>
      </c>
      <c r="K2319" s="94" t="str">
        <f ca="1"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60</v>
      </c>
      <c r="R2319" s="106" t="s">
        <v>780</v>
      </c>
      <c r="S2319" s="94"/>
    </row>
    <row r="2320" spans="1:19" hidden="1">
      <c r="A2320" s="103" t="s">
        <v>4189</v>
      </c>
      <c r="B2320" s="138" t="str">
        <f ca="1"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 ca="1">IF(Proc[[#This Row],[type]]="LFF (MDG-F)",MID(Proc[[#This Row],[Obj]],13,10),"")</f>
        <v/>
      </c>
      <c r="J2320" s="94" t="b">
        <f ca="1">Proc[[#This Row],[Requested]]=Proc[[#This Row],[CurrentParent]]</f>
        <v>1</v>
      </c>
      <c r="K2320" s="94" t="str">
        <f ca="1"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60</v>
      </c>
      <c r="R2320" s="106" t="s">
        <v>780</v>
      </c>
      <c r="S2320" s="94"/>
    </row>
    <row r="2321" spans="1:19" hidden="1">
      <c r="A2321" s="103" t="s">
        <v>4189</v>
      </c>
      <c r="B2321" s="138" t="str">
        <f ca="1"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 ca="1">IF(Proc[[#This Row],[type]]="LFF (MDG-F)",MID(Proc[[#This Row],[Obj]],13,10),"")</f>
        <v/>
      </c>
      <c r="J2321" s="94" t="b">
        <f ca="1">Proc[[#This Row],[Requested]]=Proc[[#This Row],[CurrentParent]]</f>
        <v>1</v>
      </c>
      <c r="K2321" s="94" t="str">
        <f ca="1"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60</v>
      </c>
      <c r="R2321" s="106" t="s">
        <v>780</v>
      </c>
      <c r="S2321" s="94"/>
    </row>
    <row r="2322" spans="1:19" hidden="1">
      <c r="A2322" s="103" t="s">
        <v>4189</v>
      </c>
      <c r="B2322" s="138" t="str">
        <f ca="1"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 ca="1">IF(Proc[[#This Row],[type]]="LFF (MDG-F)",MID(Proc[[#This Row],[Obj]],13,10),"")</f>
        <v/>
      </c>
      <c r="J2322" s="94" t="b">
        <f ca="1">Proc[[#This Row],[Requested]]=Proc[[#This Row],[CurrentParent]]</f>
        <v>1</v>
      </c>
      <c r="K2322" s="94" t="str">
        <f ca="1"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60</v>
      </c>
      <c r="R2322" s="106" t="s">
        <v>780</v>
      </c>
      <c r="S2322" s="94"/>
    </row>
    <row r="2323" spans="1:19" hidden="1">
      <c r="A2323" s="103" t="s">
        <v>4189</v>
      </c>
      <c r="B2323" s="138" t="str">
        <f ca="1"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 ca="1">IF(Proc[[#This Row],[type]]="LFF (MDG-F)",MID(Proc[[#This Row],[Obj]],13,10),"")</f>
        <v/>
      </c>
      <c r="J2323" s="94" t="b">
        <f ca="1">Proc[[#This Row],[Requested]]=Proc[[#This Row],[CurrentParent]]</f>
        <v>1</v>
      </c>
      <c r="K2323" s="94" t="str">
        <f ca="1"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60</v>
      </c>
      <c r="R2323" s="106" t="s">
        <v>780</v>
      </c>
      <c r="S2323" s="94"/>
    </row>
    <row r="2324" spans="1:19" hidden="1">
      <c r="A2324" s="103" t="s">
        <v>4189</v>
      </c>
      <c r="B2324" s="138" t="str">
        <f ca="1"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 ca="1">IF(Proc[[#This Row],[type]]="LFF (MDG-F)",MID(Proc[[#This Row],[Obj]],13,10),"")</f>
        <v/>
      </c>
      <c r="J2324" s="94" t="b">
        <f ca="1">Proc[[#This Row],[Requested]]=Proc[[#This Row],[CurrentParent]]</f>
        <v>1</v>
      </c>
      <c r="K2324" s="94" t="str">
        <f ca="1"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60</v>
      </c>
      <c r="R2324" s="106" t="s">
        <v>780</v>
      </c>
      <c r="S2324" s="94"/>
    </row>
    <row r="2325" spans="1:19" hidden="1">
      <c r="A2325" s="103" t="s">
        <v>4189</v>
      </c>
      <c r="B2325" s="138" t="str">
        <f ca="1"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 ca="1">IF(Proc[[#This Row],[type]]="LFF (MDG-F)",MID(Proc[[#This Row],[Obj]],13,10),"")</f>
        <v/>
      </c>
      <c r="J2325" s="94" t="b">
        <f ca="1">Proc[[#This Row],[Requested]]=Proc[[#This Row],[CurrentParent]]</f>
        <v>1</v>
      </c>
      <c r="K2325" s="94" t="str">
        <f ca="1"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60</v>
      </c>
      <c r="R2325" s="106" t="s">
        <v>780</v>
      </c>
      <c r="S2325" s="94"/>
    </row>
    <row r="2326" spans="1:19" hidden="1">
      <c r="A2326" s="103" t="s">
        <v>4189</v>
      </c>
      <c r="B2326" s="138" t="str">
        <f ca="1"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 ca="1">IF(Proc[[#This Row],[type]]="LFF (MDG-F)",MID(Proc[[#This Row],[Obj]],13,10),"")</f>
        <v/>
      </c>
      <c r="J2326" s="94" t="b">
        <f ca="1">Proc[[#This Row],[Requested]]=Proc[[#This Row],[CurrentParent]]</f>
        <v>1</v>
      </c>
      <c r="K2326" s="94" t="str">
        <f ca="1"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60</v>
      </c>
      <c r="R2326" s="106" t="s">
        <v>780</v>
      </c>
      <c r="S2326" s="94"/>
    </row>
    <row r="2327" spans="1:19" hidden="1">
      <c r="A2327" s="103" t="s">
        <v>4189</v>
      </c>
      <c r="B2327" s="138" t="str">
        <f ca="1"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 ca="1">IF(Proc[[#This Row],[type]]="LFF (MDG-F)",MID(Proc[[#This Row],[Obj]],13,10),"")</f>
        <v/>
      </c>
      <c r="J2327" s="94" t="b">
        <f ca="1">Proc[[#This Row],[Requested]]=Proc[[#This Row],[CurrentParent]]</f>
        <v>1</v>
      </c>
      <c r="K2327" s="94" t="str">
        <f ca="1"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60</v>
      </c>
      <c r="R2327" s="106" t="s">
        <v>780</v>
      </c>
      <c r="S2327" s="94"/>
    </row>
    <row r="2328" spans="1:19" hidden="1">
      <c r="A2328" s="103" t="s">
        <v>4189</v>
      </c>
      <c r="B2328" s="138" t="str">
        <f ca="1"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 ca="1">IF(Proc[[#This Row],[type]]="LFF (MDG-F)",MID(Proc[[#This Row],[Obj]],13,10),"")</f>
        <v/>
      </c>
      <c r="J2328" s="94" t="b">
        <f ca="1">Proc[[#This Row],[Requested]]=Proc[[#This Row],[CurrentParent]]</f>
        <v>1</v>
      </c>
      <c r="K2328" s="94" t="str">
        <f ca="1"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60</v>
      </c>
      <c r="R2328" s="106" t="s">
        <v>780</v>
      </c>
      <c r="S2328" s="94"/>
    </row>
    <row r="2329" spans="1:19" hidden="1">
      <c r="A2329" s="103" t="s">
        <v>4189</v>
      </c>
      <c r="B2329" s="138" t="str">
        <f ca="1"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 ca="1">IF(Proc[[#This Row],[type]]="LFF (MDG-F)",MID(Proc[[#This Row],[Obj]],13,10),"")</f>
        <v/>
      </c>
      <c r="J2329" s="94" t="b">
        <f ca="1">Proc[[#This Row],[Requested]]=Proc[[#This Row],[CurrentParent]]</f>
        <v>1</v>
      </c>
      <c r="K2329" s="94" t="str">
        <f ca="1"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60</v>
      </c>
      <c r="R2329" s="106" t="s">
        <v>780</v>
      </c>
      <c r="S2329" s="94"/>
    </row>
    <row r="2330" spans="1:19" hidden="1">
      <c r="A2330" s="103" t="s">
        <v>4189</v>
      </c>
      <c r="B2330" s="138" t="str">
        <f ca="1"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 ca="1">IF(Proc[[#This Row],[type]]="LFF (MDG-F)",MID(Proc[[#This Row],[Obj]],13,10),"")</f>
        <v/>
      </c>
      <c r="J2330" s="94" t="b">
        <f ca="1">Proc[[#This Row],[Requested]]=Proc[[#This Row],[CurrentParent]]</f>
        <v>1</v>
      </c>
      <c r="K2330" s="94" t="str">
        <f ca="1"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60</v>
      </c>
      <c r="R2330" s="106" t="s">
        <v>780</v>
      </c>
      <c r="S2330" s="94"/>
    </row>
    <row r="2331" spans="1:19" hidden="1">
      <c r="A2331" s="103" t="s">
        <v>4189</v>
      </c>
      <c r="B2331" s="138" t="str">
        <f ca="1"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 ca="1">IF(Proc[[#This Row],[type]]="LFF (MDG-F)",MID(Proc[[#This Row],[Obj]],13,10),"")</f>
        <v/>
      </c>
      <c r="J2331" s="94" t="b">
        <f ca="1">Proc[[#This Row],[Requested]]=Proc[[#This Row],[CurrentParent]]</f>
        <v>1</v>
      </c>
      <c r="K2331" s="94" t="str">
        <f ca="1"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60</v>
      </c>
      <c r="R2331" s="106" t="s">
        <v>780</v>
      </c>
      <c r="S2331" s="94"/>
    </row>
    <row r="2332" spans="1:19" hidden="1">
      <c r="A2332" s="103" t="s">
        <v>4189</v>
      </c>
      <c r="B2332" s="138" t="str">
        <f ca="1"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 ca="1">IF(Proc[[#This Row],[type]]="LFF (MDG-F)",MID(Proc[[#This Row],[Obj]],13,10),"")</f>
        <v/>
      </c>
      <c r="J2332" s="94" t="b">
        <f ca="1">Proc[[#This Row],[Requested]]=Proc[[#This Row],[CurrentParent]]</f>
        <v>1</v>
      </c>
      <c r="K2332" s="94" t="str">
        <f ca="1"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60</v>
      </c>
      <c r="R2332" s="106" t="s">
        <v>780</v>
      </c>
      <c r="S2332" s="94"/>
    </row>
    <row r="2333" spans="1:19" hidden="1">
      <c r="A2333" s="103" t="s">
        <v>4189</v>
      </c>
      <c r="B2333" s="138" t="str">
        <f ca="1"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 ca="1">IF(Proc[[#This Row],[type]]="LFF (MDG-F)",MID(Proc[[#This Row],[Obj]],13,10),"")</f>
        <v/>
      </c>
      <c r="J2333" s="94" t="b">
        <f ca="1">Proc[[#This Row],[Requested]]=Proc[[#This Row],[CurrentParent]]</f>
        <v>1</v>
      </c>
      <c r="K2333" s="94" t="str">
        <f ca="1"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60</v>
      </c>
      <c r="R2333" s="106" t="s">
        <v>780</v>
      </c>
      <c r="S2333" s="94"/>
    </row>
    <row r="2334" spans="1:19" hidden="1">
      <c r="A2334" s="103" t="s">
        <v>4189</v>
      </c>
      <c r="B2334" s="138" t="str">
        <f ca="1"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 ca="1">IF(Proc[[#This Row],[type]]="LFF (MDG-F)",MID(Proc[[#This Row],[Obj]],13,10),"")</f>
        <v/>
      </c>
      <c r="J2334" s="94" t="b">
        <f ca="1">Proc[[#This Row],[Requested]]=Proc[[#This Row],[CurrentParent]]</f>
        <v>1</v>
      </c>
      <c r="K2334" s="94" t="str">
        <f ca="1"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60</v>
      </c>
      <c r="R2334" s="106" t="s">
        <v>780</v>
      </c>
      <c r="S2334" s="94"/>
    </row>
    <row r="2335" spans="1:19" hidden="1">
      <c r="A2335" s="103" t="s">
        <v>4189</v>
      </c>
      <c r="B2335" s="138" t="str">
        <f ca="1"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 ca="1">IF(Proc[[#This Row],[type]]="LFF (MDG-F)",MID(Proc[[#This Row],[Obj]],13,10),"")</f>
        <v/>
      </c>
      <c r="J2335" s="94" t="b">
        <f ca="1">Proc[[#This Row],[Requested]]=Proc[[#This Row],[CurrentParent]]</f>
        <v>1</v>
      </c>
      <c r="K2335" s="94" t="str">
        <f ca="1"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60</v>
      </c>
      <c r="R2335" s="106" t="s">
        <v>780</v>
      </c>
      <c r="S2335" s="94"/>
    </row>
    <row r="2336" spans="1:19" hidden="1">
      <c r="A2336" s="103" t="s">
        <v>4189</v>
      </c>
      <c r="B2336" s="138" t="str">
        <f ca="1"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 ca="1">IF(Proc[[#This Row],[type]]="LFF (MDG-F)",MID(Proc[[#This Row],[Obj]],13,10),"")</f>
        <v/>
      </c>
      <c r="J2336" s="94" t="b">
        <f ca="1">Proc[[#This Row],[Requested]]=Proc[[#This Row],[CurrentParent]]</f>
        <v>1</v>
      </c>
      <c r="K2336" s="94" t="str">
        <f ca="1"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60</v>
      </c>
      <c r="R2336" s="106" t="s">
        <v>780</v>
      </c>
      <c r="S2336" s="94"/>
    </row>
    <row r="2337" spans="1:19" hidden="1">
      <c r="A2337" s="103" t="s">
        <v>4189</v>
      </c>
      <c r="B2337" s="138" t="str">
        <f ca="1"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 ca="1">IF(Proc[[#This Row],[type]]="LFF (MDG-F)",MID(Proc[[#This Row],[Obj]],13,10),"")</f>
        <v/>
      </c>
      <c r="J2337" s="94" t="b">
        <f ca="1">Proc[[#This Row],[Requested]]=Proc[[#This Row],[CurrentParent]]</f>
        <v>1</v>
      </c>
      <c r="K2337" s="94" t="str">
        <f ca="1"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60</v>
      </c>
      <c r="R2337" s="106" t="s">
        <v>780</v>
      </c>
      <c r="S2337" s="94"/>
    </row>
    <row r="2338" spans="1:19" hidden="1">
      <c r="A2338" s="103" t="s">
        <v>4189</v>
      </c>
      <c r="B2338" s="138" t="str">
        <f ca="1"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 ca="1">IF(Proc[[#This Row],[type]]="LFF (MDG-F)",MID(Proc[[#This Row],[Obj]],13,10),"")</f>
        <v/>
      </c>
      <c r="J2338" s="94" t="b">
        <f ca="1">Proc[[#This Row],[Requested]]=Proc[[#This Row],[CurrentParent]]</f>
        <v>1</v>
      </c>
      <c r="K2338" s="94" t="str">
        <f ca="1"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60</v>
      </c>
      <c r="R2338" s="106" t="s">
        <v>780</v>
      </c>
      <c r="S2338" s="94"/>
    </row>
    <row r="2339" spans="1:19" hidden="1">
      <c r="A2339" s="103" t="s">
        <v>4189</v>
      </c>
      <c r="B2339" s="138" t="str">
        <f ca="1"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 ca="1">IF(Proc[[#This Row],[type]]="LFF (MDG-F)",MID(Proc[[#This Row],[Obj]],13,10),"")</f>
        <v/>
      </c>
      <c r="J2339" s="94" t="b">
        <f ca="1">Proc[[#This Row],[Requested]]=Proc[[#This Row],[CurrentParent]]</f>
        <v>1</v>
      </c>
      <c r="K2339" s="94" t="str">
        <f ca="1"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60</v>
      </c>
      <c r="R2339" s="106" t="s">
        <v>780</v>
      </c>
      <c r="S2339" s="94"/>
    </row>
    <row r="2340" spans="1:19" hidden="1">
      <c r="A2340" s="103" t="s">
        <v>4189</v>
      </c>
      <c r="B2340" s="138" t="str">
        <f ca="1"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 ca="1">IF(Proc[[#This Row],[type]]="LFF (MDG-F)",MID(Proc[[#This Row],[Obj]],13,10),"")</f>
        <v/>
      </c>
      <c r="J2340" s="94" t="b">
        <f ca="1">Proc[[#This Row],[Requested]]=Proc[[#This Row],[CurrentParent]]</f>
        <v>1</v>
      </c>
      <c r="K2340" s="94" t="str">
        <f ca="1"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60</v>
      </c>
      <c r="R2340" s="106" t="s">
        <v>780</v>
      </c>
      <c r="S2340" s="94"/>
    </row>
    <row r="2341" spans="1:19" hidden="1">
      <c r="A2341" s="103" t="s">
        <v>4189</v>
      </c>
      <c r="B2341" s="138" t="str">
        <f ca="1"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 ca="1">IF(Proc[[#This Row],[type]]="LFF (MDG-F)",MID(Proc[[#This Row],[Obj]],13,10),"")</f>
        <v/>
      </c>
      <c r="J2341" s="94" t="b">
        <f ca="1">Proc[[#This Row],[Requested]]=Proc[[#This Row],[CurrentParent]]</f>
        <v>1</v>
      </c>
      <c r="K2341" s="94" t="str">
        <f ca="1"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60</v>
      </c>
      <c r="R2341" s="106" t="s">
        <v>780</v>
      </c>
      <c r="S2341" s="94"/>
    </row>
    <row r="2342" spans="1:19" hidden="1">
      <c r="A2342" s="103" t="s">
        <v>4189</v>
      </c>
      <c r="B2342" s="138" t="str">
        <f ca="1"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 ca="1">IF(Proc[[#This Row],[type]]="LFF (MDG-F)",MID(Proc[[#This Row],[Obj]],13,10),"")</f>
        <v/>
      </c>
      <c r="J2342" s="94" t="b">
        <f ca="1">Proc[[#This Row],[Requested]]=Proc[[#This Row],[CurrentParent]]</f>
        <v>1</v>
      </c>
      <c r="K2342" s="94" t="str">
        <f ca="1"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60</v>
      </c>
      <c r="R2342" s="106" t="s">
        <v>780</v>
      </c>
      <c r="S2342" s="94"/>
    </row>
    <row r="2343" spans="1:19" hidden="1">
      <c r="A2343" s="103" t="s">
        <v>4189</v>
      </c>
      <c r="B2343" s="138" t="str">
        <f ca="1"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 ca="1">IF(Proc[[#This Row],[type]]="LFF (MDG-F)",MID(Proc[[#This Row],[Obj]],13,10),"")</f>
        <v/>
      </c>
      <c r="J2343" s="94" t="b">
        <f ca="1">Proc[[#This Row],[Requested]]=Proc[[#This Row],[CurrentParent]]</f>
        <v>1</v>
      </c>
      <c r="K2343" s="94" t="str">
        <f ca="1"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60</v>
      </c>
      <c r="R2343" s="106" t="s">
        <v>780</v>
      </c>
      <c r="S2343" s="94"/>
    </row>
    <row r="2344" spans="1:19" hidden="1">
      <c r="A2344" s="103" t="s">
        <v>4189</v>
      </c>
      <c r="B2344" s="138" t="str">
        <f ca="1"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 ca="1">IF(Proc[[#This Row],[type]]="LFF (MDG-F)",MID(Proc[[#This Row],[Obj]],13,10),"")</f>
        <v/>
      </c>
      <c r="J2344" s="94" t="b">
        <f ca="1">Proc[[#This Row],[Requested]]=Proc[[#This Row],[CurrentParent]]</f>
        <v>1</v>
      </c>
      <c r="K2344" s="94" t="str">
        <f ca="1"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60</v>
      </c>
      <c r="R2344" s="106" t="s">
        <v>780</v>
      </c>
      <c r="S2344" s="94"/>
    </row>
    <row r="2345" spans="1:19" hidden="1">
      <c r="A2345" s="103" t="s">
        <v>4189</v>
      </c>
      <c r="B2345" s="138" t="str">
        <f ca="1"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 ca="1">IF(Proc[[#This Row],[type]]="LFF (MDG-F)",MID(Proc[[#This Row],[Obj]],13,10),"")</f>
        <v/>
      </c>
      <c r="J2345" s="94" t="b">
        <f ca="1">Proc[[#This Row],[Requested]]=Proc[[#This Row],[CurrentParent]]</f>
        <v>1</v>
      </c>
      <c r="K2345" s="94" t="str">
        <f ca="1"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60</v>
      </c>
      <c r="R2345" s="106" t="s">
        <v>780</v>
      </c>
      <c r="S2345" s="94"/>
    </row>
    <row r="2346" spans="1:19" hidden="1">
      <c r="A2346" s="103" t="s">
        <v>4189</v>
      </c>
      <c r="B2346" s="138" t="str">
        <f ca="1"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 ca="1">IF(Proc[[#This Row],[type]]="LFF (MDG-F)",MID(Proc[[#This Row],[Obj]],13,10),"")</f>
        <v/>
      </c>
      <c r="J2346" s="94" t="b">
        <f ca="1">Proc[[#This Row],[Requested]]=Proc[[#This Row],[CurrentParent]]</f>
        <v>1</v>
      </c>
      <c r="K2346" s="94" t="str">
        <f ca="1"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60</v>
      </c>
      <c r="R2346" s="106" t="s">
        <v>780</v>
      </c>
      <c r="S2346" s="94"/>
    </row>
    <row r="2347" spans="1:19" hidden="1">
      <c r="A2347" s="103" t="s">
        <v>4189</v>
      </c>
      <c r="B2347" s="138" t="str">
        <f ca="1"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 ca="1">IF(Proc[[#This Row],[type]]="LFF (MDG-F)",MID(Proc[[#This Row],[Obj]],13,10),"")</f>
        <v/>
      </c>
      <c r="J2347" s="94" t="b">
        <f ca="1">Proc[[#This Row],[Requested]]=Proc[[#This Row],[CurrentParent]]</f>
        <v>1</v>
      </c>
      <c r="K2347" s="94" t="str">
        <f ca="1"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60</v>
      </c>
      <c r="R2347" s="106" t="s">
        <v>780</v>
      </c>
      <c r="S2347" s="94"/>
    </row>
    <row r="2348" spans="1:19" hidden="1">
      <c r="A2348" s="103" t="s">
        <v>4189</v>
      </c>
      <c r="B2348" s="138" t="str">
        <f ca="1"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 ca="1">IF(Proc[[#This Row],[type]]="LFF (MDG-F)",MID(Proc[[#This Row],[Obj]],13,10),"")</f>
        <v/>
      </c>
      <c r="J2348" s="94" t="b">
        <f ca="1">Proc[[#This Row],[Requested]]=Proc[[#This Row],[CurrentParent]]</f>
        <v>1</v>
      </c>
      <c r="K2348" s="94" t="str">
        <f ca="1"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60</v>
      </c>
      <c r="R2348" s="106" t="s">
        <v>780</v>
      </c>
      <c r="S2348" s="94"/>
    </row>
    <row r="2349" spans="1:19" hidden="1">
      <c r="A2349" s="103" t="s">
        <v>4189</v>
      </c>
      <c r="B2349" s="138" t="str">
        <f ca="1"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 ca="1">IF(Proc[[#This Row],[type]]="LFF (MDG-F)",MID(Proc[[#This Row],[Obj]],13,10),"")</f>
        <v/>
      </c>
      <c r="J2349" s="94" t="b">
        <f ca="1">Proc[[#This Row],[Requested]]=Proc[[#This Row],[CurrentParent]]</f>
        <v>1</v>
      </c>
      <c r="K2349" s="94" t="str">
        <f ca="1"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60</v>
      </c>
      <c r="R2349" s="106" t="s">
        <v>780</v>
      </c>
      <c r="S2349" s="94"/>
    </row>
    <row r="2350" spans="1:19" hidden="1">
      <c r="A2350" s="103" t="s">
        <v>4189</v>
      </c>
      <c r="B2350" s="138" t="str">
        <f ca="1"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 ca="1">IF(Proc[[#This Row],[type]]="LFF (MDG-F)",MID(Proc[[#This Row],[Obj]],13,10),"")</f>
        <v/>
      </c>
      <c r="J2350" s="94" t="b">
        <f ca="1">Proc[[#This Row],[Requested]]=Proc[[#This Row],[CurrentParent]]</f>
        <v>1</v>
      </c>
      <c r="K2350" s="94" t="str">
        <f ca="1"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60</v>
      </c>
      <c r="R2350" s="106" t="s">
        <v>780</v>
      </c>
      <c r="S2350" s="94"/>
    </row>
    <row r="2351" spans="1:19" hidden="1">
      <c r="A2351" s="103" t="s">
        <v>4189</v>
      </c>
      <c r="B2351" s="138" t="str">
        <f ca="1"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 ca="1">IF(Proc[[#This Row],[type]]="LFF (MDG-F)",MID(Proc[[#This Row],[Obj]],13,10),"")</f>
        <v/>
      </c>
      <c r="J2351" s="94" t="b">
        <f ca="1">Proc[[#This Row],[Requested]]=Proc[[#This Row],[CurrentParent]]</f>
        <v>1</v>
      </c>
      <c r="K2351" s="94" t="str">
        <f ca="1"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60</v>
      </c>
      <c r="R2351" s="106" t="s">
        <v>780</v>
      </c>
      <c r="S2351" s="94"/>
    </row>
    <row r="2352" spans="1:19" hidden="1">
      <c r="A2352" s="103" t="s">
        <v>4189</v>
      </c>
      <c r="B2352" s="138" t="str">
        <f ca="1"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 ca="1">IF(Proc[[#This Row],[type]]="LFF (MDG-F)",MID(Proc[[#This Row],[Obj]],13,10),"")</f>
        <v/>
      </c>
      <c r="J2352" s="94" t="b">
        <f ca="1">Proc[[#This Row],[Requested]]=Proc[[#This Row],[CurrentParent]]</f>
        <v>1</v>
      </c>
      <c r="K2352" s="94" t="str">
        <f ca="1"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60</v>
      </c>
      <c r="R2352" s="106" t="s">
        <v>780</v>
      </c>
      <c r="S2352" s="94"/>
    </row>
    <row r="2353" spans="1:19" hidden="1">
      <c r="A2353" s="103" t="s">
        <v>4189</v>
      </c>
      <c r="B2353" s="138" t="str">
        <f ca="1"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 ca="1">IF(Proc[[#This Row],[type]]="LFF (MDG-F)",MID(Proc[[#This Row],[Obj]],13,10),"")</f>
        <v/>
      </c>
      <c r="J2353" s="94" t="b">
        <f ca="1">Proc[[#This Row],[Requested]]=Proc[[#This Row],[CurrentParent]]</f>
        <v>1</v>
      </c>
      <c r="K2353" s="94" t="str">
        <f ca="1"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60</v>
      </c>
      <c r="R2353" s="106" t="s">
        <v>780</v>
      </c>
      <c r="S2353" s="94"/>
    </row>
    <row r="2354" spans="1:19" hidden="1">
      <c r="A2354" s="103" t="s">
        <v>4189</v>
      </c>
      <c r="B2354" s="138" t="str">
        <f ca="1"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 ca="1">IF(Proc[[#This Row],[type]]="LFF (MDG-F)",MID(Proc[[#This Row],[Obj]],13,10),"")</f>
        <v/>
      </c>
      <c r="J2354" s="94" t="b">
        <f ca="1">Proc[[#This Row],[Requested]]=Proc[[#This Row],[CurrentParent]]</f>
        <v>1</v>
      </c>
      <c r="K2354" s="94" t="str">
        <f ca="1"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60</v>
      </c>
      <c r="R2354" s="106" t="s">
        <v>780</v>
      </c>
      <c r="S2354" s="94"/>
    </row>
    <row r="2355" spans="1:19" hidden="1">
      <c r="A2355" s="103" t="s">
        <v>4189</v>
      </c>
      <c r="B2355" s="138" t="str">
        <f ca="1"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 ca="1">IF(Proc[[#This Row],[type]]="LFF (MDG-F)",MID(Proc[[#This Row],[Obj]],13,10),"")</f>
        <v/>
      </c>
      <c r="J2355" s="94" t="b">
        <f ca="1">Proc[[#This Row],[Requested]]=Proc[[#This Row],[CurrentParent]]</f>
        <v>1</v>
      </c>
      <c r="K2355" s="94" t="str">
        <f ca="1"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60</v>
      </c>
      <c r="R2355" s="106" t="s">
        <v>780</v>
      </c>
      <c r="S2355" s="94"/>
    </row>
    <row r="2356" spans="1:19" hidden="1">
      <c r="A2356" s="103" t="s">
        <v>4189</v>
      </c>
      <c r="B2356" s="138" t="str">
        <f ca="1"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 ca="1">IF(Proc[[#This Row],[type]]="LFF (MDG-F)",MID(Proc[[#This Row],[Obj]],13,10),"")</f>
        <v/>
      </c>
      <c r="J2356" s="94" t="b">
        <f ca="1">Proc[[#This Row],[Requested]]=Proc[[#This Row],[CurrentParent]]</f>
        <v>1</v>
      </c>
      <c r="K2356" s="94" t="str">
        <f ca="1"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60</v>
      </c>
      <c r="R2356" s="106" t="s">
        <v>780</v>
      </c>
      <c r="S2356" s="94"/>
    </row>
    <row r="2357" spans="1:19" hidden="1">
      <c r="A2357" s="103" t="s">
        <v>4189</v>
      </c>
      <c r="B2357" s="138" t="str">
        <f ca="1"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 ca="1">IF(Proc[[#This Row],[type]]="LFF (MDG-F)",MID(Proc[[#This Row],[Obj]],13,10),"")</f>
        <v/>
      </c>
      <c r="J2357" s="94" t="b">
        <f ca="1">Proc[[#This Row],[Requested]]=Proc[[#This Row],[CurrentParent]]</f>
        <v>1</v>
      </c>
      <c r="K2357" s="94" t="str">
        <f ca="1"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60</v>
      </c>
      <c r="R2357" s="106" t="s">
        <v>780</v>
      </c>
      <c r="S2357" s="94"/>
    </row>
    <row r="2358" spans="1:19" hidden="1">
      <c r="A2358" s="103" t="s">
        <v>4189</v>
      </c>
      <c r="B2358" s="138" t="str">
        <f ca="1"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 ca="1">IF(Proc[[#This Row],[type]]="LFF (MDG-F)",MID(Proc[[#This Row],[Obj]],13,10),"")</f>
        <v/>
      </c>
      <c r="J2358" s="94" t="b">
        <f ca="1">Proc[[#This Row],[Requested]]=Proc[[#This Row],[CurrentParent]]</f>
        <v>1</v>
      </c>
      <c r="K2358" s="94" t="str">
        <f ca="1"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60</v>
      </c>
      <c r="R2358" s="106" t="s">
        <v>780</v>
      </c>
      <c r="S2358" s="94"/>
    </row>
    <row r="2359" spans="1:19" hidden="1">
      <c r="A2359" s="103" t="s">
        <v>4189</v>
      </c>
      <c r="B2359" s="138" t="str">
        <f ca="1"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 ca="1">IF(Proc[[#This Row],[type]]="LFF (MDG-F)",MID(Proc[[#This Row],[Obj]],13,10),"")</f>
        <v/>
      </c>
      <c r="J2359" s="94" t="b">
        <f ca="1">Proc[[#This Row],[Requested]]=Proc[[#This Row],[CurrentParent]]</f>
        <v>1</v>
      </c>
      <c r="K2359" s="94" t="str">
        <f ca="1"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60</v>
      </c>
      <c r="R2359" s="106" t="s">
        <v>780</v>
      </c>
      <c r="S2359" s="94"/>
    </row>
    <row r="2360" spans="1:19" hidden="1">
      <c r="A2360" s="103" t="s">
        <v>4189</v>
      </c>
      <c r="B2360" s="138" t="str">
        <f ca="1"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 ca="1">IF(Proc[[#This Row],[type]]="LFF (MDG-F)",MID(Proc[[#This Row],[Obj]],13,10),"")</f>
        <v/>
      </c>
      <c r="J2360" s="94" t="b">
        <f ca="1">Proc[[#This Row],[Requested]]=Proc[[#This Row],[CurrentParent]]</f>
        <v>1</v>
      </c>
      <c r="K2360" s="94" t="str">
        <f ca="1"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60</v>
      </c>
      <c r="R2360" s="106" t="s">
        <v>780</v>
      </c>
      <c r="S2360" s="94"/>
    </row>
    <row r="2361" spans="1:19" hidden="1">
      <c r="A2361" s="103" t="s">
        <v>4189</v>
      </c>
      <c r="B2361" s="138" t="str">
        <f ca="1"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 ca="1">IF(Proc[[#This Row],[type]]="LFF (MDG-F)",MID(Proc[[#This Row],[Obj]],13,10),"")</f>
        <v/>
      </c>
      <c r="J2361" s="94" t="b">
        <f ca="1">Proc[[#This Row],[Requested]]=Proc[[#This Row],[CurrentParent]]</f>
        <v>1</v>
      </c>
      <c r="K2361" s="94" t="str">
        <f ca="1"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60</v>
      </c>
      <c r="R2361" s="106" t="s">
        <v>780</v>
      </c>
      <c r="S2361" s="94"/>
    </row>
    <row r="2362" spans="1:19" hidden="1">
      <c r="A2362" s="103" t="s">
        <v>4189</v>
      </c>
      <c r="B2362" s="138" t="str">
        <f ca="1"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 ca="1">IF(Proc[[#This Row],[type]]="LFF (MDG-F)",MID(Proc[[#This Row],[Obj]],13,10),"")</f>
        <v/>
      </c>
      <c r="J2362" s="94" t="b">
        <f ca="1">Proc[[#This Row],[Requested]]=Proc[[#This Row],[CurrentParent]]</f>
        <v>1</v>
      </c>
      <c r="K2362" s="94" t="str">
        <f ca="1"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60</v>
      </c>
      <c r="R2362" s="106" t="s">
        <v>780</v>
      </c>
      <c r="S2362" s="94"/>
    </row>
    <row r="2363" spans="1:19" hidden="1">
      <c r="A2363" s="103" t="s">
        <v>4189</v>
      </c>
      <c r="B2363" s="138" t="str">
        <f ca="1"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 ca="1">IF(Proc[[#This Row],[type]]="LFF (MDG-F)",MID(Proc[[#This Row],[Obj]],13,10),"")</f>
        <v/>
      </c>
      <c r="J2363" s="94" t="b">
        <f ca="1">Proc[[#This Row],[Requested]]=Proc[[#This Row],[CurrentParent]]</f>
        <v>1</v>
      </c>
      <c r="K2363" s="94" t="str">
        <f ca="1"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60</v>
      </c>
      <c r="R2363" s="106" t="s">
        <v>780</v>
      </c>
      <c r="S2363" s="94"/>
    </row>
    <row r="2364" spans="1:19" hidden="1">
      <c r="A2364" s="103" t="s">
        <v>4189</v>
      </c>
      <c r="B2364" s="138" t="str">
        <f ca="1"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 ca="1">IF(Proc[[#This Row],[type]]="LFF (MDG-F)",MID(Proc[[#This Row],[Obj]],13,10),"")</f>
        <v/>
      </c>
      <c r="J2364" s="94" t="b">
        <f ca="1">Proc[[#This Row],[Requested]]=Proc[[#This Row],[CurrentParent]]</f>
        <v>1</v>
      </c>
      <c r="K2364" s="94" t="str">
        <f ca="1"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60</v>
      </c>
      <c r="R2364" s="106" t="s">
        <v>780</v>
      </c>
      <c r="S2364" s="94"/>
    </row>
    <row r="2365" spans="1:19" hidden="1">
      <c r="A2365" s="103" t="s">
        <v>4189</v>
      </c>
      <c r="B2365" s="138" t="str">
        <f ca="1"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 ca="1">IF(Proc[[#This Row],[type]]="LFF (MDG-F)",MID(Proc[[#This Row],[Obj]],13,10),"")</f>
        <v/>
      </c>
      <c r="J2365" s="94" t="b">
        <f ca="1">Proc[[#This Row],[Requested]]=Proc[[#This Row],[CurrentParent]]</f>
        <v>1</v>
      </c>
      <c r="K2365" s="94" t="str">
        <f ca="1"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60</v>
      </c>
      <c r="R2365" s="106" t="s">
        <v>780</v>
      </c>
      <c r="S2365" s="94"/>
    </row>
    <row r="2366" spans="1:19" hidden="1">
      <c r="A2366" s="103" t="s">
        <v>4189</v>
      </c>
      <c r="B2366" s="138" t="str">
        <f ca="1"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 ca="1">IF(Proc[[#This Row],[type]]="LFF (MDG-F)",MID(Proc[[#This Row],[Obj]],13,10),"")</f>
        <v>DE10N11700</v>
      </c>
      <c r="I2366" t="s">
        <v>4289</v>
      </c>
      <c r="J2366" s="94" t="b">
        <f ca="1">Proc[[#This Row],[Requested]]=Proc[[#This Row],[CurrentParent]]</f>
        <v>1</v>
      </c>
      <c r="K2366" s="94" t="str">
        <f ca="1"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60</v>
      </c>
      <c r="R2366" s="106" t="s">
        <v>780</v>
      </c>
      <c r="S2366" s="94"/>
    </row>
    <row r="2367" spans="1:19" hidden="1">
      <c r="A2367" s="103" t="s">
        <v>4189</v>
      </c>
      <c r="B2367" s="138" t="str">
        <f ca="1"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 ca="1">IF(Proc[[#This Row],[type]]="LFF (MDG-F)",MID(Proc[[#This Row],[Obj]],13,10),"")</f>
        <v>DE10N11714</v>
      </c>
      <c r="I2367" s="103" t="s">
        <v>4289</v>
      </c>
      <c r="J2367" s="94" t="b">
        <f ca="1">Proc[[#This Row],[Requested]]=Proc[[#This Row],[CurrentParent]]</f>
        <v>1</v>
      </c>
      <c r="K2367" s="94" t="str">
        <f ca="1"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60</v>
      </c>
      <c r="R2367" s="106" t="s">
        <v>780</v>
      </c>
      <c r="S2367" s="94"/>
    </row>
    <row r="2368" spans="1:19" hidden="1">
      <c r="A2368" s="103" t="s">
        <v>4189</v>
      </c>
      <c r="B2368" s="138" t="str">
        <f ca="1"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 ca="1">IF(Proc[[#This Row],[type]]="LFF (MDG-F)",MID(Proc[[#This Row],[Obj]],13,10),"")</f>
        <v>DE10N11716</v>
      </c>
      <c r="I2368" s="103" t="s">
        <v>4289</v>
      </c>
      <c r="J2368" s="94" t="b">
        <f ca="1">Proc[[#This Row],[Requested]]=Proc[[#This Row],[CurrentParent]]</f>
        <v>1</v>
      </c>
      <c r="K2368" s="94" t="str">
        <f ca="1"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60</v>
      </c>
      <c r="R2368" s="106" t="s">
        <v>780</v>
      </c>
      <c r="S2368" s="94"/>
    </row>
    <row r="2369" spans="1:19" hidden="1">
      <c r="A2369" s="103" t="s">
        <v>4189</v>
      </c>
      <c r="B2369" s="138" t="str">
        <f ca="1"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 ca="1">IF(Proc[[#This Row],[type]]="LFF (MDG-F)",MID(Proc[[#This Row],[Obj]],13,10),"")</f>
        <v>DE10N11720</v>
      </c>
      <c r="I2369" s="103" t="s">
        <v>4289</v>
      </c>
      <c r="J2369" s="94" t="b">
        <f ca="1">Proc[[#This Row],[Requested]]=Proc[[#This Row],[CurrentParent]]</f>
        <v>1</v>
      </c>
      <c r="K2369" s="94" t="str">
        <f ca="1"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60</v>
      </c>
      <c r="R2369" s="106" t="s">
        <v>780</v>
      </c>
      <c r="S2369" s="94"/>
    </row>
    <row r="2370" spans="1:19" hidden="1">
      <c r="A2370" s="103" t="s">
        <v>4189</v>
      </c>
      <c r="B2370" s="138" t="str">
        <f ca="1"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 ca="1">IF(Proc[[#This Row],[type]]="LFF (MDG-F)",MID(Proc[[#This Row],[Obj]],13,10),"")</f>
        <v>DE10N11722</v>
      </c>
      <c r="I2370" s="103" t="s">
        <v>4289</v>
      </c>
      <c r="J2370" s="94" t="b">
        <f ca="1">Proc[[#This Row],[Requested]]=Proc[[#This Row],[CurrentParent]]</f>
        <v>1</v>
      </c>
      <c r="K2370" s="94" t="str">
        <f ca="1"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60</v>
      </c>
      <c r="R2370" s="106" t="s">
        <v>780</v>
      </c>
      <c r="S2370" s="94"/>
    </row>
    <row r="2371" spans="1:19" hidden="1">
      <c r="A2371" s="103" t="s">
        <v>4189</v>
      </c>
      <c r="B2371" s="138" t="str">
        <f ca="1"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 ca="1">IF(Proc[[#This Row],[type]]="LFF (MDG-F)",MID(Proc[[#This Row],[Obj]],13,10),"")</f>
        <v>DE10N11740</v>
      </c>
      <c r="I2371" s="103" t="s">
        <v>4289</v>
      </c>
      <c r="J2371" s="94" t="b">
        <f ca="1">Proc[[#This Row],[Requested]]=Proc[[#This Row],[CurrentParent]]</f>
        <v>1</v>
      </c>
      <c r="K2371" s="94" t="str">
        <f ca="1"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60</v>
      </c>
      <c r="R2371" s="106" t="s">
        <v>780</v>
      </c>
      <c r="S2371" s="94"/>
    </row>
    <row r="2372" spans="1:19" hidden="1">
      <c r="A2372" s="103" t="s">
        <v>4189</v>
      </c>
      <c r="B2372" s="138" t="str">
        <f ca="1"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 ca="1">IF(Proc[[#This Row],[type]]="LFF (MDG-F)",MID(Proc[[#This Row],[Obj]],13,10),"")</f>
        <v>DE10N11750</v>
      </c>
      <c r="I2372" s="103" t="s">
        <v>4289</v>
      </c>
      <c r="J2372" s="94" t="b">
        <f ca="1">Proc[[#This Row],[Requested]]=Proc[[#This Row],[CurrentParent]]</f>
        <v>1</v>
      </c>
      <c r="K2372" s="94" t="str">
        <f ca="1"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60</v>
      </c>
      <c r="R2372" s="106" t="s">
        <v>780</v>
      </c>
      <c r="S2372" s="94"/>
    </row>
    <row r="2373" spans="1:19" hidden="1">
      <c r="A2373" s="103" t="s">
        <v>4189</v>
      </c>
      <c r="B2373" s="138" t="str">
        <f ca="1"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 ca="1">IF(Proc[[#This Row],[type]]="LFF (MDG-F)",MID(Proc[[#This Row],[Obj]],13,10),"")</f>
        <v>DE10N11780</v>
      </c>
      <c r="I2373" s="103" t="s">
        <v>4289</v>
      </c>
      <c r="J2373" s="94" t="b">
        <f ca="1">Proc[[#This Row],[Requested]]=Proc[[#This Row],[CurrentParent]]</f>
        <v>1</v>
      </c>
      <c r="K2373" s="94" t="str">
        <f ca="1"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60</v>
      </c>
      <c r="R2373" s="106" t="s">
        <v>780</v>
      </c>
      <c r="S2373" s="94"/>
    </row>
    <row r="2374" spans="1:19" hidden="1">
      <c r="A2374" s="103" t="s">
        <v>4189</v>
      </c>
      <c r="B2374" s="138" t="str">
        <f ca="1"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 ca="1">IF(Proc[[#This Row],[type]]="LFF (MDG-F)",MID(Proc[[#This Row],[Obj]],13,10),"")</f>
        <v>DE10N11800</v>
      </c>
      <c r="I2374" s="103" t="s">
        <v>4289</v>
      </c>
      <c r="J2374" s="94" t="b">
        <f ca="1">Proc[[#This Row],[Requested]]=Proc[[#This Row],[CurrentParent]]</f>
        <v>1</v>
      </c>
      <c r="K2374" s="94" t="str">
        <f ca="1"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60</v>
      </c>
      <c r="R2374" s="106" t="s">
        <v>780</v>
      </c>
      <c r="S2374" s="94"/>
    </row>
    <row r="2375" spans="1:19" hidden="1">
      <c r="A2375" s="103" t="s">
        <v>4189</v>
      </c>
      <c r="B2375" s="138" t="str">
        <f ca="1"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 ca="1">IF(Proc[[#This Row],[type]]="LFF (MDG-F)",MID(Proc[[#This Row],[Obj]],13,10),"")</f>
        <v>DE10N11812</v>
      </c>
      <c r="I2375" s="103" t="s">
        <v>4289</v>
      </c>
      <c r="J2375" s="94" t="b">
        <f ca="1">Proc[[#This Row],[Requested]]=Proc[[#This Row],[CurrentParent]]</f>
        <v>1</v>
      </c>
      <c r="K2375" s="94" t="str">
        <f ca="1"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60</v>
      </c>
      <c r="R2375" s="106" t="s">
        <v>780</v>
      </c>
      <c r="S2375" s="94"/>
    </row>
    <row r="2376" spans="1:19" hidden="1">
      <c r="A2376" s="103" t="s">
        <v>4189</v>
      </c>
      <c r="B2376" s="138" t="str">
        <f ca="1"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 ca="1">IF(Proc[[#This Row],[type]]="LFF (MDG-F)",MID(Proc[[#This Row],[Obj]],13,10),"")</f>
        <v>DE10N11813</v>
      </c>
      <c r="I2376" s="103" t="s">
        <v>4289</v>
      </c>
      <c r="J2376" s="94" t="b">
        <f ca="1">Proc[[#This Row],[Requested]]=Proc[[#This Row],[CurrentParent]]</f>
        <v>1</v>
      </c>
      <c r="K2376" s="94" t="str">
        <f ca="1"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60</v>
      </c>
      <c r="R2376" s="106" t="s">
        <v>780</v>
      </c>
      <c r="S2376" s="94"/>
    </row>
    <row r="2377" spans="1:19" hidden="1">
      <c r="A2377" s="103" t="s">
        <v>4189</v>
      </c>
      <c r="B2377" s="138" t="str">
        <f ca="1"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 ca="1">IF(Proc[[#This Row],[type]]="LFF (MDG-F)",MID(Proc[[#This Row],[Obj]],13,10),"")</f>
        <v>DE10N11814</v>
      </c>
      <c r="I2377" s="103" t="s">
        <v>4289</v>
      </c>
      <c r="J2377" s="94" t="b">
        <f ca="1">Proc[[#This Row],[Requested]]=Proc[[#This Row],[CurrentParent]]</f>
        <v>1</v>
      </c>
      <c r="K2377" s="94" t="str">
        <f ca="1"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60</v>
      </c>
      <c r="R2377" s="106" t="s">
        <v>780</v>
      </c>
      <c r="S2377" s="94"/>
    </row>
    <row r="2378" spans="1:19" hidden="1">
      <c r="A2378" s="103" t="s">
        <v>4189</v>
      </c>
      <c r="B2378" s="138" t="str">
        <f ca="1"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 ca="1">IF(Proc[[#This Row],[type]]="LFF (MDG-F)",MID(Proc[[#This Row],[Obj]],13,10),"")</f>
        <v>DE10N11816</v>
      </c>
      <c r="I2378" s="103" t="s">
        <v>4289</v>
      </c>
      <c r="J2378" s="94" t="b">
        <f ca="1">Proc[[#This Row],[Requested]]=Proc[[#This Row],[CurrentParent]]</f>
        <v>1</v>
      </c>
      <c r="K2378" s="94" t="str">
        <f ca="1"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60</v>
      </c>
      <c r="R2378" s="106" t="s">
        <v>780</v>
      </c>
      <c r="S2378" s="94"/>
    </row>
    <row r="2379" spans="1:19" hidden="1">
      <c r="A2379" s="103" t="s">
        <v>4189</v>
      </c>
      <c r="B2379" s="138" t="str">
        <f ca="1"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 ca="1">IF(Proc[[#This Row],[type]]="LFF (MDG-F)",MID(Proc[[#This Row],[Obj]],13,10),"")</f>
        <v>DE10N11818</v>
      </c>
      <c r="I2379" s="103" t="s">
        <v>4289</v>
      </c>
      <c r="J2379" s="94" t="b">
        <f ca="1">Proc[[#This Row],[Requested]]=Proc[[#This Row],[CurrentParent]]</f>
        <v>1</v>
      </c>
      <c r="K2379" s="94" t="str">
        <f ca="1"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60</v>
      </c>
      <c r="R2379" s="106" t="s">
        <v>780</v>
      </c>
      <c r="S2379" s="94"/>
    </row>
    <row r="2380" spans="1:19" hidden="1">
      <c r="A2380" s="103" t="s">
        <v>4189</v>
      </c>
      <c r="B2380" s="138" t="str">
        <f ca="1"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 ca="1">IF(Proc[[#This Row],[type]]="LFF (MDG-F)",MID(Proc[[#This Row],[Obj]],13,10),"")</f>
        <v>DE10N11820</v>
      </c>
      <c r="I2380" s="103" t="s">
        <v>4289</v>
      </c>
      <c r="J2380" s="94" t="b">
        <f ca="1">Proc[[#This Row],[Requested]]=Proc[[#This Row],[CurrentParent]]</f>
        <v>1</v>
      </c>
      <c r="K2380" s="94" t="str">
        <f ca="1"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60</v>
      </c>
      <c r="R2380" s="106" t="s">
        <v>780</v>
      </c>
      <c r="S2380" s="94"/>
    </row>
    <row r="2381" spans="1:19" hidden="1">
      <c r="A2381" s="103" t="s">
        <v>4189</v>
      </c>
      <c r="B2381" s="138" t="str">
        <f ca="1"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 ca="1">IF(Proc[[#This Row],[type]]="LFF (MDG-F)",MID(Proc[[#This Row],[Obj]],13,10),"")</f>
        <v>DE10N11826</v>
      </c>
      <c r="I2381" s="103" t="s">
        <v>4289</v>
      </c>
      <c r="J2381" s="94" t="b">
        <f ca="1">Proc[[#This Row],[Requested]]=Proc[[#This Row],[CurrentParent]]</f>
        <v>1</v>
      </c>
      <c r="K2381" s="94" t="str">
        <f ca="1"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60</v>
      </c>
      <c r="R2381" s="106" t="s">
        <v>780</v>
      </c>
      <c r="S2381" s="94"/>
    </row>
    <row r="2382" spans="1:19" hidden="1">
      <c r="A2382" s="103" t="s">
        <v>4189</v>
      </c>
      <c r="B2382" s="138" t="str">
        <f ca="1"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 ca="1">IF(Proc[[#This Row],[type]]="LFF (MDG-F)",MID(Proc[[#This Row],[Obj]],13,10),"")</f>
        <v>DE10N11830</v>
      </c>
      <c r="I2382" s="103" t="s">
        <v>4289</v>
      </c>
      <c r="J2382" s="94" t="b">
        <f ca="1">Proc[[#This Row],[Requested]]=Proc[[#This Row],[CurrentParent]]</f>
        <v>1</v>
      </c>
      <c r="K2382" s="94" t="str">
        <f ca="1"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60</v>
      </c>
      <c r="R2382" s="106" t="s">
        <v>780</v>
      </c>
      <c r="S2382" s="94"/>
    </row>
    <row r="2383" spans="1:19" hidden="1">
      <c r="A2383" s="103" t="s">
        <v>4189</v>
      </c>
      <c r="B2383" s="138" t="str">
        <f ca="1"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 ca="1">IF(Proc[[#This Row],[type]]="LFF (MDG-F)",MID(Proc[[#This Row],[Obj]],13,10),"")</f>
        <v>DE10N11840</v>
      </c>
      <c r="I2383" s="103" t="s">
        <v>4289</v>
      </c>
      <c r="J2383" s="94" t="b">
        <f ca="1">Proc[[#This Row],[Requested]]=Proc[[#This Row],[CurrentParent]]</f>
        <v>1</v>
      </c>
      <c r="K2383" s="94" t="str">
        <f ca="1"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60</v>
      </c>
      <c r="R2383" s="106" t="s">
        <v>780</v>
      </c>
      <c r="S2383" s="94"/>
    </row>
    <row r="2384" spans="1:19" hidden="1">
      <c r="A2384" s="103" t="s">
        <v>4189</v>
      </c>
      <c r="B2384" s="138" t="str">
        <f ca="1"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 ca="1">IF(Proc[[#This Row],[type]]="LFF (MDG-F)",MID(Proc[[#This Row],[Obj]],13,10),"")</f>
        <v>DE10N11850</v>
      </c>
      <c r="I2384" s="103" t="s">
        <v>4289</v>
      </c>
      <c r="J2384" s="94" t="b">
        <f ca="1">Proc[[#This Row],[Requested]]=Proc[[#This Row],[CurrentParent]]</f>
        <v>1</v>
      </c>
      <c r="K2384" s="94" t="str">
        <f ca="1"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60</v>
      </c>
      <c r="R2384" s="106" t="s">
        <v>780</v>
      </c>
      <c r="S2384" s="94"/>
    </row>
    <row r="2385" spans="1:19" hidden="1">
      <c r="A2385" s="103" t="s">
        <v>4189</v>
      </c>
      <c r="B2385" s="138" t="str">
        <f ca="1"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 ca="1">IF(Proc[[#This Row],[type]]="LFF (MDG-F)",MID(Proc[[#This Row],[Obj]],13,10),"")</f>
        <v>DE10N11855</v>
      </c>
      <c r="I2385" s="103" t="s">
        <v>4289</v>
      </c>
      <c r="J2385" s="94" t="b">
        <f ca="1">Proc[[#This Row],[Requested]]=Proc[[#This Row],[CurrentParent]]</f>
        <v>1</v>
      </c>
      <c r="K2385" s="94" t="str">
        <f ca="1"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60</v>
      </c>
      <c r="R2385" s="106" t="s">
        <v>780</v>
      </c>
      <c r="S2385" s="94"/>
    </row>
    <row r="2386" spans="1:19" hidden="1">
      <c r="A2386" s="103" t="s">
        <v>4189</v>
      </c>
      <c r="B2386" s="138" t="str">
        <f ca="1"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 ca="1">IF(Proc[[#This Row],[type]]="LFF (MDG-F)",MID(Proc[[#This Row],[Obj]],13,10),"")</f>
        <v>DE10N11860</v>
      </c>
      <c r="I2386" s="103" t="s">
        <v>4289</v>
      </c>
      <c r="J2386" s="94" t="b">
        <f ca="1">Proc[[#This Row],[Requested]]=Proc[[#This Row],[CurrentParent]]</f>
        <v>1</v>
      </c>
      <c r="K2386" s="94" t="str">
        <f ca="1"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60</v>
      </c>
      <c r="R2386" s="106" t="s">
        <v>780</v>
      </c>
      <c r="S2386" s="94"/>
    </row>
    <row r="2387" spans="1:19" hidden="1">
      <c r="A2387" s="103" t="s">
        <v>4189</v>
      </c>
      <c r="B2387" s="138" t="str">
        <f ca="1"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 ca="1">IF(Proc[[#This Row],[type]]="LFF (MDG-F)",MID(Proc[[#This Row],[Obj]],13,10),"")</f>
        <v>DE10N11863</v>
      </c>
      <c r="I2387" s="103" t="s">
        <v>4289</v>
      </c>
      <c r="J2387" s="94" t="b">
        <f ca="1">Proc[[#This Row],[Requested]]=Proc[[#This Row],[CurrentParent]]</f>
        <v>1</v>
      </c>
      <c r="K2387" s="94" t="str">
        <f ca="1"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60</v>
      </c>
      <c r="R2387" s="106" t="s">
        <v>780</v>
      </c>
      <c r="S2387" s="94"/>
    </row>
    <row r="2388" spans="1:19" hidden="1">
      <c r="A2388" s="103" t="s">
        <v>4189</v>
      </c>
      <c r="B2388" s="138" t="str">
        <f ca="1"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 ca="1">IF(Proc[[#This Row],[type]]="LFF (MDG-F)",MID(Proc[[#This Row],[Obj]],13,10),"")</f>
        <v>DE10N11864</v>
      </c>
      <c r="I2388" s="103" t="s">
        <v>4289</v>
      </c>
      <c r="J2388" s="94" t="b">
        <f ca="1">Proc[[#This Row],[Requested]]=Proc[[#This Row],[CurrentParent]]</f>
        <v>1</v>
      </c>
      <c r="K2388" s="94" t="str">
        <f ca="1"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60</v>
      </c>
      <c r="R2388" s="106" t="s">
        <v>780</v>
      </c>
      <c r="S2388" s="94"/>
    </row>
    <row r="2389" spans="1:19" hidden="1">
      <c r="A2389" s="103" t="s">
        <v>4189</v>
      </c>
      <c r="B2389" s="138" t="str">
        <f ca="1"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 ca="1">IF(Proc[[#This Row],[type]]="LFF (MDG-F)",MID(Proc[[#This Row],[Obj]],13,10),"")</f>
        <v>DE10N11870</v>
      </c>
      <c r="I2389" s="103" t="s">
        <v>4289</v>
      </c>
      <c r="J2389" s="94" t="b">
        <f ca="1">Proc[[#This Row],[Requested]]=Proc[[#This Row],[CurrentParent]]</f>
        <v>1</v>
      </c>
      <c r="K2389" s="94" t="str">
        <f ca="1"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60</v>
      </c>
      <c r="R2389" s="106" t="s">
        <v>780</v>
      </c>
      <c r="S2389" s="94"/>
    </row>
    <row r="2390" spans="1:19" hidden="1">
      <c r="A2390" s="103" t="s">
        <v>4189</v>
      </c>
      <c r="B2390" s="138" t="str">
        <f ca="1"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 ca="1">IF(Proc[[#This Row],[type]]="LFF (MDG-F)",MID(Proc[[#This Row],[Obj]],13,10),"")</f>
        <v>DE10N11880</v>
      </c>
      <c r="I2390" s="103" t="s">
        <v>4289</v>
      </c>
      <c r="J2390" s="94" t="b">
        <f ca="1">Proc[[#This Row],[Requested]]=Proc[[#This Row],[CurrentParent]]</f>
        <v>1</v>
      </c>
      <c r="K2390" s="94" t="str">
        <f ca="1"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60</v>
      </c>
      <c r="R2390" s="106" t="s">
        <v>780</v>
      </c>
      <c r="S2390" s="94"/>
    </row>
    <row r="2391" spans="1:19" hidden="1">
      <c r="A2391" s="103" t="s">
        <v>4189</v>
      </c>
      <c r="B2391" s="138" t="str">
        <f ca="1"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 ca="1">IF(Proc[[#This Row],[type]]="LFF (MDG-F)",MID(Proc[[#This Row],[Obj]],13,10),"")</f>
        <v>DE10N11881</v>
      </c>
      <c r="I2391" s="103" t="s">
        <v>4289</v>
      </c>
      <c r="J2391" s="94" t="b">
        <f ca="1">Proc[[#This Row],[Requested]]=Proc[[#This Row],[CurrentParent]]</f>
        <v>1</v>
      </c>
      <c r="K2391" s="94" t="str">
        <f ca="1"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60</v>
      </c>
      <c r="R2391" s="106" t="s">
        <v>780</v>
      </c>
      <c r="S2391" s="94"/>
    </row>
    <row r="2392" spans="1:19" hidden="1">
      <c r="A2392" t="s">
        <v>4288</v>
      </c>
      <c r="B2392" s="138" t="str">
        <f ca="1"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 ca="1">IF(Proc[[#This Row],[type]]="LFF (MDG-F)",MID(Proc[[#This Row],[Obj]],13,10),"")</f>
        <v/>
      </c>
      <c r="J2392" s="94" t="b">
        <f ca="1">Proc[[#This Row],[Requested]]=Proc[[#This Row],[CurrentParent]]</f>
        <v>1</v>
      </c>
      <c r="K2392" s="94" t="str">
        <f ca="1"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60</v>
      </c>
      <c r="R2392" s="106" t="s">
        <v>780</v>
      </c>
      <c r="S2392" s="94"/>
    </row>
    <row r="2393" spans="1:19" hidden="1">
      <c r="A2393" s="103" t="s">
        <v>4288</v>
      </c>
      <c r="B2393" s="138" t="str">
        <f ca="1"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 ca="1">IF(Proc[[#This Row],[type]]="LFF (MDG-F)",MID(Proc[[#This Row],[Obj]],13,10),"")</f>
        <v/>
      </c>
      <c r="J2393" s="94" t="b">
        <f ca="1">Proc[[#This Row],[Requested]]=Proc[[#This Row],[CurrentParent]]</f>
        <v>1</v>
      </c>
      <c r="K2393" s="94" t="str">
        <f ca="1"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60</v>
      </c>
      <c r="R2393" s="106" t="s">
        <v>780</v>
      </c>
      <c r="S2393" s="94"/>
    </row>
    <row r="2394" spans="1:19" hidden="1">
      <c r="A2394" s="103" t="s">
        <v>4288</v>
      </c>
      <c r="B2394" s="138" t="str">
        <f ca="1"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 ca="1">IF(Proc[[#This Row],[type]]="LFF (MDG-F)",MID(Proc[[#This Row],[Obj]],13,10),"")</f>
        <v/>
      </c>
      <c r="J2394" s="94" t="b">
        <f ca="1">Proc[[#This Row],[Requested]]=Proc[[#This Row],[CurrentParent]]</f>
        <v>1</v>
      </c>
      <c r="K2394" s="94" t="str">
        <f ca="1"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60</v>
      </c>
      <c r="R2394" s="106" t="s">
        <v>780</v>
      </c>
      <c r="S2394" s="94"/>
    </row>
    <row r="2395" spans="1:19" hidden="1">
      <c r="A2395" s="103" t="s">
        <v>4288</v>
      </c>
      <c r="B2395" s="138" t="str">
        <f ca="1"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 ca="1">IF(Proc[[#This Row],[type]]="LFF (MDG-F)",MID(Proc[[#This Row],[Obj]],13,10),"")</f>
        <v/>
      </c>
      <c r="J2395" s="94" t="b">
        <f ca="1">Proc[[#This Row],[Requested]]=Proc[[#This Row],[CurrentParent]]</f>
        <v>1</v>
      </c>
      <c r="K2395" s="94" t="str">
        <f ca="1"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60</v>
      </c>
      <c r="R2395" s="106" t="s">
        <v>780</v>
      </c>
      <c r="S2395" s="94"/>
    </row>
    <row r="2396" spans="1:19" hidden="1">
      <c r="A2396" s="103" t="s">
        <v>4288</v>
      </c>
      <c r="B2396" s="138" t="str">
        <f ca="1"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 ca="1">IF(Proc[[#This Row],[type]]="LFF (MDG-F)",MID(Proc[[#This Row],[Obj]],13,10),"")</f>
        <v/>
      </c>
      <c r="J2396" s="94" t="b">
        <f ca="1">Proc[[#This Row],[Requested]]=Proc[[#This Row],[CurrentParent]]</f>
        <v>1</v>
      </c>
      <c r="K2396" s="94" t="str">
        <f ca="1"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60</v>
      </c>
      <c r="R2396" s="106" t="s">
        <v>780</v>
      </c>
      <c r="S2396" s="94"/>
    </row>
    <row r="2397" spans="1:19" hidden="1">
      <c r="A2397" s="103" t="s">
        <v>4288</v>
      </c>
      <c r="B2397" s="138" t="str">
        <f ca="1"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 ca="1">IF(Proc[[#This Row],[type]]="LFF (MDG-F)",MID(Proc[[#This Row],[Obj]],13,10),"")</f>
        <v/>
      </c>
      <c r="J2397" s="94" t="b">
        <f ca="1">Proc[[#This Row],[Requested]]=Proc[[#This Row],[CurrentParent]]</f>
        <v>1</v>
      </c>
      <c r="K2397" s="94" t="str">
        <f ca="1"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60</v>
      </c>
      <c r="R2397" s="106" t="s">
        <v>780</v>
      </c>
      <c r="S2397" s="94"/>
    </row>
    <row r="2398" spans="1:19" hidden="1">
      <c r="A2398" s="103" t="s">
        <v>4288</v>
      </c>
      <c r="B2398" s="138" t="str">
        <f ca="1"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 ca="1">IF(Proc[[#This Row],[type]]="LFF (MDG-F)",MID(Proc[[#This Row],[Obj]],13,10),"")</f>
        <v/>
      </c>
      <c r="J2398" s="94" t="b">
        <f ca="1">Proc[[#This Row],[Requested]]=Proc[[#This Row],[CurrentParent]]</f>
        <v>1</v>
      </c>
      <c r="K2398" s="94" t="str">
        <f ca="1"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60</v>
      </c>
      <c r="R2398" s="106" t="s">
        <v>780</v>
      </c>
      <c r="S2398" s="94"/>
    </row>
    <row r="2399" spans="1:19" hidden="1">
      <c r="A2399" s="103" t="s">
        <v>4288</v>
      </c>
      <c r="B2399" s="138" t="str">
        <f ca="1"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 ca="1">IF(Proc[[#This Row],[type]]="LFF (MDG-F)",MID(Proc[[#This Row],[Obj]],13,10),"")</f>
        <v/>
      </c>
      <c r="J2399" s="94" t="b">
        <f ca="1">Proc[[#This Row],[Requested]]=Proc[[#This Row],[CurrentParent]]</f>
        <v>1</v>
      </c>
      <c r="K2399" s="94" t="str">
        <f ca="1"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60</v>
      </c>
      <c r="R2399" s="106" t="s">
        <v>780</v>
      </c>
      <c r="S2399" s="94"/>
    </row>
    <row r="2400" spans="1:19" hidden="1">
      <c r="A2400" s="103" t="s">
        <v>4288</v>
      </c>
      <c r="B2400" s="138" t="str">
        <f ca="1"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 ca="1">IF(Proc[[#This Row],[type]]="LFF (MDG-F)",MID(Proc[[#This Row],[Obj]],13,10),"")</f>
        <v/>
      </c>
      <c r="J2400" s="94" t="b">
        <f ca="1">Proc[[#This Row],[Requested]]=Proc[[#This Row],[CurrentParent]]</f>
        <v>1</v>
      </c>
      <c r="K2400" s="94" t="str">
        <f ca="1"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60</v>
      </c>
      <c r="R2400" s="106" t="s">
        <v>780</v>
      </c>
      <c r="S2400" s="94"/>
    </row>
    <row r="2401" spans="1:19" hidden="1">
      <c r="A2401" s="103" t="s">
        <v>4288</v>
      </c>
      <c r="B2401" s="138" t="str">
        <f ca="1"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 ca="1">IF(Proc[[#This Row],[type]]="LFF (MDG-F)",MID(Proc[[#This Row],[Obj]],13,10),"")</f>
        <v/>
      </c>
      <c r="J2401" s="94" t="b">
        <f ca="1">Proc[[#This Row],[Requested]]=Proc[[#This Row],[CurrentParent]]</f>
        <v>1</v>
      </c>
      <c r="K2401" s="94" t="str">
        <f ca="1"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60</v>
      </c>
      <c r="R2401" s="106" t="s">
        <v>780</v>
      </c>
      <c r="S2401" s="94"/>
    </row>
    <row r="2402" spans="1:19" hidden="1">
      <c r="A2402" s="103" t="s">
        <v>4288</v>
      </c>
      <c r="B2402" s="138" t="str">
        <f ca="1"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 ca="1">IF(Proc[[#This Row],[type]]="LFF (MDG-F)",MID(Proc[[#This Row],[Obj]],13,10),"")</f>
        <v/>
      </c>
      <c r="J2402" s="94" t="b">
        <f ca="1">Proc[[#This Row],[Requested]]=Proc[[#This Row],[CurrentParent]]</f>
        <v>1</v>
      </c>
      <c r="K2402" s="94" t="str">
        <f ca="1"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60</v>
      </c>
      <c r="R2402" s="106" t="s">
        <v>780</v>
      </c>
      <c r="S2402" s="94"/>
    </row>
    <row r="2403" spans="1:19" hidden="1">
      <c r="A2403" s="103" t="s">
        <v>4288</v>
      </c>
      <c r="B2403" s="138" t="str">
        <f ca="1"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 ca="1">IF(Proc[[#This Row],[type]]="LFF (MDG-F)",MID(Proc[[#This Row],[Obj]],13,10),"")</f>
        <v/>
      </c>
      <c r="J2403" s="94" t="b">
        <f ca="1">Proc[[#This Row],[Requested]]=Proc[[#This Row],[CurrentParent]]</f>
        <v>1</v>
      </c>
      <c r="K2403" s="94" t="str">
        <f ca="1"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60</v>
      </c>
      <c r="R2403" s="106" t="s">
        <v>780</v>
      </c>
      <c r="S2403" s="94"/>
    </row>
    <row r="2404" spans="1:19" hidden="1">
      <c r="A2404" s="103" t="s">
        <v>4288</v>
      </c>
      <c r="B2404" s="138" t="str">
        <f ca="1"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 ca="1">IF(Proc[[#This Row],[type]]="LFF (MDG-F)",MID(Proc[[#This Row],[Obj]],13,10),"")</f>
        <v/>
      </c>
      <c r="J2404" s="94" t="b">
        <f ca="1">Proc[[#This Row],[Requested]]=Proc[[#This Row],[CurrentParent]]</f>
        <v>1</v>
      </c>
      <c r="K2404" s="94" t="str">
        <f ca="1"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60</v>
      </c>
      <c r="R2404" s="106" t="s">
        <v>780</v>
      </c>
      <c r="S2404" s="94"/>
    </row>
    <row r="2405" spans="1:19" hidden="1">
      <c r="A2405" s="103" t="s">
        <v>4288</v>
      </c>
      <c r="B2405" s="138" t="str">
        <f ca="1"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 ca="1">IF(Proc[[#This Row],[type]]="LFF (MDG-F)",MID(Proc[[#This Row],[Obj]],13,10),"")</f>
        <v/>
      </c>
      <c r="J2405" s="94" t="b">
        <f ca="1">Proc[[#This Row],[Requested]]=Proc[[#This Row],[CurrentParent]]</f>
        <v>1</v>
      </c>
      <c r="K2405" s="94" t="str">
        <f ca="1"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60</v>
      </c>
      <c r="R2405" s="106" t="s">
        <v>780</v>
      </c>
      <c r="S2405" s="94"/>
    </row>
    <row r="2406" spans="1:19" hidden="1">
      <c r="A2406" t="s">
        <v>4291</v>
      </c>
      <c r="B2406" s="138" t="str">
        <f ca="1"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 ca="1">IF(Proc[[#This Row],[type]]="LFF (MDG-F)",MID(Proc[[#This Row],[Obj]],13,10),"")</f>
        <v>CH50L95008</v>
      </c>
      <c r="J2406" s="94" t="b">
        <f ca="1">Proc[[#This Row],[Requested]]=Proc[[#This Row],[CurrentParent]]</f>
        <v>1</v>
      </c>
      <c r="K2406" s="94" t="str">
        <f ca="1"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60</v>
      </c>
      <c r="R2406" s="106" t="s">
        <v>3640</v>
      </c>
      <c r="S2406" s="94"/>
    </row>
    <row r="2407" spans="1:19" hidden="1">
      <c r="A2407" t="s">
        <v>4294</v>
      </c>
      <c r="B2407" s="138" t="str">
        <f ca="1"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 ca="1">IF(Proc[[#This Row],[type]]="LFF (MDG-F)",MID(Proc[[#This Row],[Obj]],13,10),"")</f>
        <v/>
      </c>
      <c r="J2407" s="94" t="b">
        <f ca="1">Proc[[#This Row],[Requested]]=Proc[[#This Row],[CurrentParent]]</f>
        <v>0</v>
      </c>
      <c r="K2407" s="94" t="str">
        <f ca="1"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138" t="str">
        <f ca="1"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 ca="1">IF(Proc[[#This Row],[type]]="LFF (MDG-F)",MID(Proc[[#This Row],[Obj]],13,10),"")</f>
        <v/>
      </c>
      <c r="J2408" s="94" t="b">
        <f ca="1">Proc[[#This Row],[Requested]]=Proc[[#This Row],[CurrentParent]]</f>
        <v>1</v>
      </c>
      <c r="K2408" s="94" t="str">
        <f ca="1"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138" t="str">
        <f ca="1"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 ca="1">IF(Proc[[#This Row],[type]]="LFF (MDG-F)",MID(Proc[[#This Row],[Obj]],13,10),"")</f>
        <v/>
      </c>
      <c r="I2409" t="s">
        <v>4304</v>
      </c>
      <c r="J2409" s="94" t="b">
        <f ca="1">Proc[[#This Row],[Requested]]=Proc[[#This Row],[CurrentParent]]</f>
        <v>0</v>
      </c>
      <c r="K2409" s="94" t="str">
        <f ca="1"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57</v>
      </c>
      <c r="R2409" s="108" t="s">
        <v>415</v>
      </c>
      <c r="S2409" s="94"/>
    </row>
    <row r="2410" spans="1:19" hidden="1">
      <c r="A2410" s="103" t="s">
        <v>4303</v>
      </c>
      <c r="B2410" s="138" t="str">
        <f ca="1"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 ca="1">IF(Proc[[#This Row],[type]]="LFF (MDG-F)",MID(Proc[[#This Row],[Obj]],13,10),"")</f>
        <v/>
      </c>
      <c r="J2410" s="94" t="b">
        <f ca="1">Proc[[#This Row],[Requested]]=Proc[[#This Row],[CurrentParent]]</f>
        <v>1</v>
      </c>
      <c r="K2410" s="94" t="str">
        <f ca="1"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57</v>
      </c>
      <c r="R2410" s="108" t="s">
        <v>415</v>
      </c>
      <c r="S2410" s="94"/>
    </row>
    <row r="2411" spans="1:19" hidden="1">
      <c r="A2411" s="103" t="s">
        <v>4303</v>
      </c>
      <c r="B2411" s="138" t="str">
        <f ca="1"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 ca="1">IF(Proc[[#This Row],[type]]="LFF (MDG-F)",MID(Proc[[#This Row],[Obj]],13,10),"")</f>
        <v/>
      </c>
      <c r="J2411" s="94" t="b">
        <f ca="1">Proc[[#This Row],[Requested]]=Proc[[#This Row],[CurrentParent]]</f>
        <v>1</v>
      </c>
      <c r="K2411" s="94" t="str">
        <f ca="1"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57</v>
      </c>
      <c r="R2411" s="108" t="s">
        <v>415</v>
      </c>
      <c r="S2411" s="94"/>
    </row>
    <row r="2412" spans="1:19" hidden="1">
      <c r="A2412" s="103" t="s">
        <v>4303</v>
      </c>
      <c r="B2412" s="138" t="str">
        <f ca="1"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 ca="1">IF(Proc[[#This Row],[type]]="LFF (MDG-F)",MID(Proc[[#This Row],[Obj]],13,10),"")</f>
        <v/>
      </c>
      <c r="J2412" s="94" t="b">
        <f ca="1">Proc[[#This Row],[Requested]]=Proc[[#This Row],[CurrentParent]]</f>
        <v>1</v>
      </c>
      <c r="K2412" s="94" t="str">
        <f ca="1"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57</v>
      </c>
      <c r="R2412" s="108" t="s">
        <v>415</v>
      </c>
      <c r="S2412" s="94"/>
    </row>
    <row r="2413" spans="1:19" hidden="1">
      <c r="A2413" t="s">
        <v>4294</v>
      </c>
      <c r="B2413" s="138" t="str">
        <f ca="1"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 ca="1">IF(Proc[[#This Row],[type]]="LFF (MDG-F)",MID(Proc[[#This Row],[Obj]],13,10),"")</f>
        <v/>
      </c>
      <c r="J2413" s="94" t="b">
        <f ca="1">Proc[[#This Row],[Requested]]=Proc[[#This Row],[CurrentParent]]</f>
        <v>1</v>
      </c>
      <c r="K2413" s="94" t="str">
        <f ca="1"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58</v>
      </c>
      <c r="R2413" s="108" t="s">
        <v>972</v>
      </c>
      <c r="S2413" s="94"/>
    </row>
    <row r="2414" spans="1:19" hidden="1">
      <c r="A2414" t="s">
        <v>4306</v>
      </c>
      <c r="B2414" s="138" t="str">
        <f ca="1"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 ca="1">IF(Proc[[#This Row],[type]]="LFF (MDG-F)",MID(Proc[[#This Row],[Obj]],13,10),"")</f>
        <v/>
      </c>
      <c r="J2414" s="94" t="b">
        <f ca="1">Proc[[#This Row],[Requested]]=Proc[[#This Row],[CurrentParent]]</f>
        <v>1</v>
      </c>
      <c r="K2414" s="94" t="str">
        <f ca="1"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138" t="str">
        <f ca="1"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 ca="1">IF(Proc[[#This Row],[type]]="LFF (MDG-F)",MID(Proc[[#This Row],[Obj]],13,10),"")</f>
        <v>DE10B20210</v>
      </c>
      <c r="J2415" s="94" t="b">
        <f ca="1">Proc[[#This Row],[Requested]]=Proc[[#This Row],[CurrentParent]]</f>
        <v>1</v>
      </c>
      <c r="K2415" s="94" t="str">
        <f ca="1"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138" t="str">
        <f ca="1"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 ca="1">IF(Proc[[#This Row],[type]]="LFF (MDG-F)",MID(Proc[[#This Row],[Obj]],13,10),"")</f>
        <v>2123OF0033</v>
      </c>
      <c r="I2416" t="s">
        <v>4313</v>
      </c>
      <c r="J2416" s="94" t="b">
        <f ca="1">Proc[[#This Row],[Requested]]=Proc[[#This Row],[CurrentParent]]</f>
        <v>1</v>
      </c>
      <c r="K2416" s="94" t="str">
        <f ca="1"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55</v>
      </c>
      <c r="R2416" s="110" t="s">
        <v>515</v>
      </c>
      <c r="S2416" s="94"/>
    </row>
    <row r="2417" spans="1:19" hidden="1">
      <c r="A2417" s="103" t="s">
        <v>4310</v>
      </c>
      <c r="B2417" s="138" t="str">
        <f ca="1"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 ca="1">IF(Proc[[#This Row],[type]]="LFF (MDG-F)",MID(Proc[[#This Row],[Obj]],13,10),"")</f>
        <v>CH75GM8300</v>
      </c>
      <c r="I2417" s="103" t="s">
        <v>4313</v>
      </c>
      <c r="J2417" s="94" t="b">
        <f ca="1">Proc[[#This Row],[Requested]]=Proc[[#This Row],[CurrentParent]]</f>
        <v>1</v>
      </c>
      <c r="K2417" s="94" t="str">
        <f ca="1"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55</v>
      </c>
      <c r="R2417" s="110" t="s">
        <v>515</v>
      </c>
      <c r="S2417" s="94"/>
    </row>
    <row r="2418" spans="1:19" hidden="1">
      <c r="A2418" t="s">
        <v>4314</v>
      </c>
      <c r="B2418" s="138" t="str">
        <f ca="1"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 ca="1">IF(Proc[[#This Row],[type]]="LFF (MDG-F)",MID(Proc[[#This Row],[Obj]],13,10),"")</f>
        <v>2068TAUA00</v>
      </c>
      <c r="I2418" t="s">
        <v>4327</v>
      </c>
      <c r="J2418" s="94" t="b">
        <f ca="1">Proc[[#This Row],[Requested]]=Proc[[#This Row],[CurrentParent]]</f>
        <v>1</v>
      </c>
      <c r="K2418" s="94" t="str">
        <f ca="1"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138" t="str">
        <f ca="1"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 ca="1">IF(Proc[[#This Row],[type]]="LFF (MDG-F)",MID(Proc[[#This Row],[Obj]],13,10),"")</f>
        <v>2068TAUA99</v>
      </c>
      <c r="I2419" s="103" t="s">
        <v>4327</v>
      </c>
      <c r="J2419" s="94" t="b">
        <f ca="1">Proc[[#This Row],[Requested]]=Proc[[#This Row],[CurrentParent]]</f>
        <v>1</v>
      </c>
      <c r="K2419" s="94" t="str">
        <f ca="1"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138" t="str">
        <f ca="1"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 ca="1">IF(Proc[[#This Row],[type]]="LFF (MDG-F)",MID(Proc[[#This Row],[Obj]],13,10),"")</f>
        <v>2068TBUZ21</v>
      </c>
      <c r="I2420" s="103" t="s">
        <v>4327</v>
      </c>
      <c r="J2420" s="94" t="b">
        <f ca="1">Proc[[#This Row],[Requested]]=Proc[[#This Row],[CurrentParent]]</f>
        <v>1</v>
      </c>
      <c r="K2420" s="94" t="str">
        <f ca="1"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138" t="str">
        <f ca="1"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 ca="1">IF(Proc[[#This Row],[type]]="LFF (MDG-F)",MID(Proc[[#This Row],[Obj]],13,10),"")</f>
        <v>2068TFUZ61</v>
      </c>
      <c r="I2421" s="103" t="s">
        <v>4327</v>
      </c>
      <c r="J2421" s="94" t="b">
        <f ca="1">Proc[[#This Row],[Requested]]=Proc[[#This Row],[CurrentParent]]</f>
        <v>1</v>
      </c>
      <c r="K2421" s="94" t="str">
        <f ca="1"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138" t="str">
        <f ca="1"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 ca="1">IF(Proc[[#This Row],[type]]="LFF (MDG-F)",MID(Proc[[#This Row],[Obj]],13,10),"")</f>
        <v>2068TKUZ70</v>
      </c>
      <c r="I2422" s="103" t="s">
        <v>4327</v>
      </c>
      <c r="J2422" s="94" t="b">
        <f ca="1">Proc[[#This Row],[Requested]]=Proc[[#This Row],[CurrentParent]]</f>
        <v>1</v>
      </c>
      <c r="K2422" s="94" t="str">
        <f ca="1"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138" t="str">
        <f ca="1"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 ca="1">IF(Proc[[#This Row],[type]]="LFF (MDG-F)",MID(Proc[[#This Row],[Obj]],13,10),"")</f>
        <v>2068TQUZ90</v>
      </c>
      <c r="I2423" s="103" t="s">
        <v>4327</v>
      </c>
      <c r="J2423" s="94" t="b">
        <f ca="1">Proc[[#This Row],[Requested]]=Proc[[#This Row],[CurrentParent]]</f>
        <v>1</v>
      </c>
      <c r="K2423" s="94" t="str">
        <f ca="1"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138" t="str">
        <f ca="1"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 ca="1">IF(Proc[[#This Row],[type]]="LFF (MDG-F)",MID(Proc[[#This Row],[Obj]],13,10),"")</f>
        <v>2068TAUA01</v>
      </c>
      <c r="I2424" s="103" t="s">
        <v>4327</v>
      </c>
      <c r="J2424" s="94" t="b">
        <f ca="1">Proc[[#This Row],[Requested]]=Proc[[#This Row],[CurrentParent]]</f>
        <v>1</v>
      </c>
      <c r="K2424" s="94" t="str">
        <f ca="1"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138" t="str">
        <f ca="1"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 ca="1">IF(Proc[[#This Row],[type]]="LFF (MDG-F)",MID(Proc[[#This Row],[Obj]],13,10),"")</f>
        <v/>
      </c>
      <c r="I2425" t="s">
        <v>4326</v>
      </c>
      <c r="J2425" s="94" t="b">
        <f ca="1">Proc[[#This Row],[Requested]]=Proc[[#This Row],[CurrentParent]]</f>
        <v>0</v>
      </c>
      <c r="K2425" s="94" t="str">
        <f ca="1"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138" t="str">
        <f ca="1"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 ca="1">IF(Proc[[#This Row],[type]]="LFF (MDG-F)",MID(Proc[[#This Row],[Obj]],13,10),"")</f>
        <v/>
      </c>
      <c r="I2426" s="103" t="s">
        <v>4326</v>
      </c>
      <c r="J2426" s="94" t="b">
        <f ca="1">Proc[[#This Row],[Requested]]=Proc[[#This Row],[CurrentParent]]</f>
        <v>0</v>
      </c>
      <c r="K2426" s="94" t="str">
        <f ca="1"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138" t="str">
        <f ca="1"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 ca="1">IF(Proc[[#This Row],[type]]="LFF (MDG-F)",MID(Proc[[#This Row],[Obj]],13,10),"")</f>
        <v/>
      </c>
      <c r="J2427" s="94" t="b">
        <f ca="1">Proc[[#This Row],[Requested]]=Proc[[#This Row],[CurrentParent]]</f>
        <v>1</v>
      </c>
      <c r="K2427" s="94" t="str">
        <f ca="1"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138" t="str">
        <f ca="1"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 ca="1">IF(Proc[[#This Row],[type]]="LFF (MDG-F)",MID(Proc[[#This Row],[Obj]],13,10),"")</f>
        <v/>
      </c>
      <c r="J2428" s="94" t="b">
        <f ca="1">Proc[[#This Row],[Requested]]=Proc[[#This Row],[CurrentParent]]</f>
        <v>1</v>
      </c>
      <c r="K2428" s="94" t="str">
        <f ca="1"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138" t="str">
        <f ca="1"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 ca="1">IF(Proc[[#This Row],[type]]="LFF (MDG-F)",MID(Proc[[#This Row],[Obj]],13,10),"")</f>
        <v/>
      </c>
      <c r="J2429" s="94" t="b">
        <f ca="1">Proc[[#This Row],[Requested]]=Proc[[#This Row],[CurrentParent]]</f>
        <v>1</v>
      </c>
      <c r="K2429" s="94" t="str">
        <f ca="1"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138" t="str">
        <f ca="1"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 ca="1">IF(Proc[[#This Row],[type]]="LFF (MDG-F)",MID(Proc[[#This Row],[Obj]],13,10),"")</f>
        <v/>
      </c>
      <c r="J2430" s="94" t="b">
        <f ca="1">Proc[[#This Row],[Requested]]=Proc[[#This Row],[CurrentParent]]</f>
        <v>1</v>
      </c>
      <c r="K2430" s="94" t="str">
        <f ca="1"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138" t="str">
        <f ca="1"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 ca="1">IF(Proc[[#This Row],[type]]="LFF (MDG-F)",MID(Proc[[#This Row],[Obj]],13,10),"")</f>
        <v/>
      </c>
      <c r="J2431" s="94" t="b">
        <f ca="1">Proc[[#This Row],[Requested]]=Proc[[#This Row],[CurrentParent]]</f>
        <v>1</v>
      </c>
      <c r="K2431" s="94" t="str">
        <f ca="1"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138" t="str">
        <f ca="1"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 ca="1">IF(Proc[[#This Row],[type]]="LFF (MDG-F)",MID(Proc[[#This Row],[Obj]],13,10),"")</f>
        <v/>
      </c>
      <c r="J2432" s="94" t="b">
        <f ca="1">Proc[[#This Row],[Requested]]=Proc[[#This Row],[CurrentParent]]</f>
        <v>1</v>
      </c>
      <c r="K2432" s="94" t="str">
        <f ca="1"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138" t="str">
        <f ca="1"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 ca="1">IF(Proc[[#This Row],[type]]="LFF (MDG-F)",MID(Proc[[#This Row],[Obj]],13,10),"")</f>
        <v/>
      </c>
      <c r="J2433" s="94" t="b">
        <f ca="1">Proc[[#This Row],[Requested]]=Proc[[#This Row],[CurrentParent]]</f>
        <v>1</v>
      </c>
      <c r="K2433" s="94" t="str">
        <f ca="1"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138" t="str">
        <f ca="1"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 ca="1">IF(Proc[[#This Row],[type]]="LFF (MDG-F)",MID(Proc[[#This Row],[Obj]],13,10),"")</f>
        <v/>
      </c>
      <c r="J2434" s="94" t="b">
        <f ca="1">Proc[[#This Row],[Requested]]=Proc[[#This Row],[CurrentParent]]</f>
        <v>1</v>
      </c>
      <c r="K2434" s="94" t="str">
        <f ca="1"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138" t="str">
        <f ca="1"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 ca="1">IF(Proc[[#This Row],[type]]="LFF (MDG-F)",MID(Proc[[#This Row],[Obj]],13,10),"")</f>
        <v/>
      </c>
      <c r="J2435" s="94" t="b">
        <f ca="1">Proc[[#This Row],[Requested]]=Proc[[#This Row],[CurrentParent]]</f>
        <v>1</v>
      </c>
      <c r="K2435" s="94" t="str">
        <f ca="1"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138" t="str">
        <f ca="1"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 ca="1">IF(Proc[[#This Row],[type]]="LFF (MDG-F)",MID(Proc[[#This Row],[Obj]],13,10),"")</f>
        <v/>
      </c>
      <c r="J2436" s="94" t="b">
        <f ca="1">Proc[[#This Row],[Requested]]=Proc[[#This Row],[CurrentParent]]</f>
        <v>1</v>
      </c>
      <c r="K2436" s="94" t="str">
        <f ca="1"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138" t="str">
        <f ca="1"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 ca="1">IF(Proc[[#This Row],[type]]="LFF (MDG-F)",MID(Proc[[#This Row],[Obj]],13,10),"")</f>
        <v/>
      </c>
      <c r="J2437" s="94" t="b">
        <f ca="1">Proc[[#This Row],[Requested]]=Proc[[#This Row],[CurrentParent]]</f>
        <v>1</v>
      </c>
      <c r="K2437" s="94" t="str">
        <f ca="1"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138" t="str">
        <f ca="1"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 ca="1">IF(Proc[[#This Row],[type]]="LFF (MDG-F)",MID(Proc[[#This Row],[Obj]],13,10),"")</f>
        <v/>
      </c>
      <c r="J2438" s="94" t="b">
        <f ca="1">Proc[[#This Row],[Requested]]=Proc[[#This Row],[CurrentParent]]</f>
        <v>1</v>
      </c>
      <c r="K2438" s="94" t="str">
        <f ca="1"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138" t="str">
        <f ca="1"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 ca="1">IF(Proc[[#This Row],[type]]="LFF (MDG-F)",MID(Proc[[#This Row],[Obj]],13,10),"")</f>
        <v/>
      </c>
      <c r="J2439" s="94" t="b">
        <f ca="1">Proc[[#This Row],[Requested]]=Proc[[#This Row],[CurrentParent]]</f>
        <v>1</v>
      </c>
      <c r="K2439" s="94" t="str">
        <f ca="1"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138" t="str">
        <f ca="1"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 ca="1">IF(Proc[[#This Row],[type]]="LFF (MDG-F)",MID(Proc[[#This Row],[Obj]],13,10),"")</f>
        <v/>
      </c>
      <c r="J2440" s="94" t="b">
        <f ca="1">Proc[[#This Row],[Requested]]=Proc[[#This Row],[CurrentParent]]</f>
        <v>1</v>
      </c>
      <c r="K2440" s="94" t="str">
        <f ca="1"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138" t="str">
        <f ca="1"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 ca="1">IF(Proc[[#This Row],[type]]="LFF (MDG-F)",MID(Proc[[#This Row],[Obj]],13,10),"")</f>
        <v/>
      </c>
      <c r="J2441" s="94" t="b">
        <f ca="1">Proc[[#This Row],[Requested]]=Proc[[#This Row],[CurrentParent]]</f>
        <v>1</v>
      </c>
      <c r="K2441" s="94" t="str">
        <f ca="1"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138" t="str">
        <f ca="1"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 ca="1">IF(Proc[[#This Row],[type]]="LFF (MDG-F)",MID(Proc[[#This Row],[Obj]],13,10),"")</f>
        <v/>
      </c>
      <c r="J2442" s="94" t="b">
        <f ca="1">Proc[[#This Row],[Requested]]=Proc[[#This Row],[CurrentParent]]</f>
        <v>1</v>
      </c>
      <c r="K2442" s="94" t="str">
        <f ca="1"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138" t="str">
        <f ca="1"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 ca="1">IF(Proc[[#This Row],[type]]="LFF (MDG-F)",MID(Proc[[#This Row],[Obj]],13,10),"")</f>
        <v/>
      </c>
      <c r="J2443" s="94" t="b">
        <f ca="1">Proc[[#This Row],[Requested]]=Proc[[#This Row],[CurrentParent]]</f>
        <v>1</v>
      </c>
      <c r="K2443" s="94" t="str">
        <f ca="1"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138" t="str">
        <f ca="1"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 ca="1">IF(Proc[[#This Row],[type]]="LFF (MDG-F)",MID(Proc[[#This Row],[Obj]],13,10),"")</f>
        <v/>
      </c>
      <c r="J2444" s="94" t="b">
        <f ca="1">Proc[[#This Row],[Requested]]=Proc[[#This Row],[CurrentParent]]</f>
        <v>1</v>
      </c>
      <c r="K2444" s="94" t="str">
        <f ca="1"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138" t="str">
        <f ca="1"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 ca="1">IF(Proc[[#This Row],[type]]="LFF (MDG-F)",MID(Proc[[#This Row],[Obj]],13,10),"")</f>
        <v/>
      </c>
      <c r="J2445" s="94" t="b">
        <f ca="1">Proc[[#This Row],[Requested]]=Proc[[#This Row],[CurrentParent]]</f>
        <v>1</v>
      </c>
      <c r="K2445" s="94" t="str">
        <f ca="1"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138" t="str">
        <f ca="1"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 ca="1">IF(Proc[[#This Row],[type]]="LFF (MDG-F)",MID(Proc[[#This Row],[Obj]],13,10),"")</f>
        <v/>
      </c>
      <c r="J2446" s="94" t="b">
        <f ca="1">Proc[[#This Row],[Requested]]=Proc[[#This Row],[CurrentParent]]</f>
        <v>1</v>
      </c>
      <c r="K2446" s="94" t="str">
        <f ca="1"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138" t="str">
        <f ca="1"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 ca="1">IF(Proc[[#This Row],[type]]="LFF (MDG-F)",MID(Proc[[#This Row],[Obj]],13,10),"")</f>
        <v/>
      </c>
      <c r="J2447" s="94" t="b">
        <f ca="1">Proc[[#This Row],[Requested]]=Proc[[#This Row],[CurrentParent]]</f>
        <v>1</v>
      </c>
      <c r="K2447" s="94" t="str">
        <f ca="1"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138" t="str">
        <f ca="1"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 ca="1">IF(Proc[[#This Row],[type]]="LFF (MDG-F)",MID(Proc[[#This Row],[Obj]],13,10),"")</f>
        <v/>
      </c>
      <c r="J2448" s="94" t="b">
        <f ca="1">Proc[[#This Row],[Requested]]=Proc[[#This Row],[CurrentParent]]</f>
        <v>1</v>
      </c>
      <c r="K2448" s="94" t="str">
        <f ca="1"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138" t="str">
        <f ca="1"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 ca="1">IF(Proc[[#This Row],[type]]="LFF (MDG-F)",MID(Proc[[#This Row],[Obj]],13,10),"")</f>
        <v/>
      </c>
      <c r="J2449" s="94" t="b">
        <f ca="1">Proc[[#This Row],[Requested]]=Proc[[#This Row],[CurrentParent]]</f>
        <v>1</v>
      </c>
      <c r="K2449" s="94" t="str">
        <f ca="1"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138" t="str">
        <f ca="1"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 ca="1">IF(Proc[[#This Row],[type]]="LFF (MDG-F)",MID(Proc[[#This Row],[Obj]],13,10),"")</f>
        <v/>
      </c>
      <c r="J2450" s="94" t="b">
        <f ca="1">Proc[[#This Row],[Requested]]=Proc[[#This Row],[CurrentParent]]</f>
        <v>1</v>
      </c>
      <c r="K2450" s="94" t="str">
        <f ca="1"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138" t="str">
        <f ca="1"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 ca="1">IF(Proc[[#This Row],[type]]="LFF (MDG-F)",MID(Proc[[#This Row],[Obj]],13,10),"")</f>
        <v/>
      </c>
      <c r="J2451" s="94" t="b">
        <f ca="1">Proc[[#This Row],[Requested]]=Proc[[#This Row],[CurrentParent]]</f>
        <v>1</v>
      </c>
      <c r="K2451" s="94" t="str">
        <f ca="1"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138" t="str">
        <f ca="1"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 ca="1">IF(Proc[[#This Row],[type]]="LFF (MDG-F)",MID(Proc[[#This Row],[Obj]],13,10),"")</f>
        <v/>
      </c>
      <c r="J2452" s="94" t="b">
        <f ca="1">Proc[[#This Row],[Requested]]=Proc[[#This Row],[CurrentParent]]</f>
        <v>1</v>
      </c>
      <c r="K2452" s="94" t="str">
        <f ca="1"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138" t="str">
        <f ca="1"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 ca="1">IF(Proc[[#This Row],[type]]="LFF (MDG-F)",MID(Proc[[#This Row],[Obj]],13,10),"")</f>
        <v/>
      </c>
      <c r="J2453" s="94" t="b">
        <f ca="1">Proc[[#This Row],[Requested]]=Proc[[#This Row],[CurrentParent]]</f>
        <v>1</v>
      </c>
      <c r="K2453" s="94" t="str">
        <f ca="1"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138" t="str">
        <f ca="1"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 ca="1">IF(Proc[[#This Row],[type]]="LFF (MDG-F)",MID(Proc[[#This Row],[Obj]],13,10),"")</f>
        <v/>
      </c>
      <c r="J2454" s="94" t="b">
        <f ca="1">Proc[[#This Row],[Requested]]=Proc[[#This Row],[CurrentParent]]</f>
        <v>1</v>
      </c>
      <c r="K2454" s="94" t="str">
        <f ca="1"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138" t="str">
        <f ca="1"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 ca="1">IF(Proc[[#This Row],[type]]="LFF (MDG-F)",MID(Proc[[#This Row],[Obj]],13,10),"")</f>
        <v/>
      </c>
      <c r="J2455" s="94" t="b">
        <f ca="1">Proc[[#This Row],[Requested]]=Proc[[#This Row],[CurrentParent]]</f>
        <v>1</v>
      </c>
      <c r="K2455" s="94" t="str">
        <f ca="1"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138" t="str">
        <f ca="1"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 ca="1">IF(Proc[[#This Row],[type]]="LFF (MDG-F)",MID(Proc[[#This Row],[Obj]],13,10),"")</f>
        <v/>
      </c>
      <c r="J2456" s="94" t="b">
        <f ca="1">Proc[[#This Row],[Requested]]=Proc[[#This Row],[CurrentParent]]</f>
        <v>1</v>
      </c>
      <c r="K2456" s="94" t="str">
        <f ca="1"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138" t="str">
        <f ca="1"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 ca="1">IF(Proc[[#This Row],[type]]="LFF (MDG-F)",MID(Proc[[#This Row],[Obj]],13,10),"")</f>
        <v/>
      </c>
      <c r="J2457" s="94" t="b">
        <f ca="1">Proc[[#This Row],[Requested]]=Proc[[#This Row],[CurrentParent]]</f>
        <v>1</v>
      </c>
      <c r="K2457" s="94" t="str">
        <f ca="1"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138" t="str">
        <f ca="1"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 ca="1">IF(Proc[[#This Row],[type]]="LFF (MDG-F)",MID(Proc[[#This Row],[Obj]],13,10),"")</f>
        <v/>
      </c>
      <c r="J2458" s="94" t="b">
        <f ca="1">Proc[[#This Row],[Requested]]=Proc[[#This Row],[CurrentParent]]</f>
        <v>1</v>
      </c>
      <c r="K2458" s="94" t="str">
        <f ca="1"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138" t="str">
        <f ca="1"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 ca="1">IF(Proc[[#This Row],[type]]="LFF (MDG-F)",MID(Proc[[#This Row],[Obj]],13,10),"")</f>
        <v/>
      </c>
      <c r="J2459" s="94" t="b">
        <f ca="1">Proc[[#This Row],[Requested]]=Proc[[#This Row],[CurrentParent]]</f>
        <v>1</v>
      </c>
      <c r="K2459" s="94" t="str">
        <f ca="1"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138" t="str">
        <f ca="1"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 ca="1">IF(Proc[[#This Row],[type]]="LFF (MDG-F)",MID(Proc[[#This Row],[Obj]],13,10),"")</f>
        <v/>
      </c>
      <c r="J2460" s="94" t="b">
        <f ca="1">Proc[[#This Row],[Requested]]=Proc[[#This Row],[CurrentParent]]</f>
        <v>1</v>
      </c>
      <c r="K2460" s="94" t="str">
        <f ca="1"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138" t="str">
        <f ca="1"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 ca="1">IF(Proc[[#This Row],[type]]="LFF (MDG-F)",MID(Proc[[#This Row],[Obj]],13,10),"")</f>
        <v/>
      </c>
      <c r="J2461" s="94" t="b">
        <f ca="1">Proc[[#This Row],[Requested]]=Proc[[#This Row],[CurrentParent]]</f>
        <v>1</v>
      </c>
      <c r="K2461" s="94" t="str">
        <f ca="1"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138" t="str">
        <f ca="1"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 ca="1">IF(Proc[[#This Row],[type]]="LFF (MDG-F)",MID(Proc[[#This Row],[Obj]],13,10),"")</f>
        <v/>
      </c>
      <c r="J2462" s="94" t="b">
        <f ca="1">Proc[[#This Row],[Requested]]=Proc[[#This Row],[CurrentParent]]</f>
        <v>1</v>
      </c>
      <c r="K2462" s="94" t="str">
        <f ca="1"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138" t="str">
        <f ca="1"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 ca="1">IF(Proc[[#This Row],[type]]="LFF (MDG-F)",MID(Proc[[#This Row],[Obj]],13,10),"")</f>
        <v/>
      </c>
      <c r="J2463" s="94" t="b">
        <f ca="1">Proc[[#This Row],[Requested]]=Proc[[#This Row],[CurrentParent]]</f>
        <v>1</v>
      </c>
      <c r="K2463" s="94" t="str">
        <f ca="1"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138" t="str">
        <f ca="1"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 ca="1">IF(Proc[[#This Row],[type]]="LFF (MDG-F)",MID(Proc[[#This Row],[Obj]],13,10),"")</f>
        <v/>
      </c>
      <c r="J2464" s="94" t="b">
        <f ca="1">Proc[[#This Row],[Requested]]=Proc[[#This Row],[CurrentParent]]</f>
        <v>1</v>
      </c>
      <c r="K2464" s="94" t="str">
        <f ca="1"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138" t="str">
        <f ca="1"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 ca="1">IF(Proc[[#This Row],[type]]="LFF (MDG-F)",MID(Proc[[#This Row],[Obj]],13,10),"")</f>
        <v/>
      </c>
      <c r="J2465" s="94" t="b">
        <f ca="1">Proc[[#This Row],[Requested]]=Proc[[#This Row],[CurrentParent]]</f>
        <v>1</v>
      </c>
      <c r="K2465" s="94" t="str">
        <f ca="1"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138" t="str">
        <f ca="1"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 ca="1">IF(Proc[[#This Row],[type]]="LFF (MDG-F)",MID(Proc[[#This Row],[Obj]],13,10),"")</f>
        <v/>
      </c>
      <c r="J2466" s="94" t="b">
        <f ca="1">Proc[[#This Row],[Requested]]=Proc[[#This Row],[CurrentParent]]</f>
        <v>1</v>
      </c>
      <c r="K2466" s="94" t="str">
        <f ca="1"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138" t="str">
        <f ca="1"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 ca="1">IF(Proc[[#This Row],[type]]="LFF (MDG-F)",MID(Proc[[#This Row],[Obj]],13,10),"")</f>
        <v/>
      </c>
      <c r="J2467" s="94" t="b">
        <f ca="1">Proc[[#This Row],[Requested]]=Proc[[#This Row],[CurrentParent]]</f>
        <v>1</v>
      </c>
      <c r="K2467" s="94" t="str">
        <f ca="1"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138" t="str">
        <f ca="1"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 ca="1">IF(Proc[[#This Row],[type]]="LFF (MDG-F)",MID(Proc[[#This Row],[Obj]],13,10),"")</f>
        <v/>
      </c>
      <c r="J2468" s="94" t="b">
        <f ca="1">Proc[[#This Row],[Requested]]=Proc[[#This Row],[CurrentParent]]</f>
        <v>1</v>
      </c>
      <c r="K2468" s="94" t="str">
        <f ca="1"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138" t="str">
        <f ca="1"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 ca="1">IF(Proc[[#This Row],[type]]="LFF (MDG-F)",MID(Proc[[#This Row],[Obj]],13,10),"")</f>
        <v/>
      </c>
      <c r="J2469" s="94" t="b">
        <f ca="1">Proc[[#This Row],[Requested]]=Proc[[#This Row],[CurrentParent]]</f>
        <v>1</v>
      </c>
      <c r="K2469" s="94" t="str">
        <f ca="1"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138" t="str">
        <f ca="1"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 ca="1">IF(Proc[[#This Row],[type]]="LFF (MDG-F)",MID(Proc[[#This Row],[Obj]],13,10),"")</f>
        <v/>
      </c>
      <c r="J2470" s="94" t="b">
        <f ca="1">Proc[[#This Row],[Requested]]=Proc[[#This Row],[CurrentParent]]</f>
        <v>1</v>
      </c>
      <c r="K2470" s="94" t="str">
        <f ca="1"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138" t="str">
        <f ca="1"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 ca="1">IF(Proc[[#This Row],[type]]="LFF (MDG-F)",MID(Proc[[#This Row],[Obj]],13,10),"")</f>
        <v/>
      </c>
      <c r="J2471" s="94" t="b">
        <f ca="1">Proc[[#This Row],[Requested]]=Proc[[#This Row],[CurrentParent]]</f>
        <v>1</v>
      </c>
      <c r="K2471" s="94" t="str">
        <f ca="1"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138" t="str">
        <f ca="1"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 ca="1">IF(Proc[[#This Row],[type]]="LFF (MDG-F)",MID(Proc[[#This Row],[Obj]],13,10),"")</f>
        <v/>
      </c>
      <c r="J2472" s="94" t="b">
        <f ca="1">Proc[[#This Row],[Requested]]=Proc[[#This Row],[CurrentParent]]</f>
        <v>1</v>
      </c>
      <c r="K2472" s="94" t="str">
        <f ca="1"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138" t="str">
        <f ca="1"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 ca="1">IF(Proc[[#This Row],[type]]="LFF (MDG-F)",MID(Proc[[#This Row],[Obj]],13,10),"")</f>
        <v/>
      </c>
      <c r="J2473" s="94" t="b">
        <f ca="1">Proc[[#This Row],[Requested]]=Proc[[#This Row],[CurrentParent]]</f>
        <v>1</v>
      </c>
      <c r="K2473" s="94" t="str">
        <f ca="1"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138" t="str">
        <f ca="1"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 ca="1">IF(Proc[[#This Row],[type]]="LFF (MDG-F)",MID(Proc[[#This Row],[Obj]],13,10),"")</f>
        <v/>
      </c>
      <c r="J2474" s="94" t="b">
        <f ca="1">Proc[[#This Row],[Requested]]=Proc[[#This Row],[CurrentParent]]</f>
        <v>1</v>
      </c>
      <c r="K2474" s="94" t="str">
        <f ca="1"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138" t="str">
        <f ca="1"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 ca="1">IF(Proc[[#This Row],[type]]="LFF (MDG-F)",MID(Proc[[#This Row],[Obj]],13,10),"")</f>
        <v/>
      </c>
      <c r="J2475" s="94" t="b">
        <f ca="1">Proc[[#This Row],[Requested]]=Proc[[#This Row],[CurrentParent]]</f>
        <v>1</v>
      </c>
      <c r="K2475" s="94" t="str">
        <f ca="1"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138" t="str">
        <f ca="1"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 ca="1">IF(Proc[[#This Row],[type]]="LFF (MDG-F)",MID(Proc[[#This Row],[Obj]],13,10),"")</f>
        <v/>
      </c>
      <c r="J2476" s="94" t="b">
        <f ca="1">Proc[[#This Row],[Requested]]=Proc[[#This Row],[CurrentParent]]</f>
        <v>1</v>
      </c>
      <c r="K2476" s="94" t="str">
        <f ca="1"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138" t="str">
        <f ca="1"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 ca="1">IF(Proc[[#This Row],[type]]="LFF (MDG-F)",MID(Proc[[#This Row],[Obj]],13,10),"")</f>
        <v/>
      </c>
      <c r="J2477" s="94" t="b">
        <f ca="1">Proc[[#This Row],[Requested]]=Proc[[#This Row],[CurrentParent]]</f>
        <v>1</v>
      </c>
      <c r="K2477" s="94" t="str">
        <f ca="1"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138" t="str">
        <f ca="1"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 ca="1">IF(Proc[[#This Row],[type]]="LFF (MDG-F)",MID(Proc[[#This Row],[Obj]],13,10),"")</f>
        <v/>
      </c>
      <c r="J2478" s="94" t="b">
        <f ca="1">Proc[[#This Row],[Requested]]=Proc[[#This Row],[CurrentParent]]</f>
        <v>1</v>
      </c>
      <c r="K2478" s="94" t="str">
        <f ca="1"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138" t="str">
        <f ca="1"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 ca="1">IF(Proc[[#This Row],[type]]="LFF (MDG-F)",MID(Proc[[#This Row],[Obj]],13,10),"")</f>
        <v/>
      </c>
      <c r="J2479" s="94" t="b">
        <f ca="1">Proc[[#This Row],[Requested]]=Proc[[#This Row],[CurrentParent]]</f>
        <v>1</v>
      </c>
      <c r="K2479" s="94" t="str">
        <f ca="1"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138" t="str">
        <f ca="1"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 ca="1">IF(Proc[[#This Row],[type]]="LFF (MDG-F)",MID(Proc[[#This Row],[Obj]],13,10),"")</f>
        <v/>
      </c>
      <c r="J2480" s="94" t="b">
        <f ca="1">Proc[[#This Row],[Requested]]=Proc[[#This Row],[CurrentParent]]</f>
        <v>1</v>
      </c>
      <c r="K2480" s="94" t="str">
        <f ca="1"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138" t="str">
        <f ca="1"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 ca="1">IF(Proc[[#This Row],[type]]="LFF (MDG-F)",MID(Proc[[#This Row],[Obj]],13,10),"")</f>
        <v/>
      </c>
      <c r="J2481" s="94" t="b">
        <f ca="1">Proc[[#This Row],[Requested]]=Proc[[#This Row],[CurrentParent]]</f>
        <v>1</v>
      </c>
      <c r="K2481" s="94" t="str">
        <f ca="1"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138" t="str">
        <f ca="1"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 ca="1">IF(Proc[[#This Row],[type]]="LFF (MDG-F)",MID(Proc[[#This Row],[Obj]],13,10),"")</f>
        <v/>
      </c>
      <c r="J2482" s="94" t="b">
        <f ca="1">Proc[[#This Row],[Requested]]=Proc[[#This Row],[CurrentParent]]</f>
        <v>1</v>
      </c>
      <c r="K2482" s="94" t="str">
        <f ca="1"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138" t="str">
        <f ca="1"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 ca="1">IF(Proc[[#This Row],[type]]="LFF (MDG-F)",MID(Proc[[#This Row],[Obj]],13,10),"")</f>
        <v/>
      </c>
      <c r="J2483" s="94" t="b">
        <f ca="1">Proc[[#This Row],[Requested]]=Proc[[#This Row],[CurrentParent]]</f>
        <v>1</v>
      </c>
      <c r="K2483" s="94" t="str">
        <f ca="1"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138" t="str">
        <f ca="1"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 ca="1">IF(Proc[[#This Row],[type]]="LFF (MDG-F)",MID(Proc[[#This Row],[Obj]],13,10),"")</f>
        <v/>
      </c>
      <c r="J2484" s="94" t="b">
        <f ca="1">Proc[[#This Row],[Requested]]=Proc[[#This Row],[CurrentParent]]</f>
        <v>1</v>
      </c>
      <c r="K2484" s="94" t="str">
        <f ca="1"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138" t="str">
        <f ca="1"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 ca="1">IF(Proc[[#This Row],[type]]="LFF (MDG-F)",MID(Proc[[#This Row],[Obj]],13,10),"")</f>
        <v/>
      </c>
      <c r="J2485" s="94" t="b">
        <f ca="1">Proc[[#This Row],[Requested]]=Proc[[#This Row],[CurrentParent]]</f>
        <v>1</v>
      </c>
      <c r="K2485" s="94" t="str">
        <f ca="1"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138" t="str">
        <f ca="1"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 ca="1">IF(Proc[[#This Row],[type]]="LFF (MDG-F)",MID(Proc[[#This Row],[Obj]],13,10),"")</f>
        <v/>
      </c>
      <c r="J2486" s="94" t="b">
        <f ca="1">Proc[[#This Row],[Requested]]=Proc[[#This Row],[CurrentParent]]</f>
        <v>1</v>
      </c>
      <c r="K2486" s="94" t="str">
        <f ca="1"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138" t="str">
        <f ca="1"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 ca="1">IF(Proc[[#This Row],[type]]="LFF (MDG-F)",MID(Proc[[#This Row],[Obj]],13,10),"")</f>
        <v/>
      </c>
      <c r="J2487" s="94" t="b">
        <f ca="1">Proc[[#This Row],[Requested]]=Proc[[#This Row],[CurrentParent]]</f>
        <v>1</v>
      </c>
      <c r="K2487" s="94" t="str">
        <f ca="1"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4414</v>
      </c>
      <c r="B2488" s="138" t="str">
        <f ca="1"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 ca="1">IF(Proc[[#This Row],[type]]="LFF (MDG-F)",MID(Proc[[#This Row],[Obj]],13,10),"")</f>
        <v>DE10677800</v>
      </c>
      <c r="I2488" t="s">
        <v>4415</v>
      </c>
      <c r="J2488" s="94" t="b">
        <f ca="1">Proc[[#This Row],[Requested]]=Proc[[#This Row],[CurrentParent]]</f>
        <v>1</v>
      </c>
      <c r="K2488" s="94" t="str">
        <f ca="1"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50</v>
      </c>
      <c r="R2488" s="110" t="s">
        <v>1459</v>
      </c>
      <c r="S2488" s="94"/>
    </row>
    <row r="2489" spans="1:19" hidden="1">
      <c r="A2489" s="103" t="s">
        <v>4414</v>
      </c>
      <c r="B2489" s="138" t="str">
        <f ca="1"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 ca="1">IF(Proc[[#This Row],[type]]="LFF (MDG-F)",MID(Proc[[#This Row],[Obj]],13,10),"")</f>
        <v>DE65GIT032</v>
      </c>
      <c r="I2489" s="103" t="s">
        <v>4834</v>
      </c>
      <c r="J2489" s="94" t="b">
        <f ca="1">Proc[[#This Row],[Requested]]=Proc[[#This Row],[CurrentParent]]</f>
        <v>0</v>
      </c>
      <c r="K2489" s="94" t="str">
        <f ca="1"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50</v>
      </c>
      <c r="R2489" s="110" t="s">
        <v>1459</v>
      </c>
      <c r="S2489" s="94"/>
    </row>
    <row r="2490" spans="1:19" hidden="1">
      <c r="A2490" s="103" t="s">
        <v>4414</v>
      </c>
      <c r="B2490" s="138" t="str">
        <f ca="1"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 ca="1">IF(Proc[[#This Row],[type]]="LFF (MDG-F)",MID(Proc[[#This Row],[Obj]],13,10),"")</f>
        <v>ES50GIT40L</v>
      </c>
      <c r="I2490" s="103" t="s">
        <v>4415</v>
      </c>
      <c r="J2490" s="94" t="b">
        <f ca="1">Proc[[#This Row],[Requested]]=Proc[[#This Row],[CurrentParent]]</f>
        <v>1</v>
      </c>
      <c r="K2490" s="94" t="str">
        <f ca="1"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50</v>
      </c>
      <c r="R2490" s="110" t="s">
        <v>1459</v>
      </c>
      <c r="S2490" s="94"/>
    </row>
    <row r="2491" spans="1:19" hidden="1">
      <c r="A2491" s="103" t="s">
        <v>4414</v>
      </c>
      <c r="B2491" s="138" t="str">
        <f ca="1"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 ca="1">IF(Proc[[#This Row],[type]]="LFF (MDG-F)",MID(Proc[[#This Row],[Obj]],13,10),"")</f>
        <v>IT50GIT025</v>
      </c>
      <c r="I2491" s="103" t="s">
        <v>4415</v>
      </c>
      <c r="J2491" s="94" t="b">
        <f ca="1">Proc[[#This Row],[Requested]]=Proc[[#This Row],[CurrentParent]]</f>
        <v>1</v>
      </c>
      <c r="K2491" s="94" t="str">
        <f ca="1"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50</v>
      </c>
      <c r="R2491" s="110" t="s">
        <v>1459</v>
      </c>
      <c r="S2491" s="94"/>
    </row>
    <row r="2492" spans="1:19" hidden="1">
      <c r="A2492" s="103" t="s">
        <v>4414</v>
      </c>
      <c r="B2492" s="138" t="str">
        <f ca="1"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 ca="1">IF(Proc[[#This Row],[type]]="LFF (MDG-F)",MID(Proc[[#This Row],[Obj]],13,10),"")</f>
        <v/>
      </c>
      <c r="J2492" s="94" t="b">
        <f ca="1">Proc[[#This Row],[Requested]]=Proc[[#This Row],[CurrentParent]]</f>
        <v>1</v>
      </c>
      <c r="K2492" s="94" t="str">
        <f ca="1"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50</v>
      </c>
      <c r="R2492" s="110" t="s">
        <v>1459</v>
      </c>
      <c r="S2492" s="94"/>
    </row>
    <row r="2493" spans="1:19" hidden="1">
      <c r="A2493" s="103" t="s">
        <v>4414</v>
      </c>
      <c r="B2493" s="138" t="str">
        <f ca="1"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 ca="1">IF(Proc[[#This Row],[type]]="LFF (MDG-F)",MID(Proc[[#This Row],[Obj]],13,10),"")</f>
        <v/>
      </c>
      <c r="J2493" s="94" t="b">
        <f ca="1">Proc[[#This Row],[Requested]]=Proc[[#This Row],[CurrentParent]]</f>
        <v>1</v>
      </c>
      <c r="K2493" s="94" t="str">
        <f ca="1"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50</v>
      </c>
      <c r="R2493" s="110" t="s">
        <v>1459</v>
      </c>
      <c r="S2493" s="94"/>
    </row>
    <row r="2494" spans="1:19" hidden="1">
      <c r="A2494" s="103" t="s">
        <v>4414</v>
      </c>
      <c r="B2494" s="138" t="str">
        <f ca="1"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 ca="1">IF(Proc[[#This Row],[type]]="LFF (MDG-F)",MID(Proc[[#This Row],[Obj]],13,10),"")</f>
        <v/>
      </c>
      <c r="J2494" s="94" t="b">
        <f ca="1">Proc[[#This Row],[Requested]]=Proc[[#This Row],[CurrentParent]]</f>
        <v>1</v>
      </c>
      <c r="K2494" s="94" t="str">
        <f ca="1"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50</v>
      </c>
      <c r="R2494" s="110" t="s">
        <v>1459</v>
      </c>
      <c r="S2494" s="94"/>
    </row>
    <row r="2495" spans="1:19" hidden="1">
      <c r="A2495" s="103" t="s">
        <v>4414</v>
      </c>
      <c r="B2495" s="138" t="str">
        <f ca="1"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 ca="1">IF(Proc[[#This Row],[type]]="LFF (MDG-F)",MID(Proc[[#This Row],[Obj]],13,10),"")</f>
        <v/>
      </c>
      <c r="J2495" s="94" t="b">
        <f ca="1">Proc[[#This Row],[Requested]]=Proc[[#This Row],[CurrentParent]]</f>
        <v>1</v>
      </c>
      <c r="K2495" s="94" t="str">
        <f ca="1"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50</v>
      </c>
      <c r="R2495" s="110" t="s">
        <v>1459</v>
      </c>
      <c r="S2495" s="94"/>
    </row>
    <row r="2496" spans="1:19" hidden="1">
      <c r="A2496" s="103" t="s">
        <v>4414</v>
      </c>
      <c r="B2496" s="138" t="str">
        <f ca="1"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 ca="1">IF(Proc[[#This Row],[type]]="LFF (MDG-F)",MID(Proc[[#This Row],[Obj]],13,10),"")</f>
        <v/>
      </c>
      <c r="J2496" s="94" t="b">
        <f ca="1">Proc[[#This Row],[Requested]]=Proc[[#This Row],[CurrentParent]]</f>
        <v>1</v>
      </c>
      <c r="K2496" s="94" t="str">
        <f ca="1"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50</v>
      </c>
      <c r="R2496" s="110" t="s">
        <v>1459</v>
      </c>
      <c r="S2496" s="94"/>
    </row>
    <row r="2497" spans="1:19" hidden="1">
      <c r="A2497" s="103" t="s">
        <v>4414</v>
      </c>
      <c r="B2497" s="138" t="str">
        <f ca="1"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 ca="1">IF(Proc[[#This Row],[type]]="LFF (MDG-F)",MID(Proc[[#This Row],[Obj]],13,10),"")</f>
        <v/>
      </c>
      <c r="J2497" s="94" t="b">
        <f ca="1">Proc[[#This Row],[Requested]]=Proc[[#This Row],[CurrentParent]]</f>
        <v>1</v>
      </c>
      <c r="K2497" s="94" t="str">
        <f ca="1"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50</v>
      </c>
      <c r="R2497" s="110" t="s">
        <v>1459</v>
      </c>
      <c r="S2497" s="94"/>
    </row>
    <row r="2498" spans="1:19" hidden="1">
      <c r="A2498" s="103" t="s">
        <v>4414</v>
      </c>
      <c r="B2498" s="138" t="str">
        <f ca="1"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 ca="1">IF(Proc[[#This Row],[type]]="LFF (MDG-F)",MID(Proc[[#This Row],[Obj]],13,10),"")</f>
        <v/>
      </c>
      <c r="J2498" s="94" t="b">
        <f ca="1">Proc[[#This Row],[Requested]]=Proc[[#This Row],[CurrentParent]]</f>
        <v>1</v>
      </c>
      <c r="K2498" s="94" t="str">
        <f ca="1"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50</v>
      </c>
      <c r="R2498" s="110" t="s">
        <v>1459</v>
      </c>
      <c r="S2498" s="94"/>
    </row>
    <row r="2499" spans="1:19" hidden="1">
      <c r="A2499" t="s">
        <v>4417</v>
      </c>
      <c r="B2499" s="138" t="str">
        <f ca="1"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 ca="1">IF(Proc[[#This Row],[type]]="LFF (MDG-F)",MID(Proc[[#This Row],[Obj]],13,10),"")</f>
        <v/>
      </c>
      <c r="J2499" s="94" t="b">
        <f ca="1">Proc[[#This Row],[Requested]]=Proc[[#This Row],[CurrentParent]]</f>
        <v>1</v>
      </c>
      <c r="K2499" s="94" t="str">
        <f ca="1"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138" t="str">
        <f ca="1"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 ca="1">IF(Proc[[#This Row],[type]]="LFF (MDG-F)",MID(Proc[[#This Row],[Obj]],13,10),"")</f>
        <v/>
      </c>
      <c r="J2500" s="94" t="b">
        <f ca="1">Proc[[#This Row],[Requested]]=Proc[[#This Row],[CurrentParent]]</f>
        <v>1</v>
      </c>
      <c r="K2500" s="94" t="str">
        <f ca="1"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48</v>
      </c>
      <c r="R2500" s="110" t="s">
        <v>489</v>
      </c>
      <c r="S2500" s="94"/>
    </row>
    <row r="2501" spans="1:19" hidden="1">
      <c r="A2501" t="s">
        <v>4422</v>
      </c>
      <c r="B2501" s="138" t="str">
        <f ca="1"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 ca="1">IF(Proc[[#This Row],[type]]="LFF (MDG-F)",MID(Proc[[#This Row],[Obj]],13,10),"")</f>
        <v/>
      </c>
      <c r="J2501" s="94" t="b">
        <f ca="1">Proc[[#This Row],[Requested]]=Proc[[#This Row],[CurrentParent]]</f>
        <v>1</v>
      </c>
      <c r="K2501" s="94" t="str">
        <f ca="1"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48</v>
      </c>
      <c r="R2501" s="110" t="s">
        <v>489</v>
      </c>
      <c r="S2501" s="94"/>
    </row>
    <row r="2502" spans="1:19" hidden="1">
      <c r="A2502" t="s">
        <v>4424</v>
      </c>
      <c r="B2502" s="138" t="str">
        <f ca="1"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 ca="1">IF(Proc[[#This Row],[type]]="LFF (MDG-F)",MID(Proc[[#This Row],[Obj]],13,10),"")</f>
        <v>DE20122000</v>
      </c>
      <c r="I2502" t="s">
        <v>4786</v>
      </c>
      <c r="J2502" s="94" t="b">
        <f ca="1">Proc[[#This Row],[Requested]]=Proc[[#This Row],[CurrentParent]]</f>
        <v>1</v>
      </c>
      <c r="K2502" s="94" t="str">
        <f ca="1"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48</v>
      </c>
      <c r="R2502" s="110" t="s">
        <v>485</v>
      </c>
      <c r="S2502" s="94"/>
    </row>
    <row r="2503" spans="1:19" hidden="1">
      <c r="A2503" s="103" t="s">
        <v>4424</v>
      </c>
      <c r="B2503" s="138" t="str">
        <f ca="1"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 ca="1">IF(Proc[[#This Row],[type]]="LFF (MDG-F)",MID(Proc[[#This Row],[Obj]],13,10),"")</f>
        <v>DE20123000</v>
      </c>
      <c r="I2503" s="103" t="s">
        <v>4786</v>
      </c>
      <c r="J2503" s="94" t="b">
        <f ca="1">Proc[[#This Row],[Requested]]=Proc[[#This Row],[CurrentParent]]</f>
        <v>1</v>
      </c>
      <c r="K2503" s="94" t="str">
        <f ca="1"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48</v>
      </c>
      <c r="R2503" s="110" t="s">
        <v>485</v>
      </c>
      <c r="S2503" s="94"/>
    </row>
    <row r="2504" spans="1:19" hidden="1">
      <c r="A2504" s="103" t="s">
        <v>4424</v>
      </c>
      <c r="B2504" s="138" t="str">
        <f ca="1"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 ca="1">IF(Proc[[#This Row],[type]]="LFF (MDG-F)",MID(Proc[[#This Row],[Obj]],13,10),"")</f>
        <v>DE10515800</v>
      </c>
      <c r="I2504" s="103" t="s">
        <v>4786</v>
      </c>
      <c r="J2504" s="94" t="b">
        <f ca="1">Proc[[#This Row],[Requested]]=Proc[[#This Row],[CurrentParent]]</f>
        <v>1</v>
      </c>
      <c r="K2504" s="94" t="str">
        <f ca="1"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48</v>
      </c>
      <c r="R2504" s="110" t="s">
        <v>485</v>
      </c>
      <c r="S2504" s="94"/>
    </row>
    <row r="2505" spans="1:19" hidden="1">
      <c r="A2505" s="103" t="s">
        <v>4424</v>
      </c>
      <c r="B2505" s="138" t="str">
        <f ca="1"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 ca="1">IF(Proc[[#This Row],[type]]="LFF (MDG-F)",MID(Proc[[#This Row],[Obj]],13,10),"")</f>
        <v>DE10538021</v>
      </c>
      <c r="I2505" s="103" t="s">
        <v>4786</v>
      </c>
      <c r="J2505" s="94" t="b">
        <f ca="1">Proc[[#This Row],[Requested]]=Proc[[#This Row],[CurrentParent]]</f>
        <v>1</v>
      </c>
      <c r="K2505" s="94" t="str">
        <f ca="1"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48</v>
      </c>
      <c r="R2505" s="110" t="s">
        <v>485</v>
      </c>
      <c r="S2505" s="94"/>
    </row>
    <row r="2506" spans="1:19" hidden="1">
      <c r="A2506" s="103" t="s">
        <v>4424</v>
      </c>
      <c r="B2506" s="138" t="str">
        <f ca="1"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 ca="1">IF(Proc[[#This Row],[type]]="LFF (MDG-F)",MID(Proc[[#This Row],[Obj]],13,10),"")</f>
        <v>DE10566000</v>
      </c>
      <c r="I2506" s="103" t="s">
        <v>4786</v>
      </c>
      <c r="J2506" s="94" t="b">
        <f ca="1">Proc[[#This Row],[Requested]]=Proc[[#This Row],[CurrentParent]]</f>
        <v>1</v>
      </c>
      <c r="K2506" s="94" t="str">
        <f ca="1"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48</v>
      </c>
      <c r="R2506" s="110" t="s">
        <v>485</v>
      </c>
      <c r="S2506" s="94"/>
    </row>
    <row r="2507" spans="1:19" hidden="1">
      <c r="A2507" s="103" t="s">
        <v>4424</v>
      </c>
      <c r="B2507" s="138" t="str">
        <f ca="1"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 ca="1">IF(Proc[[#This Row],[type]]="LFF (MDG-F)",MID(Proc[[#This Row],[Obj]],13,10),"")</f>
        <v>DE10537833</v>
      </c>
      <c r="I2507" s="103" t="s">
        <v>4786</v>
      </c>
      <c r="J2507" s="94" t="b">
        <f ca="1">Proc[[#This Row],[Requested]]=Proc[[#This Row],[CurrentParent]]</f>
        <v>1</v>
      </c>
      <c r="K2507" s="94" t="str">
        <f ca="1"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48</v>
      </c>
      <c r="R2507" s="110" t="s">
        <v>485</v>
      </c>
      <c r="S2507" s="94"/>
    </row>
    <row r="2508" spans="1:19" hidden="1">
      <c r="A2508" s="103" t="s">
        <v>4424</v>
      </c>
      <c r="B2508" s="138" t="str">
        <f ca="1"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 ca="1">IF(Proc[[#This Row],[type]]="LFF (MDG-F)",MID(Proc[[#This Row],[Obj]],13,10),"")</f>
        <v>DE10538012</v>
      </c>
      <c r="I2508" s="103" t="s">
        <v>4786</v>
      </c>
      <c r="J2508" s="94" t="b">
        <f ca="1">Proc[[#This Row],[Requested]]=Proc[[#This Row],[CurrentParent]]</f>
        <v>1</v>
      </c>
      <c r="K2508" s="94" t="str">
        <f ca="1"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48</v>
      </c>
      <c r="R2508" s="110" t="s">
        <v>485</v>
      </c>
      <c r="S2508" s="94"/>
    </row>
    <row r="2509" spans="1:19" hidden="1">
      <c r="A2509" s="103" t="s">
        <v>4424</v>
      </c>
      <c r="B2509" s="138" t="str">
        <f ca="1"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 ca="1">IF(Proc[[#This Row],[type]]="LFF (MDG-F)",MID(Proc[[#This Row],[Obj]],13,10),"")</f>
        <v>DE10538014</v>
      </c>
      <c r="I2509" s="103" t="s">
        <v>4786</v>
      </c>
      <c r="J2509" s="94" t="b">
        <f ca="1">Proc[[#This Row],[Requested]]=Proc[[#This Row],[CurrentParent]]</f>
        <v>1</v>
      </c>
      <c r="K2509" s="94" t="str">
        <f ca="1"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48</v>
      </c>
      <c r="R2509" s="110" t="s">
        <v>485</v>
      </c>
      <c r="S2509" s="94"/>
    </row>
    <row r="2510" spans="1:19" hidden="1">
      <c r="A2510" s="103" t="s">
        <v>4424</v>
      </c>
      <c r="B2510" s="138" t="str">
        <f ca="1"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 ca="1">IF(Proc[[#This Row],[type]]="LFF (MDG-F)",MID(Proc[[#This Row],[Obj]],13,10),"")</f>
        <v>DE10538015</v>
      </c>
      <c r="I2510" s="103" t="s">
        <v>4786</v>
      </c>
      <c r="J2510" s="94" t="b">
        <f ca="1">Proc[[#This Row],[Requested]]=Proc[[#This Row],[CurrentParent]]</f>
        <v>1</v>
      </c>
      <c r="K2510" s="94" t="str">
        <f ca="1"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48</v>
      </c>
      <c r="R2510" s="110" t="s">
        <v>485</v>
      </c>
      <c r="S2510" s="94"/>
    </row>
    <row r="2511" spans="1:19" hidden="1">
      <c r="A2511" s="103" t="s">
        <v>4424</v>
      </c>
      <c r="B2511" s="138" t="str">
        <f ca="1"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 ca="1">IF(Proc[[#This Row],[type]]="LFF (MDG-F)",MID(Proc[[#This Row],[Obj]],13,10),"")</f>
        <v>DE10538017</v>
      </c>
      <c r="I2511" s="103" t="s">
        <v>4786</v>
      </c>
      <c r="J2511" s="94" t="b">
        <f ca="1">Proc[[#This Row],[Requested]]=Proc[[#This Row],[CurrentParent]]</f>
        <v>1</v>
      </c>
      <c r="K2511" s="94" t="str">
        <f ca="1"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48</v>
      </c>
      <c r="R2511" s="110" t="s">
        <v>485</v>
      </c>
      <c r="S2511" s="94"/>
    </row>
    <row r="2512" spans="1:19" hidden="1">
      <c r="A2512" s="103" t="s">
        <v>4424</v>
      </c>
      <c r="B2512" s="138" t="str">
        <f ca="1"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 ca="1">IF(Proc[[#This Row],[type]]="LFF (MDG-F)",MID(Proc[[#This Row],[Obj]],13,10),"")</f>
        <v>DE10538018</v>
      </c>
      <c r="I2512" s="103" t="s">
        <v>4786</v>
      </c>
      <c r="J2512" s="94" t="b">
        <f ca="1">Proc[[#This Row],[Requested]]=Proc[[#This Row],[CurrentParent]]</f>
        <v>1</v>
      </c>
      <c r="K2512" s="94" t="str">
        <f ca="1"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48</v>
      </c>
      <c r="R2512" s="110" t="s">
        <v>485</v>
      </c>
      <c r="S2512" s="94"/>
    </row>
    <row r="2513" spans="1:19" hidden="1">
      <c r="A2513" s="103" t="s">
        <v>4424</v>
      </c>
      <c r="B2513" s="138" t="str">
        <f ca="1"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 ca="1">IF(Proc[[#This Row],[type]]="LFF (MDG-F)",MID(Proc[[#This Row],[Obj]],13,10),"")</f>
        <v>DE10538132</v>
      </c>
      <c r="I2513" s="103" t="s">
        <v>4786</v>
      </c>
      <c r="J2513" s="94" t="b">
        <f ca="1">Proc[[#This Row],[Requested]]=Proc[[#This Row],[CurrentParent]]</f>
        <v>1</v>
      </c>
      <c r="K2513" s="94" t="str">
        <f ca="1"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48</v>
      </c>
      <c r="R2513" s="110" t="s">
        <v>485</v>
      </c>
      <c r="S2513" s="94"/>
    </row>
    <row r="2514" spans="1:19" hidden="1">
      <c r="A2514" s="103" t="s">
        <v>4424</v>
      </c>
      <c r="B2514" s="138" t="str">
        <f ca="1"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 ca="1">IF(Proc[[#This Row],[type]]="LFF (MDG-F)",MID(Proc[[#This Row],[Obj]],13,10),"")</f>
        <v>DE10538101</v>
      </c>
      <c r="I2514" s="103" t="s">
        <v>4786</v>
      </c>
      <c r="J2514" s="94" t="b">
        <f ca="1">Proc[[#This Row],[Requested]]=Proc[[#This Row],[CurrentParent]]</f>
        <v>1</v>
      </c>
      <c r="K2514" s="94" t="str">
        <f ca="1"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48</v>
      </c>
      <c r="R2514" s="110" t="s">
        <v>485</v>
      </c>
      <c r="S2514" s="94"/>
    </row>
    <row r="2515" spans="1:19" hidden="1">
      <c r="A2515" s="103" t="s">
        <v>4424</v>
      </c>
      <c r="B2515" s="138" t="str">
        <f ca="1"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 ca="1">IF(Proc[[#This Row],[type]]="LFF (MDG-F)",MID(Proc[[#This Row],[Obj]],13,10),"")</f>
        <v>DE10538102</v>
      </c>
      <c r="I2515" s="103" t="s">
        <v>4786</v>
      </c>
      <c r="J2515" s="94" t="b">
        <f ca="1">Proc[[#This Row],[Requested]]=Proc[[#This Row],[CurrentParent]]</f>
        <v>1</v>
      </c>
      <c r="K2515" s="94" t="str">
        <f ca="1"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48</v>
      </c>
      <c r="R2515" s="110" t="s">
        <v>485</v>
      </c>
      <c r="S2515" s="94"/>
    </row>
    <row r="2516" spans="1:19" hidden="1">
      <c r="A2516" s="103" t="s">
        <v>4424</v>
      </c>
      <c r="B2516" s="138" t="str">
        <f ca="1"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 ca="1">IF(Proc[[#This Row],[type]]="LFF (MDG-F)",MID(Proc[[#This Row],[Obj]],13,10),"")</f>
        <v>DE10538104</v>
      </c>
      <c r="I2516" s="103" t="s">
        <v>4786</v>
      </c>
      <c r="J2516" s="94" t="b">
        <f ca="1">Proc[[#This Row],[Requested]]=Proc[[#This Row],[CurrentParent]]</f>
        <v>1</v>
      </c>
      <c r="K2516" s="94" t="str">
        <f ca="1"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48</v>
      </c>
      <c r="R2516" s="110" t="s">
        <v>485</v>
      </c>
      <c r="S2516" s="94"/>
    </row>
    <row r="2517" spans="1:19" hidden="1">
      <c r="A2517" s="103" t="s">
        <v>4424</v>
      </c>
      <c r="B2517" s="138" t="str">
        <f ca="1"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 ca="1">IF(Proc[[#This Row],[type]]="LFF (MDG-F)",MID(Proc[[#This Row],[Obj]],13,10),"")</f>
        <v>DE10538109</v>
      </c>
      <c r="I2517" s="103" t="s">
        <v>4786</v>
      </c>
      <c r="J2517" s="94" t="b">
        <f ca="1">Proc[[#This Row],[Requested]]=Proc[[#This Row],[CurrentParent]]</f>
        <v>1</v>
      </c>
      <c r="K2517" s="94" t="str">
        <f ca="1"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48</v>
      </c>
      <c r="R2517" s="110" t="s">
        <v>485</v>
      </c>
      <c r="S2517" s="94"/>
    </row>
    <row r="2518" spans="1:19" hidden="1">
      <c r="A2518" s="103" t="s">
        <v>4424</v>
      </c>
      <c r="B2518" s="138" t="str">
        <f ca="1"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 ca="1">IF(Proc[[#This Row],[type]]="LFF (MDG-F)",MID(Proc[[#This Row],[Obj]],13,10),"")</f>
        <v>DE10538116</v>
      </c>
      <c r="I2518" s="103" t="s">
        <v>4786</v>
      </c>
      <c r="J2518" s="94" t="b">
        <f ca="1">Proc[[#This Row],[Requested]]=Proc[[#This Row],[CurrentParent]]</f>
        <v>1</v>
      </c>
      <c r="K2518" s="94" t="str">
        <f ca="1"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48</v>
      </c>
      <c r="R2518" s="110" t="s">
        <v>485</v>
      </c>
      <c r="S2518" s="94"/>
    </row>
    <row r="2519" spans="1:19" hidden="1">
      <c r="A2519" s="103" t="s">
        <v>4424</v>
      </c>
      <c r="B2519" s="138" t="str">
        <f ca="1"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 ca="1">IF(Proc[[#This Row],[type]]="LFF (MDG-F)",MID(Proc[[#This Row],[Obj]],13,10),"")</f>
        <v>DE10538123</v>
      </c>
      <c r="I2519" s="103" t="s">
        <v>4786</v>
      </c>
      <c r="J2519" s="94" t="b">
        <f ca="1">Proc[[#This Row],[Requested]]=Proc[[#This Row],[CurrentParent]]</f>
        <v>1</v>
      </c>
      <c r="K2519" s="94" t="str">
        <f ca="1"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48</v>
      </c>
      <c r="R2519" s="110" t="s">
        <v>485</v>
      </c>
      <c r="S2519" s="94"/>
    </row>
    <row r="2520" spans="1:19" hidden="1">
      <c r="A2520" s="103" t="s">
        <v>4424</v>
      </c>
      <c r="B2520" s="138" t="str">
        <f ca="1"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 ca="1">IF(Proc[[#This Row],[type]]="LFF (MDG-F)",MID(Proc[[#This Row],[Obj]],13,10),"")</f>
        <v>DE10538128</v>
      </c>
      <c r="I2520" s="103" t="s">
        <v>4786</v>
      </c>
      <c r="J2520" s="94" t="b">
        <f ca="1">Proc[[#This Row],[Requested]]=Proc[[#This Row],[CurrentParent]]</f>
        <v>1</v>
      </c>
      <c r="K2520" s="94" t="str">
        <f ca="1"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48</v>
      </c>
      <c r="R2520" s="110" t="s">
        <v>485</v>
      </c>
      <c r="S2520" s="94"/>
    </row>
    <row r="2521" spans="1:19" hidden="1">
      <c r="A2521" s="103" t="s">
        <v>4424</v>
      </c>
      <c r="B2521" s="138" t="str">
        <f ca="1"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 ca="1">IF(Proc[[#This Row],[type]]="LFF (MDG-F)",MID(Proc[[#This Row],[Obj]],13,10),"")</f>
        <v>DE10538146</v>
      </c>
      <c r="I2521" s="103" t="s">
        <v>4786</v>
      </c>
      <c r="J2521" s="94" t="b">
        <f ca="1">Proc[[#This Row],[Requested]]=Proc[[#This Row],[CurrentParent]]</f>
        <v>1</v>
      </c>
      <c r="K2521" s="94" t="str">
        <f ca="1"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48</v>
      </c>
      <c r="R2521" s="110" t="s">
        <v>485</v>
      </c>
      <c r="S2521" s="94"/>
    </row>
    <row r="2522" spans="1:19" hidden="1">
      <c r="A2522" s="103" t="s">
        <v>4424</v>
      </c>
      <c r="B2522" s="138" t="str">
        <f ca="1"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 ca="1">IF(Proc[[#This Row],[type]]="LFF (MDG-F)",MID(Proc[[#This Row],[Obj]],13,10),"")</f>
        <v>DE10538150</v>
      </c>
      <c r="I2522" s="103" t="s">
        <v>4786</v>
      </c>
      <c r="J2522" s="94" t="b">
        <f ca="1">Proc[[#This Row],[Requested]]=Proc[[#This Row],[CurrentParent]]</f>
        <v>1</v>
      </c>
      <c r="K2522" s="94" t="str">
        <f ca="1"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48</v>
      </c>
      <c r="R2522" s="110" t="s">
        <v>485</v>
      </c>
      <c r="S2522" s="94"/>
    </row>
    <row r="2523" spans="1:19" hidden="1">
      <c r="A2523" s="103" t="s">
        <v>4424</v>
      </c>
      <c r="B2523" s="138" t="str">
        <f ca="1"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 ca="1">IF(Proc[[#This Row],[type]]="LFF (MDG-F)",MID(Proc[[#This Row],[Obj]],13,10),"")</f>
        <v>DE10538152</v>
      </c>
      <c r="I2523" s="103" t="s">
        <v>4786</v>
      </c>
      <c r="J2523" s="94" t="b">
        <f ca="1">Proc[[#This Row],[Requested]]=Proc[[#This Row],[CurrentParent]]</f>
        <v>1</v>
      </c>
      <c r="K2523" s="94" t="str">
        <f ca="1"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48</v>
      </c>
      <c r="R2523" s="110" t="s">
        <v>485</v>
      </c>
      <c r="S2523" s="94"/>
    </row>
    <row r="2524" spans="1:19" hidden="1">
      <c r="A2524" s="103" t="s">
        <v>4424</v>
      </c>
      <c r="B2524" s="138" t="str">
        <f ca="1"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 ca="1">IF(Proc[[#This Row],[type]]="LFF (MDG-F)",MID(Proc[[#This Row],[Obj]],13,10),"")</f>
        <v>DE10538157</v>
      </c>
      <c r="I2524" s="103" t="s">
        <v>4786</v>
      </c>
      <c r="J2524" s="94" t="b">
        <f ca="1">Proc[[#This Row],[Requested]]=Proc[[#This Row],[CurrentParent]]</f>
        <v>1</v>
      </c>
      <c r="K2524" s="94" t="str">
        <f ca="1"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48</v>
      </c>
      <c r="R2524" s="110" t="s">
        <v>485</v>
      </c>
      <c r="S2524" s="94"/>
    </row>
    <row r="2525" spans="1:19" hidden="1">
      <c r="A2525" s="103" t="s">
        <v>4424</v>
      </c>
      <c r="B2525" s="138" t="str">
        <f ca="1"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 ca="1">IF(Proc[[#This Row],[type]]="LFF (MDG-F)",MID(Proc[[#This Row],[Obj]],13,10),"")</f>
        <v>DE10538158</v>
      </c>
      <c r="I2525" s="103" t="s">
        <v>4786</v>
      </c>
      <c r="J2525" s="94" t="b">
        <f ca="1">Proc[[#This Row],[Requested]]=Proc[[#This Row],[CurrentParent]]</f>
        <v>1</v>
      </c>
      <c r="K2525" s="94" t="str">
        <f ca="1"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48</v>
      </c>
      <c r="R2525" s="110" t="s">
        <v>485</v>
      </c>
      <c r="S2525" s="94"/>
    </row>
    <row r="2526" spans="1:19" hidden="1">
      <c r="A2526" s="103" t="s">
        <v>4424</v>
      </c>
      <c r="B2526" s="138" t="str">
        <f ca="1"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 ca="1">IF(Proc[[#This Row],[type]]="LFF (MDG-F)",MID(Proc[[#This Row],[Obj]],13,10),"")</f>
        <v>DE10538159</v>
      </c>
      <c r="I2526" s="103" t="s">
        <v>4786</v>
      </c>
      <c r="J2526" s="94" t="b">
        <f ca="1">Proc[[#This Row],[Requested]]=Proc[[#This Row],[CurrentParent]]</f>
        <v>1</v>
      </c>
      <c r="K2526" s="94" t="str">
        <f ca="1"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48</v>
      </c>
      <c r="R2526" s="110" t="s">
        <v>485</v>
      </c>
      <c r="S2526" s="94"/>
    </row>
    <row r="2527" spans="1:19" hidden="1">
      <c r="A2527" s="103" t="s">
        <v>4424</v>
      </c>
      <c r="B2527" s="138" t="str">
        <f ca="1"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 ca="1">IF(Proc[[#This Row],[type]]="LFF (MDG-F)",MID(Proc[[#This Row],[Obj]],13,10),"")</f>
        <v>DE10538179</v>
      </c>
      <c r="I2527" s="103" t="s">
        <v>4786</v>
      </c>
      <c r="J2527" s="94" t="b">
        <f ca="1">Proc[[#This Row],[Requested]]=Proc[[#This Row],[CurrentParent]]</f>
        <v>1</v>
      </c>
      <c r="K2527" s="94" t="str">
        <f ca="1"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48</v>
      </c>
      <c r="R2527" s="110" t="s">
        <v>485</v>
      </c>
      <c r="S2527" s="94"/>
    </row>
    <row r="2528" spans="1:19" hidden="1">
      <c r="A2528" s="103" t="s">
        <v>4424</v>
      </c>
      <c r="B2528" s="138" t="str">
        <f ca="1"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 ca="1">IF(Proc[[#This Row],[type]]="LFF (MDG-F)",MID(Proc[[#This Row],[Obj]],13,10),"")</f>
        <v>DE10538180</v>
      </c>
      <c r="I2528" s="103" t="s">
        <v>4786</v>
      </c>
      <c r="J2528" s="94" t="b">
        <f ca="1">Proc[[#This Row],[Requested]]=Proc[[#This Row],[CurrentParent]]</f>
        <v>1</v>
      </c>
      <c r="K2528" s="94" t="str">
        <f ca="1"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48</v>
      </c>
      <c r="R2528" s="110" t="s">
        <v>485</v>
      </c>
      <c r="S2528" s="94"/>
    </row>
    <row r="2529" spans="1:19" hidden="1">
      <c r="A2529" s="103" t="s">
        <v>4424</v>
      </c>
      <c r="B2529" s="138" t="str">
        <f ca="1"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 ca="1">IF(Proc[[#This Row],[type]]="LFF (MDG-F)",MID(Proc[[#This Row],[Obj]],13,10),"")</f>
        <v>DE10538181</v>
      </c>
      <c r="I2529" s="103" t="s">
        <v>4786</v>
      </c>
      <c r="J2529" s="94" t="b">
        <f ca="1">Proc[[#This Row],[Requested]]=Proc[[#This Row],[CurrentParent]]</f>
        <v>1</v>
      </c>
      <c r="K2529" s="94" t="str">
        <f ca="1"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48</v>
      </c>
      <c r="R2529" s="110" t="s">
        <v>485</v>
      </c>
      <c r="S2529" s="94"/>
    </row>
    <row r="2530" spans="1:19" hidden="1">
      <c r="A2530" s="103" t="s">
        <v>4424</v>
      </c>
      <c r="B2530" s="138" t="str">
        <f ca="1"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 ca="1">IF(Proc[[#This Row],[type]]="LFF (MDG-F)",MID(Proc[[#This Row],[Obj]],13,10),"")</f>
        <v>DE10538182</v>
      </c>
      <c r="I2530" s="103" t="s">
        <v>4786</v>
      </c>
      <c r="J2530" s="94" t="b">
        <f ca="1">Proc[[#This Row],[Requested]]=Proc[[#This Row],[CurrentParent]]</f>
        <v>1</v>
      </c>
      <c r="K2530" s="94" t="str">
        <f ca="1"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48</v>
      </c>
      <c r="R2530" s="110" t="s">
        <v>485</v>
      </c>
      <c r="S2530" s="94"/>
    </row>
    <row r="2531" spans="1:19" hidden="1">
      <c r="A2531" s="103" t="s">
        <v>4424</v>
      </c>
      <c r="B2531" s="138" t="str">
        <f ca="1"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 ca="1">IF(Proc[[#This Row],[type]]="LFF (MDG-F)",MID(Proc[[#This Row],[Obj]],13,10),"")</f>
        <v>DE10538183</v>
      </c>
      <c r="I2531" s="103" t="s">
        <v>4786</v>
      </c>
      <c r="J2531" s="94" t="b">
        <f ca="1">Proc[[#This Row],[Requested]]=Proc[[#This Row],[CurrentParent]]</f>
        <v>1</v>
      </c>
      <c r="K2531" s="94" t="str">
        <f ca="1"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48</v>
      </c>
      <c r="R2531" s="110" t="s">
        <v>485</v>
      </c>
      <c r="S2531" s="94"/>
    </row>
    <row r="2532" spans="1:19" hidden="1">
      <c r="A2532" s="103" t="s">
        <v>4424</v>
      </c>
      <c r="B2532" s="138" t="str">
        <f ca="1"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 ca="1">IF(Proc[[#This Row],[type]]="LFF (MDG-F)",MID(Proc[[#This Row],[Obj]],13,10),"")</f>
        <v>DE10538187</v>
      </c>
      <c r="I2532" s="103" t="s">
        <v>4786</v>
      </c>
      <c r="J2532" s="94" t="b">
        <f ca="1">Proc[[#This Row],[Requested]]=Proc[[#This Row],[CurrentParent]]</f>
        <v>1</v>
      </c>
      <c r="K2532" s="94" t="str">
        <f ca="1"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48</v>
      </c>
      <c r="R2532" s="110" t="s">
        <v>485</v>
      </c>
      <c r="S2532" s="94"/>
    </row>
    <row r="2533" spans="1:19" hidden="1">
      <c r="A2533" s="103" t="s">
        <v>4424</v>
      </c>
      <c r="B2533" s="138" t="str">
        <f ca="1"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 ca="1">IF(Proc[[#This Row],[type]]="LFF (MDG-F)",MID(Proc[[#This Row],[Obj]],13,10),"")</f>
        <v>DE10538188</v>
      </c>
      <c r="I2533" s="103" t="s">
        <v>4786</v>
      </c>
      <c r="J2533" s="94" t="b">
        <f ca="1">Proc[[#This Row],[Requested]]=Proc[[#This Row],[CurrentParent]]</f>
        <v>1</v>
      </c>
      <c r="K2533" s="94" t="str">
        <f ca="1"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48</v>
      </c>
      <c r="R2533" s="110" t="s">
        <v>485</v>
      </c>
      <c r="S2533" s="94"/>
    </row>
    <row r="2534" spans="1:19" hidden="1">
      <c r="A2534" s="103" t="s">
        <v>4424</v>
      </c>
      <c r="B2534" s="138" t="str">
        <f ca="1"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 ca="1">IF(Proc[[#This Row],[type]]="LFF (MDG-F)",MID(Proc[[#This Row],[Obj]],13,10),"")</f>
        <v>DE10538189</v>
      </c>
      <c r="I2534" s="103" t="s">
        <v>4786</v>
      </c>
      <c r="J2534" s="94" t="b">
        <f ca="1">Proc[[#This Row],[Requested]]=Proc[[#This Row],[CurrentParent]]</f>
        <v>1</v>
      </c>
      <c r="K2534" s="94" t="str">
        <f ca="1"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48</v>
      </c>
      <c r="R2534" s="110" t="s">
        <v>485</v>
      </c>
      <c r="S2534" s="94"/>
    </row>
    <row r="2535" spans="1:19" hidden="1">
      <c r="A2535" s="103" t="s">
        <v>4424</v>
      </c>
      <c r="B2535" s="138" t="str">
        <f ca="1"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 ca="1">IF(Proc[[#This Row],[type]]="LFF (MDG-F)",MID(Proc[[#This Row],[Obj]],13,10),"")</f>
        <v>DE10538196</v>
      </c>
      <c r="I2535" s="103" t="s">
        <v>4786</v>
      </c>
      <c r="J2535" s="94" t="b">
        <f ca="1">Proc[[#This Row],[Requested]]=Proc[[#This Row],[CurrentParent]]</f>
        <v>1</v>
      </c>
      <c r="K2535" s="94" t="str">
        <f ca="1"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48</v>
      </c>
      <c r="R2535" s="110" t="s">
        <v>485</v>
      </c>
      <c r="S2535" s="94"/>
    </row>
    <row r="2536" spans="1:19" hidden="1">
      <c r="A2536" s="103" t="s">
        <v>4424</v>
      </c>
      <c r="B2536" s="138" t="str">
        <f ca="1"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 ca="1">IF(Proc[[#This Row],[type]]="LFF (MDG-F)",MID(Proc[[#This Row],[Obj]],13,10),"")</f>
        <v>DE10538236</v>
      </c>
      <c r="I2536" s="103" t="s">
        <v>4786</v>
      </c>
      <c r="J2536" s="94" t="b">
        <f ca="1">Proc[[#This Row],[Requested]]=Proc[[#This Row],[CurrentParent]]</f>
        <v>1</v>
      </c>
      <c r="K2536" s="94" t="str">
        <f ca="1"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48</v>
      </c>
      <c r="R2536" s="110" t="s">
        <v>485</v>
      </c>
      <c r="S2536" s="94"/>
    </row>
    <row r="2537" spans="1:19" hidden="1">
      <c r="A2537" s="103" t="s">
        <v>4424</v>
      </c>
      <c r="B2537" s="138" t="str">
        <f ca="1"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 ca="1">IF(Proc[[#This Row],[type]]="LFF (MDG-F)",MID(Proc[[#This Row],[Obj]],13,10),"")</f>
        <v>DE10538470</v>
      </c>
      <c r="I2537" s="103" t="s">
        <v>4786</v>
      </c>
      <c r="J2537" s="94" t="b">
        <f ca="1">Proc[[#This Row],[Requested]]=Proc[[#This Row],[CurrentParent]]</f>
        <v>1</v>
      </c>
      <c r="K2537" s="94" t="str">
        <f ca="1"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48</v>
      </c>
      <c r="R2537" s="110" t="s">
        <v>485</v>
      </c>
      <c r="S2537" s="94"/>
    </row>
    <row r="2538" spans="1:19" hidden="1">
      <c r="A2538" s="103" t="s">
        <v>4424</v>
      </c>
      <c r="B2538" s="138" t="str">
        <f ca="1"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 ca="1">IF(Proc[[#This Row],[type]]="LFF (MDG-F)",MID(Proc[[#This Row],[Obj]],13,10),"")</f>
        <v>DE10538472</v>
      </c>
      <c r="I2538" s="103" t="s">
        <v>4786</v>
      </c>
      <c r="J2538" s="94" t="b">
        <f ca="1">Proc[[#This Row],[Requested]]=Proc[[#This Row],[CurrentParent]]</f>
        <v>1</v>
      </c>
      <c r="K2538" s="94" t="str">
        <f ca="1"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48</v>
      </c>
      <c r="R2538" s="110" t="s">
        <v>485</v>
      </c>
      <c r="S2538" s="94"/>
    </row>
    <row r="2539" spans="1:19" hidden="1">
      <c r="A2539" s="103" t="s">
        <v>4424</v>
      </c>
      <c r="B2539" s="138" t="str">
        <f ca="1"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 ca="1">IF(Proc[[#This Row],[type]]="LFF (MDG-F)",MID(Proc[[#This Row],[Obj]],13,10),"")</f>
        <v>DE10538473</v>
      </c>
      <c r="I2539" s="103" t="s">
        <v>4786</v>
      </c>
      <c r="J2539" s="94" t="b">
        <f ca="1">Proc[[#This Row],[Requested]]=Proc[[#This Row],[CurrentParent]]</f>
        <v>1</v>
      </c>
      <c r="K2539" s="94" t="str">
        <f ca="1"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48</v>
      </c>
      <c r="R2539" s="110" t="s">
        <v>485</v>
      </c>
      <c r="S2539" s="94"/>
    </row>
    <row r="2540" spans="1:19" hidden="1">
      <c r="A2540" s="103" t="s">
        <v>4424</v>
      </c>
      <c r="B2540" s="138" t="str">
        <f ca="1"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 ca="1">IF(Proc[[#This Row],[type]]="LFF (MDG-F)",MID(Proc[[#This Row],[Obj]],13,10),"")</f>
        <v>DE10538762</v>
      </c>
      <c r="I2540" s="103" t="s">
        <v>4786</v>
      </c>
      <c r="J2540" s="94" t="b">
        <f ca="1">Proc[[#This Row],[Requested]]=Proc[[#This Row],[CurrentParent]]</f>
        <v>1</v>
      </c>
      <c r="K2540" s="94" t="str">
        <f ca="1"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48</v>
      </c>
      <c r="R2540" s="110" t="s">
        <v>485</v>
      </c>
      <c r="S2540" s="94"/>
    </row>
    <row r="2541" spans="1:19" hidden="1">
      <c r="A2541" s="103" t="s">
        <v>4424</v>
      </c>
      <c r="B2541" s="138" t="str">
        <f ca="1"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 ca="1">IF(Proc[[#This Row],[type]]="LFF (MDG-F)",MID(Proc[[#This Row],[Obj]],13,10),"")</f>
        <v>DE10538961</v>
      </c>
      <c r="I2541" s="103" t="s">
        <v>4786</v>
      </c>
      <c r="J2541" s="94" t="b">
        <f ca="1">Proc[[#This Row],[Requested]]=Proc[[#This Row],[CurrentParent]]</f>
        <v>1</v>
      </c>
      <c r="K2541" s="94" t="str">
        <f ca="1"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48</v>
      </c>
      <c r="R2541" s="110" t="s">
        <v>485</v>
      </c>
      <c r="S2541" s="94"/>
    </row>
    <row r="2542" spans="1:19" hidden="1">
      <c r="A2542" s="103" t="s">
        <v>4424</v>
      </c>
      <c r="B2542" s="138" t="str">
        <f ca="1"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 ca="1">IF(Proc[[#This Row],[type]]="LFF (MDG-F)",MID(Proc[[#This Row],[Obj]],13,10),"")</f>
        <v>DE10538962</v>
      </c>
      <c r="I2542" s="103" t="s">
        <v>4786</v>
      </c>
      <c r="J2542" s="94" t="b">
        <f ca="1">Proc[[#This Row],[Requested]]=Proc[[#This Row],[CurrentParent]]</f>
        <v>1</v>
      </c>
      <c r="K2542" s="94" t="str">
        <f ca="1"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48</v>
      </c>
      <c r="R2542" s="110" t="s">
        <v>485</v>
      </c>
      <c r="S2542" s="94"/>
    </row>
    <row r="2543" spans="1:19" hidden="1">
      <c r="A2543" s="103" t="s">
        <v>4424</v>
      </c>
      <c r="B2543" s="138" t="str">
        <f ca="1"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 ca="1">IF(Proc[[#This Row],[type]]="LFF (MDG-F)",MID(Proc[[#This Row],[Obj]],13,10),"")</f>
        <v>DE10538963</v>
      </c>
      <c r="I2543" s="103" t="s">
        <v>4786</v>
      </c>
      <c r="J2543" s="94" t="b">
        <f ca="1">Proc[[#This Row],[Requested]]=Proc[[#This Row],[CurrentParent]]</f>
        <v>1</v>
      </c>
      <c r="K2543" s="94" t="str">
        <f ca="1"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48</v>
      </c>
      <c r="R2543" s="110" t="s">
        <v>485</v>
      </c>
      <c r="S2543" s="94"/>
    </row>
    <row r="2544" spans="1:19" hidden="1">
      <c r="A2544" s="103" t="s">
        <v>4424</v>
      </c>
      <c r="B2544" s="138" t="str">
        <f ca="1"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 ca="1">IF(Proc[[#This Row],[type]]="LFF (MDG-F)",MID(Proc[[#This Row],[Obj]],13,10),"")</f>
        <v>DE10538964</v>
      </c>
      <c r="I2544" s="103" t="s">
        <v>4786</v>
      </c>
      <c r="J2544" s="94" t="b">
        <f ca="1">Proc[[#This Row],[Requested]]=Proc[[#This Row],[CurrentParent]]</f>
        <v>1</v>
      </c>
      <c r="K2544" s="94" t="str">
        <f ca="1"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48</v>
      </c>
      <c r="R2544" s="110" t="s">
        <v>485</v>
      </c>
      <c r="S2544" s="94"/>
    </row>
    <row r="2545" spans="1:19" hidden="1">
      <c r="A2545" s="103" t="s">
        <v>4424</v>
      </c>
      <c r="B2545" s="138" t="str">
        <f ca="1"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 ca="1">IF(Proc[[#This Row],[type]]="LFF (MDG-F)",MID(Proc[[#This Row],[Obj]],13,10),"")</f>
        <v>DE10538965</v>
      </c>
      <c r="I2545" s="103" t="s">
        <v>4786</v>
      </c>
      <c r="J2545" s="94" t="b">
        <f ca="1">Proc[[#This Row],[Requested]]=Proc[[#This Row],[CurrentParent]]</f>
        <v>1</v>
      </c>
      <c r="K2545" s="94" t="str">
        <f ca="1"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48</v>
      </c>
      <c r="R2545" s="110" t="s">
        <v>485</v>
      </c>
      <c r="S2545" s="94"/>
    </row>
    <row r="2546" spans="1:19" hidden="1">
      <c r="A2546" s="103" t="s">
        <v>4424</v>
      </c>
      <c r="B2546" s="138" t="str">
        <f ca="1"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 ca="1">IF(Proc[[#This Row],[type]]="LFF (MDG-F)",MID(Proc[[#This Row],[Obj]],13,10),"")</f>
        <v>DE10538966</v>
      </c>
      <c r="I2546" s="103" t="s">
        <v>4786</v>
      </c>
      <c r="J2546" s="94" t="b">
        <f ca="1">Proc[[#This Row],[Requested]]=Proc[[#This Row],[CurrentParent]]</f>
        <v>1</v>
      </c>
      <c r="K2546" s="94" t="str">
        <f ca="1"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48</v>
      </c>
      <c r="R2546" s="110" t="s">
        <v>485</v>
      </c>
      <c r="S2546" s="94"/>
    </row>
    <row r="2547" spans="1:19" hidden="1">
      <c r="A2547" s="103" t="s">
        <v>4424</v>
      </c>
      <c r="B2547" s="138" t="str">
        <f ca="1"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 ca="1">IF(Proc[[#This Row],[type]]="LFF (MDG-F)",MID(Proc[[#This Row],[Obj]],13,10),"")</f>
        <v>DE10538967</v>
      </c>
      <c r="I2547" s="103" t="s">
        <v>4786</v>
      </c>
      <c r="J2547" s="94" t="b">
        <f ca="1">Proc[[#This Row],[Requested]]=Proc[[#This Row],[CurrentParent]]</f>
        <v>1</v>
      </c>
      <c r="K2547" s="94" t="str">
        <f ca="1"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48</v>
      </c>
      <c r="R2547" s="110" t="s">
        <v>485</v>
      </c>
      <c r="S2547" s="94"/>
    </row>
    <row r="2548" spans="1:19" hidden="1">
      <c r="A2548" s="103" t="s">
        <v>4424</v>
      </c>
      <c r="B2548" s="138" t="str">
        <f ca="1"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 ca="1">IF(Proc[[#This Row],[type]]="LFF (MDG-F)",MID(Proc[[#This Row],[Obj]],13,10),"")</f>
        <v>DE10538968</v>
      </c>
      <c r="I2548" s="103" t="s">
        <v>4786</v>
      </c>
      <c r="J2548" s="94" t="b">
        <f ca="1">Proc[[#This Row],[Requested]]=Proc[[#This Row],[CurrentParent]]</f>
        <v>1</v>
      </c>
      <c r="K2548" s="94" t="str">
        <f ca="1"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48</v>
      </c>
      <c r="R2548" s="110" t="s">
        <v>485</v>
      </c>
      <c r="S2548" s="94"/>
    </row>
    <row r="2549" spans="1:19" hidden="1">
      <c r="A2549" s="103" t="s">
        <v>4424</v>
      </c>
      <c r="B2549" s="138" t="str">
        <f ca="1"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 ca="1">IF(Proc[[#This Row],[type]]="LFF (MDG-F)",MID(Proc[[#This Row],[Obj]],13,10),"")</f>
        <v>DE10538969</v>
      </c>
      <c r="I2549" s="103" t="s">
        <v>4786</v>
      </c>
      <c r="J2549" s="94" t="b">
        <f ca="1">Proc[[#This Row],[Requested]]=Proc[[#This Row],[CurrentParent]]</f>
        <v>1</v>
      </c>
      <c r="K2549" s="94" t="str">
        <f ca="1"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48</v>
      </c>
      <c r="R2549" s="110" t="s">
        <v>485</v>
      </c>
      <c r="S2549" s="94"/>
    </row>
    <row r="2550" spans="1:19" hidden="1">
      <c r="A2550" s="103" t="s">
        <v>4424</v>
      </c>
      <c r="B2550" s="138" t="str">
        <f ca="1"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 ca="1">IF(Proc[[#This Row],[type]]="LFF (MDG-F)",MID(Proc[[#This Row],[Obj]],13,10),"")</f>
        <v>DE10538970</v>
      </c>
      <c r="I2550" s="103" t="s">
        <v>4786</v>
      </c>
      <c r="J2550" s="94" t="b">
        <f ca="1">Proc[[#This Row],[Requested]]=Proc[[#This Row],[CurrentParent]]</f>
        <v>1</v>
      </c>
      <c r="K2550" s="94" t="str">
        <f ca="1"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48</v>
      </c>
      <c r="R2550" s="110" t="s">
        <v>485</v>
      </c>
      <c r="S2550" s="94"/>
    </row>
    <row r="2551" spans="1:19" hidden="1">
      <c r="A2551" s="103" t="s">
        <v>4424</v>
      </c>
      <c r="B2551" s="138" t="str">
        <f ca="1"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 ca="1">IF(Proc[[#This Row],[type]]="LFF (MDG-F)",MID(Proc[[#This Row],[Obj]],13,10),"")</f>
        <v>DE10538971</v>
      </c>
      <c r="I2551" s="103" t="s">
        <v>4786</v>
      </c>
      <c r="J2551" s="94" t="b">
        <f ca="1">Proc[[#This Row],[Requested]]=Proc[[#This Row],[CurrentParent]]</f>
        <v>1</v>
      </c>
      <c r="K2551" s="94" t="str">
        <f ca="1"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48</v>
      </c>
      <c r="R2551" s="110" t="s">
        <v>485</v>
      </c>
      <c r="S2551" s="94"/>
    </row>
    <row r="2552" spans="1:19" hidden="1">
      <c r="A2552" s="103" t="s">
        <v>4424</v>
      </c>
      <c r="B2552" s="138" t="str">
        <f ca="1"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 ca="1">IF(Proc[[#This Row],[type]]="LFF (MDG-F)",MID(Proc[[#This Row],[Obj]],13,10),"")</f>
        <v>DE10538972</v>
      </c>
      <c r="I2552" s="103" t="s">
        <v>4786</v>
      </c>
      <c r="J2552" s="94" t="b">
        <f ca="1">Proc[[#This Row],[Requested]]=Proc[[#This Row],[CurrentParent]]</f>
        <v>1</v>
      </c>
      <c r="K2552" s="94" t="str">
        <f ca="1"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48</v>
      </c>
      <c r="R2552" s="110" t="s">
        <v>485</v>
      </c>
      <c r="S2552" s="94"/>
    </row>
    <row r="2553" spans="1:19" hidden="1">
      <c r="A2553" s="103" t="s">
        <v>4424</v>
      </c>
      <c r="B2553" s="138" t="str">
        <f ca="1"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 ca="1">IF(Proc[[#This Row],[type]]="LFF (MDG-F)",MID(Proc[[#This Row],[Obj]],13,10),"")</f>
        <v>DE10538973</v>
      </c>
      <c r="I2553" s="103" t="s">
        <v>4786</v>
      </c>
      <c r="J2553" s="94" t="b">
        <f ca="1">Proc[[#This Row],[Requested]]=Proc[[#This Row],[CurrentParent]]</f>
        <v>1</v>
      </c>
      <c r="K2553" s="94" t="str">
        <f ca="1"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48</v>
      </c>
      <c r="R2553" s="110" t="s">
        <v>485</v>
      </c>
      <c r="S2553" s="94"/>
    </row>
    <row r="2554" spans="1:19" hidden="1">
      <c r="A2554" s="103" t="s">
        <v>4424</v>
      </c>
      <c r="B2554" s="138" t="str">
        <f ca="1"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 ca="1">IF(Proc[[#This Row],[type]]="LFF (MDG-F)",MID(Proc[[#This Row],[Obj]],13,10),"")</f>
        <v>DE10538974</v>
      </c>
      <c r="I2554" s="103" t="s">
        <v>4786</v>
      </c>
      <c r="J2554" s="94" t="b">
        <f ca="1">Proc[[#This Row],[Requested]]=Proc[[#This Row],[CurrentParent]]</f>
        <v>1</v>
      </c>
      <c r="K2554" s="94" t="str">
        <f ca="1"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48</v>
      </c>
      <c r="R2554" s="110" t="s">
        <v>485</v>
      </c>
      <c r="S2554" s="94"/>
    </row>
    <row r="2555" spans="1:19" hidden="1">
      <c r="A2555" s="103" t="s">
        <v>4424</v>
      </c>
      <c r="B2555" s="138" t="str">
        <f ca="1"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 ca="1">IF(Proc[[#This Row],[type]]="LFF (MDG-F)",MID(Proc[[#This Row],[Obj]],13,10),"")</f>
        <v>DE10538975</v>
      </c>
      <c r="I2555" s="103" t="s">
        <v>4786</v>
      </c>
      <c r="J2555" s="94" t="b">
        <f ca="1">Proc[[#This Row],[Requested]]=Proc[[#This Row],[CurrentParent]]</f>
        <v>1</v>
      </c>
      <c r="K2555" s="94" t="str">
        <f ca="1"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48</v>
      </c>
      <c r="R2555" s="110" t="s">
        <v>485</v>
      </c>
      <c r="S2555" s="94"/>
    </row>
    <row r="2556" spans="1:19" hidden="1">
      <c r="A2556" s="103" t="s">
        <v>4424</v>
      </c>
      <c r="B2556" s="138" t="str">
        <f ca="1"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 ca="1">IF(Proc[[#This Row],[type]]="LFF (MDG-F)",MID(Proc[[#This Row],[Obj]],13,10),"")</f>
        <v>DE10538977</v>
      </c>
      <c r="I2556" s="103" t="s">
        <v>4786</v>
      </c>
      <c r="J2556" s="94" t="b">
        <f ca="1">Proc[[#This Row],[Requested]]=Proc[[#This Row],[CurrentParent]]</f>
        <v>1</v>
      </c>
      <c r="K2556" s="94" t="str">
        <f ca="1"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48</v>
      </c>
      <c r="R2556" s="110" t="s">
        <v>485</v>
      </c>
      <c r="S2556" s="94"/>
    </row>
    <row r="2557" spans="1:19" hidden="1">
      <c r="A2557" s="103" t="s">
        <v>4424</v>
      </c>
      <c r="B2557" s="138" t="str">
        <f ca="1"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 ca="1">IF(Proc[[#This Row],[type]]="LFF (MDG-F)",MID(Proc[[#This Row],[Obj]],13,10),"")</f>
        <v>DE10538979</v>
      </c>
      <c r="I2557" s="103" t="s">
        <v>4786</v>
      </c>
      <c r="J2557" s="94" t="b">
        <f ca="1">Proc[[#This Row],[Requested]]=Proc[[#This Row],[CurrentParent]]</f>
        <v>1</v>
      </c>
      <c r="K2557" s="94" t="str">
        <f ca="1"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48</v>
      </c>
      <c r="R2557" s="110" t="s">
        <v>485</v>
      </c>
      <c r="S2557" s="94"/>
    </row>
    <row r="2558" spans="1:19" hidden="1">
      <c r="A2558" s="103" t="s">
        <v>4424</v>
      </c>
      <c r="B2558" s="138" t="str">
        <f ca="1"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 ca="1">IF(Proc[[#This Row],[type]]="LFF (MDG-F)",MID(Proc[[#This Row],[Obj]],13,10),"")</f>
        <v>DE10538980</v>
      </c>
      <c r="I2558" s="103" t="s">
        <v>4786</v>
      </c>
      <c r="J2558" s="94" t="b">
        <f ca="1">Proc[[#This Row],[Requested]]=Proc[[#This Row],[CurrentParent]]</f>
        <v>1</v>
      </c>
      <c r="K2558" s="94" t="str">
        <f ca="1"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48</v>
      </c>
      <c r="R2558" s="110" t="s">
        <v>485</v>
      </c>
      <c r="S2558" s="94"/>
    </row>
    <row r="2559" spans="1:19" hidden="1">
      <c r="A2559" s="103" t="s">
        <v>4424</v>
      </c>
      <c r="B2559" s="138" t="str">
        <f ca="1"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 ca="1">IF(Proc[[#This Row],[type]]="LFF (MDG-F)",MID(Proc[[#This Row],[Obj]],13,10),"")</f>
        <v>DE10538982</v>
      </c>
      <c r="I2559" s="103" t="s">
        <v>4786</v>
      </c>
      <c r="J2559" s="94" t="b">
        <f ca="1">Proc[[#This Row],[Requested]]=Proc[[#This Row],[CurrentParent]]</f>
        <v>1</v>
      </c>
      <c r="K2559" s="94" t="str">
        <f ca="1"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48</v>
      </c>
      <c r="R2559" s="110" t="s">
        <v>485</v>
      </c>
      <c r="S2559" s="94"/>
    </row>
    <row r="2560" spans="1:19" hidden="1">
      <c r="A2560" s="103" t="s">
        <v>4424</v>
      </c>
      <c r="B2560" s="138" t="str">
        <f ca="1"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 ca="1">IF(Proc[[#This Row],[type]]="LFF (MDG-F)",MID(Proc[[#This Row],[Obj]],13,10),"")</f>
        <v>DE10538984</v>
      </c>
      <c r="I2560" s="103" t="s">
        <v>4786</v>
      </c>
      <c r="J2560" s="94" t="b">
        <f ca="1">Proc[[#This Row],[Requested]]=Proc[[#This Row],[CurrentParent]]</f>
        <v>1</v>
      </c>
      <c r="K2560" s="94" t="str">
        <f ca="1"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48</v>
      </c>
      <c r="R2560" s="110" t="s">
        <v>485</v>
      </c>
      <c r="S2560" s="94"/>
    </row>
    <row r="2561" spans="1:19" hidden="1">
      <c r="A2561" s="103" t="s">
        <v>4424</v>
      </c>
      <c r="B2561" s="138" t="str">
        <f ca="1"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 ca="1">IF(Proc[[#This Row],[type]]="LFF (MDG-F)",MID(Proc[[#This Row],[Obj]],13,10),"")</f>
        <v>DE10538985</v>
      </c>
      <c r="I2561" s="103" t="s">
        <v>4786</v>
      </c>
      <c r="J2561" s="94" t="b">
        <f ca="1">Proc[[#This Row],[Requested]]=Proc[[#This Row],[CurrentParent]]</f>
        <v>1</v>
      </c>
      <c r="K2561" s="94" t="str">
        <f ca="1"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48</v>
      </c>
      <c r="R2561" s="110" t="s">
        <v>485</v>
      </c>
      <c r="S2561" s="94"/>
    </row>
    <row r="2562" spans="1:19" hidden="1">
      <c r="A2562" s="103" t="s">
        <v>4424</v>
      </c>
      <c r="B2562" s="138" t="str">
        <f ca="1"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 ca="1">IF(Proc[[#This Row],[type]]="LFF (MDG-F)",MID(Proc[[#This Row],[Obj]],13,10),"")</f>
        <v>DE10538994</v>
      </c>
      <c r="I2562" s="103" t="s">
        <v>4786</v>
      </c>
      <c r="J2562" s="94" t="b">
        <f ca="1">Proc[[#This Row],[Requested]]=Proc[[#This Row],[CurrentParent]]</f>
        <v>1</v>
      </c>
      <c r="K2562" s="94" t="str">
        <f ca="1"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48</v>
      </c>
      <c r="R2562" s="110" t="s">
        <v>485</v>
      </c>
      <c r="S2562" s="94"/>
    </row>
    <row r="2563" spans="1:19" hidden="1">
      <c r="A2563" s="103" t="s">
        <v>4424</v>
      </c>
      <c r="B2563" s="138" t="str">
        <f ca="1"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 ca="1">IF(Proc[[#This Row],[type]]="LFF (MDG-F)",MID(Proc[[#This Row],[Obj]],13,10),"")</f>
        <v>DE10539930</v>
      </c>
      <c r="I2563" s="103" t="s">
        <v>4786</v>
      </c>
      <c r="J2563" s="94" t="b">
        <f ca="1">Proc[[#This Row],[Requested]]=Proc[[#This Row],[CurrentParent]]</f>
        <v>1</v>
      </c>
      <c r="K2563" s="94" t="str">
        <f ca="1"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48</v>
      </c>
      <c r="R2563" s="110" t="s">
        <v>485</v>
      </c>
      <c r="S2563" s="94"/>
    </row>
    <row r="2564" spans="1:19" hidden="1">
      <c r="A2564" s="103" t="s">
        <v>4424</v>
      </c>
      <c r="B2564" s="138" t="str">
        <f ca="1"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 ca="1">IF(Proc[[#This Row],[type]]="LFF (MDG-F)",MID(Proc[[#This Row],[Obj]],13,10),"")</f>
        <v>DE10539931</v>
      </c>
      <c r="I2564" s="103" t="s">
        <v>4786</v>
      </c>
      <c r="J2564" s="94" t="b">
        <f ca="1">Proc[[#This Row],[Requested]]=Proc[[#This Row],[CurrentParent]]</f>
        <v>1</v>
      </c>
      <c r="K2564" s="94" t="str">
        <f ca="1"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48</v>
      </c>
      <c r="R2564" s="110" t="s">
        <v>485</v>
      </c>
      <c r="S2564" s="94"/>
    </row>
    <row r="2565" spans="1:19" hidden="1">
      <c r="A2565" s="103" t="s">
        <v>4424</v>
      </c>
      <c r="B2565" s="138" t="str">
        <f ca="1"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 ca="1">IF(Proc[[#This Row],[type]]="LFF (MDG-F)",MID(Proc[[#This Row],[Obj]],13,10),"")</f>
        <v>DE10539932</v>
      </c>
      <c r="I2565" s="103" t="s">
        <v>4786</v>
      </c>
      <c r="J2565" s="94" t="b">
        <f ca="1">Proc[[#This Row],[Requested]]=Proc[[#This Row],[CurrentParent]]</f>
        <v>1</v>
      </c>
      <c r="K2565" s="94" t="str">
        <f ca="1"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48</v>
      </c>
      <c r="R2565" s="110" t="s">
        <v>485</v>
      </c>
      <c r="S2565" s="94"/>
    </row>
    <row r="2566" spans="1:19" hidden="1">
      <c r="A2566" s="103" t="s">
        <v>4424</v>
      </c>
      <c r="B2566" s="138" t="str">
        <f ca="1"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 ca="1">IF(Proc[[#This Row],[type]]="LFF (MDG-F)",MID(Proc[[#This Row],[Obj]],13,10),"")</f>
        <v>DE10539934</v>
      </c>
      <c r="I2566" s="103" t="s">
        <v>4786</v>
      </c>
      <c r="J2566" s="94" t="b">
        <f ca="1">Proc[[#This Row],[Requested]]=Proc[[#This Row],[CurrentParent]]</f>
        <v>1</v>
      </c>
      <c r="K2566" s="94" t="str">
        <f ca="1"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48</v>
      </c>
      <c r="R2566" s="110" t="s">
        <v>485</v>
      </c>
      <c r="S2566" s="94"/>
    </row>
    <row r="2567" spans="1:19" hidden="1">
      <c r="A2567" s="103" t="s">
        <v>4424</v>
      </c>
      <c r="B2567" s="138" t="str">
        <f ca="1"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 ca="1">IF(Proc[[#This Row],[type]]="LFF (MDG-F)",MID(Proc[[#This Row],[Obj]],13,10),"")</f>
        <v>DE10539935</v>
      </c>
      <c r="I2567" s="103" t="s">
        <v>4786</v>
      </c>
      <c r="J2567" s="94" t="b">
        <f ca="1">Proc[[#This Row],[Requested]]=Proc[[#This Row],[CurrentParent]]</f>
        <v>1</v>
      </c>
      <c r="K2567" s="94" t="str">
        <f ca="1"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48</v>
      </c>
      <c r="R2567" s="110" t="s">
        <v>485</v>
      </c>
      <c r="S2567" s="94"/>
    </row>
    <row r="2568" spans="1:19" hidden="1">
      <c r="A2568" s="103" t="s">
        <v>4424</v>
      </c>
      <c r="B2568" s="138" t="str">
        <f ca="1"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 ca="1">IF(Proc[[#This Row],[type]]="LFF (MDG-F)",MID(Proc[[#This Row],[Obj]],13,10),"")</f>
        <v>DE10539936</v>
      </c>
      <c r="I2568" s="103" t="s">
        <v>4786</v>
      </c>
      <c r="J2568" s="94" t="b">
        <f ca="1">Proc[[#This Row],[Requested]]=Proc[[#This Row],[CurrentParent]]</f>
        <v>1</v>
      </c>
      <c r="K2568" s="94" t="str">
        <f ca="1"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48</v>
      </c>
      <c r="R2568" s="110" t="s">
        <v>485</v>
      </c>
      <c r="S2568" s="94"/>
    </row>
    <row r="2569" spans="1:19" hidden="1">
      <c r="A2569" s="103" t="s">
        <v>4424</v>
      </c>
      <c r="B2569" s="138" t="str">
        <f ca="1"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 ca="1">IF(Proc[[#This Row],[type]]="LFF (MDG-F)",MID(Proc[[#This Row],[Obj]],13,10),"")</f>
        <v>DE10539937</v>
      </c>
      <c r="I2569" s="103" t="s">
        <v>4786</v>
      </c>
      <c r="J2569" s="94" t="b">
        <f ca="1">Proc[[#This Row],[Requested]]=Proc[[#This Row],[CurrentParent]]</f>
        <v>1</v>
      </c>
      <c r="K2569" s="94" t="str">
        <f ca="1"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48</v>
      </c>
      <c r="R2569" s="110" t="s">
        <v>485</v>
      </c>
      <c r="S2569" s="94"/>
    </row>
    <row r="2570" spans="1:19" hidden="1">
      <c r="A2570" s="103" t="s">
        <v>4424</v>
      </c>
      <c r="B2570" s="138" t="str">
        <f ca="1"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 ca="1">IF(Proc[[#This Row],[type]]="LFF (MDG-F)",MID(Proc[[#This Row],[Obj]],13,10),"")</f>
        <v>DE10539938</v>
      </c>
      <c r="I2570" s="103" t="s">
        <v>4786</v>
      </c>
      <c r="J2570" s="94" t="b">
        <f ca="1">Proc[[#This Row],[Requested]]=Proc[[#This Row],[CurrentParent]]</f>
        <v>1</v>
      </c>
      <c r="K2570" s="94" t="str">
        <f ca="1"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48</v>
      </c>
      <c r="R2570" s="110" t="s">
        <v>485</v>
      </c>
      <c r="S2570" s="94"/>
    </row>
    <row r="2571" spans="1:19" hidden="1">
      <c r="A2571" s="103" t="s">
        <v>4424</v>
      </c>
      <c r="B2571" s="138" t="str">
        <f ca="1"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 ca="1">IF(Proc[[#This Row],[type]]="LFF (MDG-F)",MID(Proc[[#This Row],[Obj]],13,10),"")</f>
        <v>DE10539939</v>
      </c>
      <c r="I2571" s="103" t="s">
        <v>4786</v>
      </c>
      <c r="J2571" s="94" t="b">
        <f ca="1">Proc[[#This Row],[Requested]]=Proc[[#This Row],[CurrentParent]]</f>
        <v>1</v>
      </c>
      <c r="K2571" s="94" t="str">
        <f ca="1"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48</v>
      </c>
      <c r="R2571" s="110" t="s">
        <v>485</v>
      </c>
      <c r="S2571" s="94"/>
    </row>
    <row r="2572" spans="1:19" hidden="1">
      <c r="A2572" s="103" t="s">
        <v>4424</v>
      </c>
      <c r="B2572" s="138" t="str">
        <f ca="1"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 ca="1">IF(Proc[[#This Row],[type]]="LFF (MDG-F)",MID(Proc[[#This Row],[Obj]],13,10),"")</f>
        <v>DE10539940</v>
      </c>
      <c r="I2572" s="103" t="s">
        <v>4786</v>
      </c>
      <c r="J2572" s="94" t="b">
        <f ca="1">Proc[[#This Row],[Requested]]=Proc[[#This Row],[CurrentParent]]</f>
        <v>1</v>
      </c>
      <c r="K2572" s="94" t="str">
        <f ca="1"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48</v>
      </c>
      <c r="R2572" s="110" t="s">
        <v>485</v>
      </c>
      <c r="S2572" s="94"/>
    </row>
    <row r="2573" spans="1:19" hidden="1">
      <c r="A2573" s="103" t="s">
        <v>4424</v>
      </c>
      <c r="B2573" s="138" t="str">
        <f ca="1"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 ca="1">IF(Proc[[#This Row],[type]]="LFF (MDG-F)",MID(Proc[[#This Row],[Obj]],13,10),"")</f>
        <v>DE10539941</v>
      </c>
      <c r="I2573" s="103" t="s">
        <v>4786</v>
      </c>
      <c r="J2573" s="94" t="b">
        <f ca="1">Proc[[#This Row],[Requested]]=Proc[[#This Row],[CurrentParent]]</f>
        <v>1</v>
      </c>
      <c r="K2573" s="94" t="str">
        <f ca="1"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48</v>
      </c>
      <c r="R2573" s="110" t="s">
        <v>485</v>
      </c>
      <c r="S2573" s="94"/>
    </row>
    <row r="2574" spans="1:19" hidden="1">
      <c r="A2574" s="103" t="s">
        <v>4424</v>
      </c>
      <c r="B2574" s="138" t="str">
        <f ca="1"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 ca="1">IF(Proc[[#This Row],[type]]="LFF (MDG-F)",MID(Proc[[#This Row],[Obj]],13,10),"")</f>
        <v>DE10539942</v>
      </c>
      <c r="I2574" s="103" t="s">
        <v>4786</v>
      </c>
      <c r="J2574" s="94" t="b">
        <f ca="1">Proc[[#This Row],[Requested]]=Proc[[#This Row],[CurrentParent]]</f>
        <v>1</v>
      </c>
      <c r="K2574" s="94" t="str">
        <f ca="1"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48</v>
      </c>
      <c r="R2574" s="110" t="s">
        <v>485</v>
      </c>
      <c r="S2574" s="94"/>
    </row>
    <row r="2575" spans="1:19" hidden="1">
      <c r="A2575" s="103" t="s">
        <v>4424</v>
      </c>
      <c r="B2575" s="138" t="str">
        <f ca="1"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 ca="1">IF(Proc[[#This Row],[type]]="LFF (MDG-F)",MID(Proc[[#This Row],[Obj]],13,10),"")</f>
        <v>DE10539943</v>
      </c>
      <c r="I2575" s="103" t="s">
        <v>4786</v>
      </c>
      <c r="J2575" s="94" t="b">
        <f ca="1">Proc[[#This Row],[Requested]]=Proc[[#This Row],[CurrentParent]]</f>
        <v>1</v>
      </c>
      <c r="K2575" s="94" t="str">
        <f ca="1"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48</v>
      </c>
      <c r="R2575" s="110" t="s">
        <v>485</v>
      </c>
      <c r="S2575" s="94"/>
    </row>
    <row r="2576" spans="1:19" hidden="1">
      <c r="A2576" s="103" t="s">
        <v>4424</v>
      </c>
      <c r="B2576" s="138" t="str">
        <f ca="1"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 ca="1">IF(Proc[[#This Row],[type]]="LFF (MDG-F)",MID(Proc[[#This Row],[Obj]],13,10),"")</f>
        <v>DE10539944</v>
      </c>
      <c r="I2576" s="103" t="s">
        <v>4786</v>
      </c>
      <c r="J2576" s="94" t="b">
        <f ca="1">Proc[[#This Row],[Requested]]=Proc[[#This Row],[CurrentParent]]</f>
        <v>1</v>
      </c>
      <c r="K2576" s="94" t="str">
        <f ca="1"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48</v>
      </c>
      <c r="R2576" s="110" t="s">
        <v>485</v>
      </c>
      <c r="S2576" s="94"/>
    </row>
    <row r="2577" spans="1:19" hidden="1">
      <c r="A2577" s="103" t="s">
        <v>4424</v>
      </c>
      <c r="B2577" s="138" t="str">
        <f ca="1"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 ca="1">IF(Proc[[#This Row],[type]]="LFF (MDG-F)",MID(Proc[[#This Row],[Obj]],13,10),"")</f>
        <v>DE10539995</v>
      </c>
      <c r="I2577" s="103" t="s">
        <v>4786</v>
      </c>
      <c r="J2577" s="94" t="b">
        <f ca="1">Proc[[#This Row],[Requested]]=Proc[[#This Row],[CurrentParent]]</f>
        <v>1</v>
      </c>
      <c r="K2577" s="94" t="str">
        <f ca="1"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48</v>
      </c>
      <c r="R2577" s="110" t="s">
        <v>485</v>
      </c>
      <c r="S2577" s="94"/>
    </row>
    <row r="2578" spans="1:19" hidden="1">
      <c r="A2578" s="103" t="s">
        <v>4424</v>
      </c>
      <c r="B2578" s="138" t="str">
        <f ca="1"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 ca="1">IF(Proc[[#This Row],[type]]="LFF (MDG-F)",MID(Proc[[#This Row],[Obj]],13,10),"")</f>
        <v>DE10538103</v>
      </c>
      <c r="I2578" s="103" t="s">
        <v>4786</v>
      </c>
      <c r="J2578" s="94" t="b">
        <f ca="1">Proc[[#This Row],[Requested]]=Proc[[#This Row],[CurrentParent]]</f>
        <v>1</v>
      </c>
      <c r="K2578" s="94" t="str">
        <f ca="1"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48</v>
      </c>
      <c r="R2578" s="110" t="s">
        <v>485</v>
      </c>
      <c r="S2578" s="94"/>
    </row>
    <row r="2579" spans="1:19" hidden="1">
      <c r="A2579" s="103" t="s">
        <v>4424</v>
      </c>
      <c r="B2579" s="138" t="str">
        <f ca="1"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 ca="1">IF(Proc[[#This Row],[type]]="LFF (MDG-F)",MID(Proc[[#This Row],[Obj]],13,10),"")</f>
        <v>DE10538108</v>
      </c>
      <c r="I2579" s="103" t="s">
        <v>4786</v>
      </c>
      <c r="J2579" s="94" t="b">
        <f ca="1">Proc[[#This Row],[Requested]]=Proc[[#This Row],[CurrentParent]]</f>
        <v>1</v>
      </c>
      <c r="K2579" s="94" t="str">
        <f ca="1"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48</v>
      </c>
      <c r="R2579" s="110" t="s">
        <v>485</v>
      </c>
      <c r="S2579" s="94"/>
    </row>
    <row r="2580" spans="1:19" hidden="1">
      <c r="A2580" s="103" t="s">
        <v>4424</v>
      </c>
      <c r="B2580" s="138" t="str">
        <f ca="1"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 ca="1">IF(Proc[[#This Row],[type]]="LFF (MDG-F)",MID(Proc[[#This Row],[Obj]],13,10),"")</f>
        <v>DE10538110</v>
      </c>
      <c r="I2580" s="103" t="s">
        <v>4786</v>
      </c>
      <c r="J2580" s="94" t="b">
        <f ca="1">Proc[[#This Row],[Requested]]=Proc[[#This Row],[CurrentParent]]</f>
        <v>1</v>
      </c>
      <c r="K2580" s="94" t="str">
        <f ca="1"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48</v>
      </c>
      <c r="R2580" s="110" t="s">
        <v>485</v>
      </c>
      <c r="S2580" s="94"/>
    </row>
    <row r="2581" spans="1:19" hidden="1">
      <c r="A2581" s="103" t="s">
        <v>4424</v>
      </c>
      <c r="B2581" s="138" t="str">
        <f ca="1"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 ca="1">IF(Proc[[#This Row],[type]]="LFF (MDG-F)",MID(Proc[[#This Row],[Obj]],13,10),"")</f>
        <v>DE10538111</v>
      </c>
      <c r="I2581" s="103" t="s">
        <v>4786</v>
      </c>
      <c r="J2581" s="94" t="b">
        <f ca="1">Proc[[#This Row],[Requested]]=Proc[[#This Row],[CurrentParent]]</f>
        <v>1</v>
      </c>
      <c r="K2581" s="94" t="str">
        <f ca="1"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48</v>
      </c>
      <c r="R2581" s="110" t="s">
        <v>485</v>
      </c>
      <c r="S2581" s="94"/>
    </row>
    <row r="2582" spans="1:19" hidden="1">
      <c r="A2582" s="103" t="s">
        <v>4424</v>
      </c>
      <c r="B2582" s="138" t="str">
        <f ca="1"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 ca="1">IF(Proc[[#This Row],[type]]="LFF (MDG-F)",MID(Proc[[#This Row],[Obj]],13,10),"")</f>
        <v>DE10538112</v>
      </c>
      <c r="I2582" s="103" t="s">
        <v>4786</v>
      </c>
      <c r="J2582" s="94" t="b">
        <f ca="1">Proc[[#This Row],[Requested]]=Proc[[#This Row],[CurrentParent]]</f>
        <v>1</v>
      </c>
      <c r="K2582" s="94" t="str">
        <f ca="1"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48</v>
      </c>
      <c r="R2582" s="110" t="s">
        <v>485</v>
      </c>
      <c r="S2582" s="94"/>
    </row>
    <row r="2583" spans="1:19" hidden="1">
      <c r="A2583" s="103" t="s">
        <v>4424</v>
      </c>
      <c r="B2583" s="138" t="str">
        <f ca="1"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 ca="1">IF(Proc[[#This Row],[type]]="LFF (MDG-F)",MID(Proc[[#This Row],[Obj]],13,10),"")</f>
        <v>DE10538113</v>
      </c>
      <c r="I2583" s="103" t="s">
        <v>4786</v>
      </c>
      <c r="J2583" s="94" t="b">
        <f ca="1">Proc[[#This Row],[Requested]]=Proc[[#This Row],[CurrentParent]]</f>
        <v>1</v>
      </c>
      <c r="K2583" s="94" t="str">
        <f ca="1"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48</v>
      </c>
      <c r="R2583" s="110" t="s">
        <v>485</v>
      </c>
      <c r="S2583" s="94"/>
    </row>
    <row r="2584" spans="1:19" hidden="1">
      <c r="A2584" s="103" t="s">
        <v>4424</v>
      </c>
      <c r="B2584" s="138" t="str">
        <f ca="1"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 ca="1">IF(Proc[[#This Row],[type]]="LFF (MDG-F)",MID(Proc[[#This Row],[Obj]],13,10),"")</f>
        <v>DE10538114</v>
      </c>
      <c r="I2584" s="103" t="s">
        <v>4786</v>
      </c>
      <c r="J2584" s="94" t="b">
        <f ca="1">Proc[[#This Row],[Requested]]=Proc[[#This Row],[CurrentParent]]</f>
        <v>1</v>
      </c>
      <c r="K2584" s="94" t="str">
        <f ca="1"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48</v>
      </c>
      <c r="R2584" s="110" t="s">
        <v>485</v>
      </c>
      <c r="S2584" s="94"/>
    </row>
    <row r="2585" spans="1:19" hidden="1">
      <c r="A2585" s="103" t="s">
        <v>4424</v>
      </c>
      <c r="B2585" s="138" t="str">
        <f ca="1"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 ca="1">IF(Proc[[#This Row],[type]]="LFF (MDG-F)",MID(Proc[[#This Row],[Obj]],13,10),"")</f>
        <v>DE10538115</v>
      </c>
      <c r="I2585" s="103" t="s">
        <v>4786</v>
      </c>
      <c r="J2585" s="94" t="b">
        <f ca="1">Proc[[#This Row],[Requested]]=Proc[[#This Row],[CurrentParent]]</f>
        <v>1</v>
      </c>
      <c r="K2585" s="94" t="str">
        <f ca="1"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48</v>
      </c>
      <c r="R2585" s="110" t="s">
        <v>485</v>
      </c>
      <c r="S2585" s="94"/>
    </row>
    <row r="2586" spans="1:19" hidden="1">
      <c r="A2586" s="103" t="s">
        <v>4424</v>
      </c>
      <c r="B2586" s="138" t="str">
        <f ca="1"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 ca="1">IF(Proc[[#This Row],[type]]="LFF (MDG-F)",MID(Proc[[#This Row],[Obj]],13,10),"")</f>
        <v>DE10538117</v>
      </c>
      <c r="I2586" s="103" t="s">
        <v>4786</v>
      </c>
      <c r="J2586" s="94" t="b">
        <f ca="1">Proc[[#This Row],[Requested]]=Proc[[#This Row],[CurrentParent]]</f>
        <v>1</v>
      </c>
      <c r="K2586" s="94" t="str">
        <f ca="1"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48</v>
      </c>
      <c r="R2586" s="110" t="s">
        <v>485</v>
      </c>
      <c r="S2586" s="94"/>
    </row>
    <row r="2587" spans="1:19" hidden="1">
      <c r="A2587" s="103" t="s">
        <v>4424</v>
      </c>
      <c r="B2587" s="138" t="str">
        <f ca="1"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 ca="1">IF(Proc[[#This Row],[type]]="LFF (MDG-F)",MID(Proc[[#This Row],[Obj]],13,10),"")</f>
        <v>DE10538119</v>
      </c>
      <c r="I2587" s="103" t="s">
        <v>4786</v>
      </c>
      <c r="J2587" s="94" t="b">
        <f ca="1">Proc[[#This Row],[Requested]]=Proc[[#This Row],[CurrentParent]]</f>
        <v>1</v>
      </c>
      <c r="K2587" s="94" t="str">
        <f ca="1"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48</v>
      </c>
      <c r="R2587" s="110" t="s">
        <v>485</v>
      </c>
      <c r="S2587" s="94"/>
    </row>
    <row r="2588" spans="1:19" hidden="1">
      <c r="A2588" s="103" t="s">
        <v>4424</v>
      </c>
      <c r="B2588" s="138" t="str">
        <f ca="1"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 ca="1">IF(Proc[[#This Row],[type]]="LFF (MDG-F)",MID(Proc[[#This Row],[Obj]],13,10),"")</f>
        <v>DE10538120</v>
      </c>
      <c r="I2588" s="103" t="s">
        <v>4786</v>
      </c>
      <c r="J2588" s="94" t="b">
        <f ca="1">Proc[[#This Row],[Requested]]=Proc[[#This Row],[CurrentParent]]</f>
        <v>1</v>
      </c>
      <c r="K2588" s="94" t="str">
        <f ca="1"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48</v>
      </c>
      <c r="R2588" s="110" t="s">
        <v>485</v>
      </c>
      <c r="S2588" s="94"/>
    </row>
    <row r="2589" spans="1:19" hidden="1">
      <c r="A2589" s="103" t="s">
        <v>4424</v>
      </c>
      <c r="B2589" s="138" t="str">
        <f ca="1"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 ca="1">IF(Proc[[#This Row],[type]]="LFF (MDG-F)",MID(Proc[[#This Row],[Obj]],13,10),"")</f>
        <v>DE10538121</v>
      </c>
      <c r="I2589" s="103" t="s">
        <v>4786</v>
      </c>
      <c r="J2589" s="94" t="b">
        <f ca="1">Proc[[#This Row],[Requested]]=Proc[[#This Row],[CurrentParent]]</f>
        <v>1</v>
      </c>
      <c r="K2589" s="94" t="str">
        <f ca="1"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48</v>
      </c>
      <c r="R2589" s="110" t="s">
        <v>485</v>
      </c>
      <c r="S2589" s="94"/>
    </row>
    <row r="2590" spans="1:19" hidden="1">
      <c r="A2590" s="103" t="s">
        <v>4424</v>
      </c>
      <c r="B2590" s="138" t="str">
        <f ca="1"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 ca="1">IF(Proc[[#This Row],[type]]="LFF (MDG-F)",MID(Proc[[#This Row],[Obj]],13,10),"")</f>
        <v>DE10538122</v>
      </c>
      <c r="I2590" s="103" t="s">
        <v>4786</v>
      </c>
      <c r="J2590" s="94" t="b">
        <f ca="1">Proc[[#This Row],[Requested]]=Proc[[#This Row],[CurrentParent]]</f>
        <v>1</v>
      </c>
      <c r="K2590" s="94" t="str">
        <f ca="1"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48</v>
      </c>
      <c r="R2590" s="110" t="s">
        <v>485</v>
      </c>
      <c r="S2590" s="94"/>
    </row>
    <row r="2591" spans="1:19" hidden="1">
      <c r="A2591" s="103" t="s">
        <v>4424</v>
      </c>
      <c r="B2591" s="138" t="str">
        <f ca="1"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 ca="1">IF(Proc[[#This Row],[type]]="LFF (MDG-F)",MID(Proc[[#This Row],[Obj]],13,10),"")</f>
        <v>DE10538124</v>
      </c>
      <c r="I2591" s="103" t="s">
        <v>4786</v>
      </c>
      <c r="J2591" s="94" t="b">
        <f ca="1">Proc[[#This Row],[Requested]]=Proc[[#This Row],[CurrentParent]]</f>
        <v>1</v>
      </c>
      <c r="K2591" s="94" t="str">
        <f ca="1"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48</v>
      </c>
      <c r="R2591" s="110" t="s">
        <v>485</v>
      </c>
      <c r="S2591" s="94"/>
    </row>
    <row r="2592" spans="1:19" hidden="1">
      <c r="A2592" s="103" t="s">
        <v>4424</v>
      </c>
      <c r="B2592" s="138" t="str">
        <f ca="1"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 ca="1">IF(Proc[[#This Row],[type]]="LFF (MDG-F)",MID(Proc[[#This Row],[Obj]],13,10),"")</f>
        <v>DE10538129</v>
      </c>
      <c r="I2592" s="103" t="s">
        <v>4786</v>
      </c>
      <c r="J2592" s="94" t="b">
        <f ca="1">Proc[[#This Row],[Requested]]=Proc[[#This Row],[CurrentParent]]</f>
        <v>1</v>
      </c>
      <c r="K2592" s="94" t="str">
        <f ca="1"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48</v>
      </c>
      <c r="R2592" s="110" t="s">
        <v>485</v>
      </c>
      <c r="S2592" s="94"/>
    </row>
    <row r="2593" spans="1:19" hidden="1">
      <c r="A2593" s="103" t="s">
        <v>4424</v>
      </c>
      <c r="B2593" s="138" t="str">
        <f ca="1"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 ca="1">IF(Proc[[#This Row],[type]]="LFF (MDG-F)",MID(Proc[[#This Row],[Obj]],13,10),"")</f>
        <v>DE10538130</v>
      </c>
      <c r="I2593" s="103" t="s">
        <v>4786</v>
      </c>
      <c r="J2593" s="94" t="b">
        <f ca="1">Proc[[#This Row],[Requested]]=Proc[[#This Row],[CurrentParent]]</f>
        <v>1</v>
      </c>
      <c r="K2593" s="94" t="str">
        <f ca="1"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48</v>
      </c>
      <c r="R2593" s="110" t="s">
        <v>485</v>
      </c>
      <c r="S2593" s="94"/>
    </row>
    <row r="2594" spans="1:19" hidden="1">
      <c r="A2594" s="103" t="s">
        <v>4424</v>
      </c>
      <c r="B2594" s="138" t="str">
        <f ca="1"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 ca="1">IF(Proc[[#This Row],[type]]="LFF (MDG-F)",MID(Proc[[#This Row],[Obj]],13,10),"")</f>
        <v>DE10538131</v>
      </c>
      <c r="I2594" s="103" t="s">
        <v>4786</v>
      </c>
      <c r="J2594" s="94" t="b">
        <f ca="1">Proc[[#This Row],[Requested]]=Proc[[#This Row],[CurrentParent]]</f>
        <v>1</v>
      </c>
      <c r="K2594" s="94" t="str">
        <f ca="1"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48</v>
      </c>
      <c r="R2594" s="110" t="s">
        <v>485</v>
      </c>
      <c r="S2594" s="94"/>
    </row>
    <row r="2595" spans="1:19" hidden="1">
      <c r="A2595" s="103" t="s">
        <v>4424</v>
      </c>
      <c r="B2595" s="138" t="str">
        <f ca="1"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 ca="1">IF(Proc[[#This Row],[type]]="LFF (MDG-F)",MID(Proc[[#This Row],[Obj]],13,10),"")</f>
        <v>DE10538133</v>
      </c>
      <c r="I2595" s="103" t="s">
        <v>4786</v>
      </c>
      <c r="J2595" s="94" t="b">
        <f ca="1">Proc[[#This Row],[Requested]]=Proc[[#This Row],[CurrentParent]]</f>
        <v>1</v>
      </c>
      <c r="K2595" s="94" t="str">
        <f ca="1"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48</v>
      </c>
      <c r="R2595" s="110" t="s">
        <v>485</v>
      </c>
      <c r="S2595" s="94"/>
    </row>
    <row r="2596" spans="1:19" hidden="1">
      <c r="A2596" s="103" t="s">
        <v>4424</v>
      </c>
      <c r="B2596" s="138" t="str">
        <f ca="1"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 ca="1">IF(Proc[[#This Row],[type]]="LFF (MDG-F)",MID(Proc[[#This Row],[Obj]],13,10),"")</f>
        <v>DE10538134</v>
      </c>
      <c r="I2596" s="103" t="s">
        <v>4786</v>
      </c>
      <c r="J2596" s="94" t="b">
        <f ca="1">Proc[[#This Row],[Requested]]=Proc[[#This Row],[CurrentParent]]</f>
        <v>1</v>
      </c>
      <c r="K2596" s="94" t="str">
        <f ca="1"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48</v>
      </c>
      <c r="R2596" s="110" t="s">
        <v>485</v>
      </c>
      <c r="S2596" s="94"/>
    </row>
    <row r="2597" spans="1:19" hidden="1">
      <c r="A2597" s="103" t="s">
        <v>4424</v>
      </c>
      <c r="B2597" s="138" t="str">
        <f ca="1"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 ca="1">IF(Proc[[#This Row],[type]]="LFF (MDG-F)",MID(Proc[[#This Row],[Obj]],13,10),"")</f>
        <v>DE10538135</v>
      </c>
      <c r="I2597" s="103" t="s">
        <v>4786</v>
      </c>
      <c r="J2597" s="94" t="b">
        <f ca="1">Proc[[#This Row],[Requested]]=Proc[[#This Row],[CurrentParent]]</f>
        <v>1</v>
      </c>
      <c r="K2597" s="94" t="str">
        <f ca="1"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48</v>
      </c>
      <c r="R2597" s="110" t="s">
        <v>485</v>
      </c>
      <c r="S2597" s="94"/>
    </row>
    <row r="2598" spans="1:19" hidden="1">
      <c r="A2598" s="103" t="s">
        <v>4424</v>
      </c>
      <c r="B2598" s="138" t="str">
        <f ca="1"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 ca="1">IF(Proc[[#This Row],[type]]="LFF (MDG-F)",MID(Proc[[#This Row],[Obj]],13,10),"")</f>
        <v>DE10538138</v>
      </c>
      <c r="I2598" s="103" t="s">
        <v>4786</v>
      </c>
      <c r="J2598" s="94" t="b">
        <f ca="1">Proc[[#This Row],[Requested]]=Proc[[#This Row],[CurrentParent]]</f>
        <v>1</v>
      </c>
      <c r="K2598" s="94" t="str">
        <f ca="1"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48</v>
      </c>
      <c r="R2598" s="110" t="s">
        <v>485</v>
      </c>
      <c r="S2598" s="94"/>
    </row>
    <row r="2599" spans="1:19" hidden="1">
      <c r="A2599" s="103" t="s">
        <v>4424</v>
      </c>
      <c r="B2599" s="138" t="str">
        <f ca="1"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 ca="1">IF(Proc[[#This Row],[type]]="LFF (MDG-F)",MID(Proc[[#This Row],[Obj]],13,10),"")</f>
        <v>DE10538139</v>
      </c>
      <c r="I2599" s="103" t="s">
        <v>4786</v>
      </c>
      <c r="J2599" s="94" t="b">
        <f ca="1">Proc[[#This Row],[Requested]]=Proc[[#This Row],[CurrentParent]]</f>
        <v>1</v>
      </c>
      <c r="K2599" s="94" t="str">
        <f ca="1"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48</v>
      </c>
      <c r="R2599" s="110" t="s">
        <v>485</v>
      </c>
      <c r="S2599" s="94"/>
    </row>
    <row r="2600" spans="1:19" hidden="1">
      <c r="A2600" s="103" t="s">
        <v>4424</v>
      </c>
      <c r="B2600" s="138" t="str">
        <f ca="1"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 ca="1">IF(Proc[[#This Row],[type]]="LFF (MDG-F)",MID(Proc[[#This Row],[Obj]],13,10),"")</f>
        <v>DE10538142</v>
      </c>
      <c r="I2600" s="103" t="s">
        <v>4786</v>
      </c>
      <c r="J2600" s="94" t="b">
        <f ca="1">Proc[[#This Row],[Requested]]=Proc[[#This Row],[CurrentParent]]</f>
        <v>1</v>
      </c>
      <c r="K2600" s="94" t="str">
        <f ca="1"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48</v>
      </c>
      <c r="R2600" s="110" t="s">
        <v>485</v>
      </c>
      <c r="S2600" s="94"/>
    </row>
    <row r="2601" spans="1:19" hidden="1">
      <c r="A2601" s="103" t="s">
        <v>4424</v>
      </c>
      <c r="B2601" s="138" t="str">
        <f ca="1"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 ca="1">IF(Proc[[#This Row],[type]]="LFF (MDG-F)",MID(Proc[[#This Row],[Obj]],13,10),"")</f>
        <v>DE10538144</v>
      </c>
      <c r="I2601" s="103" t="s">
        <v>4786</v>
      </c>
      <c r="J2601" s="94" t="b">
        <f ca="1">Proc[[#This Row],[Requested]]=Proc[[#This Row],[CurrentParent]]</f>
        <v>1</v>
      </c>
      <c r="K2601" s="94" t="str">
        <f ca="1"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48</v>
      </c>
      <c r="R2601" s="110" t="s">
        <v>485</v>
      </c>
      <c r="S2601" s="94"/>
    </row>
    <row r="2602" spans="1:19" hidden="1">
      <c r="A2602" s="103" t="s">
        <v>4424</v>
      </c>
      <c r="B2602" s="138" t="str">
        <f ca="1"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 ca="1">IF(Proc[[#This Row],[type]]="LFF (MDG-F)",MID(Proc[[#This Row],[Obj]],13,10),"")</f>
        <v>DE10538161</v>
      </c>
      <c r="I2602" t="s">
        <v>4787</v>
      </c>
      <c r="J2602" s="94" t="b">
        <f ca="1">Proc[[#This Row],[Requested]]=Proc[[#This Row],[CurrentParent]]</f>
        <v>1</v>
      </c>
      <c r="K2602" s="94" t="str">
        <f ca="1"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48</v>
      </c>
      <c r="R2602" s="110" t="s">
        <v>485</v>
      </c>
      <c r="S2602" s="94"/>
    </row>
    <row r="2603" spans="1:19" hidden="1">
      <c r="A2603" s="103" t="s">
        <v>4424</v>
      </c>
      <c r="B2603" s="138" t="str">
        <f ca="1"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 ca="1">IF(Proc[[#This Row],[type]]="LFF (MDG-F)",MID(Proc[[#This Row],[Obj]],13,10),"")</f>
        <v>DE10538174</v>
      </c>
      <c r="I2603" s="103" t="s">
        <v>4787</v>
      </c>
      <c r="J2603" s="94" t="b">
        <f ca="1">Proc[[#This Row],[Requested]]=Proc[[#This Row],[CurrentParent]]</f>
        <v>1</v>
      </c>
      <c r="K2603" s="94" t="str">
        <f ca="1"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48</v>
      </c>
      <c r="R2603" s="110" t="s">
        <v>485</v>
      </c>
      <c r="S2603" s="94"/>
    </row>
    <row r="2604" spans="1:19" hidden="1">
      <c r="A2604" s="103" t="s">
        <v>4424</v>
      </c>
      <c r="B2604" s="138" t="str">
        <f ca="1"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 ca="1">IF(Proc[[#This Row],[type]]="LFF (MDG-F)",MID(Proc[[#This Row],[Obj]],13,10),"")</f>
        <v>DE10538178</v>
      </c>
      <c r="I2604" s="103" t="s">
        <v>4787</v>
      </c>
      <c r="J2604" s="94" t="b">
        <f ca="1">Proc[[#This Row],[Requested]]=Proc[[#This Row],[CurrentParent]]</f>
        <v>1</v>
      </c>
      <c r="K2604" s="94" t="str">
        <f ca="1"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48</v>
      </c>
      <c r="R2604" s="110" t="s">
        <v>485</v>
      </c>
      <c r="S2604" s="94"/>
    </row>
    <row r="2605" spans="1:19" hidden="1">
      <c r="A2605" s="103" t="s">
        <v>4424</v>
      </c>
      <c r="B2605" s="138" t="str">
        <f ca="1"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 ca="1">IF(Proc[[#This Row],[type]]="LFF (MDG-F)",MID(Proc[[#This Row],[Obj]],13,10),"")</f>
        <v>DE10538192</v>
      </c>
      <c r="I2605" s="103" t="s">
        <v>4787</v>
      </c>
      <c r="J2605" s="94" t="b">
        <f ca="1">Proc[[#This Row],[Requested]]=Proc[[#This Row],[CurrentParent]]</f>
        <v>1</v>
      </c>
      <c r="K2605" s="94" t="str">
        <f ca="1"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48</v>
      </c>
      <c r="R2605" s="110" t="s">
        <v>485</v>
      </c>
      <c r="S2605" s="94"/>
    </row>
    <row r="2606" spans="1:19" hidden="1">
      <c r="A2606" s="103" t="s">
        <v>4424</v>
      </c>
      <c r="B2606" s="138" t="str">
        <f ca="1"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 ca="1">IF(Proc[[#This Row],[type]]="LFF (MDG-F)",MID(Proc[[#This Row],[Obj]],13,10),"")</f>
        <v>DE10538397</v>
      </c>
      <c r="I2606" s="103" t="s">
        <v>4787</v>
      </c>
      <c r="J2606" s="94" t="b">
        <f ca="1">Proc[[#This Row],[Requested]]=Proc[[#This Row],[CurrentParent]]</f>
        <v>1</v>
      </c>
      <c r="K2606" s="94" t="str">
        <f ca="1"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48</v>
      </c>
      <c r="R2606" s="110" t="s">
        <v>485</v>
      </c>
      <c r="S2606" s="94"/>
    </row>
    <row r="2607" spans="1:19" hidden="1">
      <c r="A2607" s="103" t="s">
        <v>4424</v>
      </c>
      <c r="B2607" s="138" t="str">
        <f ca="1"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 ca="1">IF(Proc[[#This Row],[type]]="LFF (MDG-F)",MID(Proc[[#This Row],[Obj]],13,10),"")</f>
        <v>DE10538556</v>
      </c>
      <c r="I2607" s="103" t="s">
        <v>4787</v>
      </c>
      <c r="J2607" s="94" t="b">
        <f ca="1">Proc[[#This Row],[Requested]]=Proc[[#This Row],[CurrentParent]]</f>
        <v>1</v>
      </c>
      <c r="K2607" s="94" t="str">
        <f ca="1"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48</v>
      </c>
      <c r="R2607" s="110" t="s">
        <v>485</v>
      </c>
      <c r="S2607" s="94"/>
    </row>
    <row r="2608" spans="1:19" hidden="1">
      <c r="A2608" s="103" t="s">
        <v>4424</v>
      </c>
      <c r="B2608" s="138" t="str">
        <f ca="1"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 ca="1">IF(Proc[[#This Row],[type]]="LFF (MDG-F)",MID(Proc[[#This Row],[Obj]],13,10),"")</f>
        <v>DE10538654</v>
      </c>
      <c r="I2608" s="103" t="s">
        <v>4787</v>
      </c>
      <c r="J2608" s="94" t="b">
        <f ca="1">Proc[[#This Row],[Requested]]=Proc[[#This Row],[CurrentParent]]</f>
        <v>1</v>
      </c>
      <c r="K2608" s="94" t="str">
        <f ca="1"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48</v>
      </c>
      <c r="R2608" s="110" t="s">
        <v>485</v>
      </c>
      <c r="S2608" s="94"/>
    </row>
    <row r="2609" spans="1:19" hidden="1">
      <c r="A2609" s="103" t="s">
        <v>4424</v>
      </c>
      <c r="B2609" s="138" t="str">
        <f ca="1"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 ca="1">IF(Proc[[#This Row],[type]]="LFF (MDG-F)",MID(Proc[[#This Row],[Obj]],13,10),"")</f>
        <v>DE10579990</v>
      </c>
      <c r="I2609" s="103" t="s">
        <v>4787</v>
      </c>
      <c r="J2609" s="94" t="b">
        <f ca="1">Proc[[#This Row],[Requested]]=Proc[[#This Row],[CurrentParent]]</f>
        <v>1</v>
      </c>
      <c r="K2609" s="94" t="str">
        <f ca="1"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48</v>
      </c>
      <c r="R2609" s="110" t="s">
        <v>485</v>
      </c>
      <c r="S2609" s="94"/>
    </row>
    <row r="2610" spans="1:19" hidden="1">
      <c r="A2610" s="103" t="s">
        <v>4424</v>
      </c>
      <c r="B2610" s="138" t="str">
        <f ca="1"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 ca="1">IF(Proc[[#This Row],[type]]="LFF (MDG-F)",MID(Proc[[#This Row],[Obj]],13,10),"")</f>
        <v>DE10538107</v>
      </c>
      <c r="I2610" s="103" t="s">
        <v>4787</v>
      </c>
      <c r="J2610" s="94" t="b">
        <f ca="1">Proc[[#This Row],[Requested]]=Proc[[#This Row],[CurrentParent]]</f>
        <v>1</v>
      </c>
      <c r="K2610" s="94" t="str">
        <f ca="1"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48</v>
      </c>
      <c r="R2610" s="110" t="s">
        <v>485</v>
      </c>
      <c r="S2610" s="94"/>
    </row>
    <row r="2611" spans="1:19" hidden="1">
      <c r="A2611" s="103" t="s">
        <v>4424</v>
      </c>
      <c r="B2611" s="138" t="str">
        <f ca="1"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 ca="1">IF(Proc[[#This Row],[type]]="LFF (MDG-F)",MID(Proc[[#This Row],[Obj]],13,10),"")</f>
        <v>DE10538118</v>
      </c>
      <c r="I2611" s="103" t="s">
        <v>4787</v>
      </c>
      <c r="J2611" s="94" t="b">
        <f ca="1">Proc[[#This Row],[Requested]]=Proc[[#This Row],[CurrentParent]]</f>
        <v>1</v>
      </c>
      <c r="K2611" s="94" t="str">
        <f ca="1"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48</v>
      </c>
      <c r="R2611" s="110" t="s">
        <v>485</v>
      </c>
      <c r="S2611" s="94"/>
    </row>
    <row r="2612" spans="1:19" hidden="1">
      <c r="A2612" s="103" t="s">
        <v>4424</v>
      </c>
      <c r="B2612" s="138" t="str">
        <f ca="1"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 ca="1">IF(Proc[[#This Row],[type]]="LFF (MDG-F)",MID(Proc[[#This Row],[Obj]],13,10),"")</f>
        <v>DE10538136</v>
      </c>
      <c r="I2612" s="103" t="s">
        <v>4787</v>
      </c>
      <c r="J2612" s="94" t="b">
        <f ca="1">Proc[[#This Row],[Requested]]=Proc[[#This Row],[CurrentParent]]</f>
        <v>1</v>
      </c>
      <c r="K2612" s="94" t="str">
        <f ca="1"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48</v>
      </c>
      <c r="R2612" s="110" t="s">
        <v>485</v>
      </c>
      <c r="S2612" s="94"/>
    </row>
    <row r="2613" spans="1:19" hidden="1">
      <c r="A2613" s="103" t="s">
        <v>4424</v>
      </c>
      <c r="B2613" s="138" t="str">
        <f ca="1"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 ca="1">IF(Proc[[#This Row],[type]]="LFF (MDG-F)",MID(Proc[[#This Row],[Obj]],13,10),"")</f>
        <v>DE10538137</v>
      </c>
      <c r="I2613" s="103" t="s">
        <v>4787</v>
      </c>
      <c r="J2613" s="94" t="b">
        <f ca="1">Proc[[#This Row],[Requested]]=Proc[[#This Row],[CurrentParent]]</f>
        <v>1</v>
      </c>
      <c r="K2613" s="94" t="str">
        <f ca="1"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48</v>
      </c>
      <c r="R2613" s="110" t="s">
        <v>485</v>
      </c>
      <c r="S2613" s="94"/>
    </row>
    <row r="2614" spans="1:19" hidden="1">
      <c r="A2614" s="103" t="s">
        <v>4424</v>
      </c>
      <c r="B2614" s="138" t="str">
        <f ca="1"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 ca="1">IF(Proc[[#This Row],[type]]="LFF (MDG-F)",MID(Proc[[#This Row],[Obj]],13,10),"")</f>
        <v>DE10538141</v>
      </c>
      <c r="I2614" s="103" t="s">
        <v>4787</v>
      </c>
      <c r="J2614" s="94" t="b">
        <f ca="1">Proc[[#This Row],[Requested]]=Proc[[#This Row],[CurrentParent]]</f>
        <v>1</v>
      </c>
      <c r="K2614" s="94" t="str">
        <f ca="1"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48</v>
      </c>
      <c r="R2614" s="110" t="s">
        <v>485</v>
      </c>
      <c r="S2614" s="94"/>
    </row>
    <row r="2615" spans="1:19" hidden="1">
      <c r="A2615" s="103" t="s">
        <v>4424</v>
      </c>
      <c r="B2615" s="138" t="str">
        <f ca="1"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 ca="1">IF(Proc[[#This Row],[type]]="LFF (MDG-F)",MID(Proc[[#This Row],[Obj]],13,10),"")</f>
        <v>DE10538143</v>
      </c>
      <c r="I2615" s="103" t="s">
        <v>4787</v>
      </c>
      <c r="J2615" s="94" t="b">
        <f ca="1">Proc[[#This Row],[Requested]]=Proc[[#This Row],[CurrentParent]]</f>
        <v>1</v>
      </c>
      <c r="K2615" s="94" t="str">
        <f ca="1"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48</v>
      </c>
      <c r="R2615" s="110" t="s">
        <v>485</v>
      </c>
      <c r="S2615" s="94"/>
    </row>
    <row r="2616" spans="1:19" hidden="1">
      <c r="A2616" s="103" t="s">
        <v>4424</v>
      </c>
      <c r="B2616" s="138" t="str">
        <f ca="1"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 ca="1">IF(Proc[[#This Row],[type]]="LFF (MDG-F)",MID(Proc[[#This Row],[Obj]],13,10),"")</f>
        <v>DE10538147</v>
      </c>
      <c r="I2616" s="103" t="s">
        <v>4787</v>
      </c>
      <c r="J2616" s="94" t="b">
        <f ca="1">Proc[[#This Row],[Requested]]=Proc[[#This Row],[CurrentParent]]</f>
        <v>1</v>
      </c>
      <c r="K2616" s="94" t="str">
        <f ca="1"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48</v>
      </c>
      <c r="R2616" s="110" t="s">
        <v>485</v>
      </c>
      <c r="S2616" s="94"/>
    </row>
    <row r="2617" spans="1:19" hidden="1">
      <c r="A2617" s="103" t="s">
        <v>4424</v>
      </c>
      <c r="B2617" s="138" t="str">
        <f ca="1"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 ca="1">IF(Proc[[#This Row],[type]]="LFF (MDG-F)",MID(Proc[[#This Row],[Obj]],13,10),"")</f>
        <v>DE10538148</v>
      </c>
      <c r="I2617" s="103" t="s">
        <v>4787</v>
      </c>
      <c r="J2617" s="94" t="b">
        <f ca="1">Proc[[#This Row],[Requested]]=Proc[[#This Row],[CurrentParent]]</f>
        <v>1</v>
      </c>
      <c r="K2617" s="94" t="str">
        <f ca="1"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48</v>
      </c>
      <c r="R2617" s="110" t="s">
        <v>485</v>
      </c>
      <c r="S2617" s="94"/>
    </row>
    <row r="2618" spans="1:19" hidden="1">
      <c r="A2618" s="103" t="s">
        <v>4424</v>
      </c>
      <c r="B2618" s="138" t="str">
        <f ca="1"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 ca="1">IF(Proc[[#This Row],[type]]="LFF (MDG-F)",MID(Proc[[#This Row],[Obj]],13,10),"")</f>
        <v>DE10538151</v>
      </c>
      <c r="I2618" s="103" t="s">
        <v>4787</v>
      </c>
      <c r="J2618" s="94" t="b">
        <f ca="1">Proc[[#This Row],[Requested]]=Proc[[#This Row],[CurrentParent]]</f>
        <v>1</v>
      </c>
      <c r="K2618" s="94" t="str">
        <f ca="1"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48</v>
      </c>
      <c r="R2618" s="110" t="s">
        <v>485</v>
      </c>
      <c r="S2618" s="94"/>
    </row>
    <row r="2619" spans="1:19" hidden="1">
      <c r="A2619" s="103" t="s">
        <v>4424</v>
      </c>
      <c r="B2619" s="138" t="str">
        <f ca="1"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 ca="1">IF(Proc[[#This Row],[type]]="LFF (MDG-F)",MID(Proc[[#This Row],[Obj]],13,10),"")</f>
        <v>DE10538153</v>
      </c>
      <c r="I2619" s="103" t="s">
        <v>4787</v>
      </c>
      <c r="J2619" s="94" t="b">
        <f ca="1">Proc[[#This Row],[Requested]]=Proc[[#This Row],[CurrentParent]]</f>
        <v>1</v>
      </c>
      <c r="K2619" s="94" t="str">
        <f ca="1"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48</v>
      </c>
      <c r="R2619" s="110" t="s">
        <v>485</v>
      </c>
      <c r="S2619" s="94"/>
    </row>
    <row r="2620" spans="1:19" hidden="1">
      <c r="A2620" s="103" t="s">
        <v>4424</v>
      </c>
      <c r="B2620" s="138" t="str">
        <f ca="1"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 ca="1">IF(Proc[[#This Row],[type]]="LFF (MDG-F)",MID(Proc[[#This Row],[Obj]],13,10),"")</f>
        <v>DE10538160</v>
      </c>
      <c r="I2620" s="103" t="s">
        <v>4787</v>
      </c>
      <c r="J2620" s="94" t="b">
        <f ca="1">Proc[[#This Row],[Requested]]=Proc[[#This Row],[CurrentParent]]</f>
        <v>1</v>
      </c>
      <c r="K2620" s="94" t="str">
        <f ca="1"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48</v>
      </c>
      <c r="R2620" s="110" t="s">
        <v>485</v>
      </c>
      <c r="S2620" s="94"/>
    </row>
    <row r="2621" spans="1:19" hidden="1">
      <c r="A2621" s="103" t="s">
        <v>4424</v>
      </c>
      <c r="B2621" s="138" t="str">
        <f ca="1"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 ca="1">IF(Proc[[#This Row],[type]]="LFF (MDG-F)",MID(Proc[[#This Row],[Obj]],13,10),"")</f>
        <v>DE10538162</v>
      </c>
      <c r="I2621" s="103" t="s">
        <v>4787</v>
      </c>
      <c r="J2621" s="94" t="b">
        <f ca="1">Proc[[#This Row],[Requested]]=Proc[[#This Row],[CurrentParent]]</f>
        <v>1</v>
      </c>
      <c r="K2621" s="94" t="str">
        <f ca="1"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48</v>
      </c>
      <c r="R2621" s="110" t="s">
        <v>485</v>
      </c>
      <c r="S2621" s="94"/>
    </row>
    <row r="2622" spans="1:19" hidden="1">
      <c r="A2622" s="103" t="s">
        <v>4424</v>
      </c>
      <c r="B2622" s="138" t="str">
        <f ca="1"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 ca="1">IF(Proc[[#This Row],[type]]="LFF (MDG-F)",MID(Proc[[#This Row],[Obj]],13,10),"")</f>
        <v>DE10538163</v>
      </c>
      <c r="I2622" s="103" t="s">
        <v>4787</v>
      </c>
      <c r="J2622" s="94" t="b">
        <f ca="1">Proc[[#This Row],[Requested]]=Proc[[#This Row],[CurrentParent]]</f>
        <v>1</v>
      </c>
      <c r="K2622" s="94" t="str">
        <f ca="1"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48</v>
      </c>
      <c r="R2622" s="110" t="s">
        <v>485</v>
      </c>
      <c r="S2622" s="94"/>
    </row>
    <row r="2623" spans="1:19" hidden="1">
      <c r="A2623" s="103" t="s">
        <v>4424</v>
      </c>
      <c r="B2623" s="138" t="str">
        <f ca="1"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 ca="1">IF(Proc[[#This Row],[type]]="LFF (MDG-F)",MID(Proc[[#This Row],[Obj]],13,10),"")</f>
        <v>DE10538164</v>
      </c>
      <c r="I2623" s="103" t="s">
        <v>4787</v>
      </c>
      <c r="J2623" s="94" t="b">
        <f ca="1">Proc[[#This Row],[Requested]]=Proc[[#This Row],[CurrentParent]]</f>
        <v>1</v>
      </c>
      <c r="K2623" s="94" t="str">
        <f ca="1"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48</v>
      </c>
      <c r="R2623" s="110" t="s">
        <v>485</v>
      </c>
      <c r="S2623" s="94"/>
    </row>
    <row r="2624" spans="1:19" hidden="1">
      <c r="A2624" s="103" t="s">
        <v>4424</v>
      </c>
      <c r="B2624" s="138" t="str">
        <f ca="1"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 ca="1">IF(Proc[[#This Row],[type]]="LFF (MDG-F)",MID(Proc[[#This Row],[Obj]],13,10),"")</f>
        <v>DE10538166</v>
      </c>
      <c r="I2624" s="103" t="s">
        <v>4787</v>
      </c>
      <c r="J2624" s="94" t="b">
        <f ca="1">Proc[[#This Row],[Requested]]=Proc[[#This Row],[CurrentParent]]</f>
        <v>1</v>
      </c>
      <c r="K2624" s="94" t="str">
        <f ca="1"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48</v>
      </c>
      <c r="R2624" s="110" t="s">
        <v>485</v>
      </c>
      <c r="S2624" s="94"/>
    </row>
    <row r="2625" spans="1:19" hidden="1">
      <c r="A2625" s="103" t="s">
        <v>4424</v>
      </c>
      <c r="B2625" s="138" t="str">
        <f ca="1"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 ca="1">IF(Proc[[#This Row],[type]]="LFF (MDG-F)",MID(Proc[[#This Row],[Obj]],13,10),"")</f>
        <v>DE10538167</v>
      </c>
      <c r="I2625" s="103" t="s">
        <v>4787</v>
      </c>
      <c r="J2625" s="94" t="b">
        <f ca="1">Proc[[#This Row],[Requested]]=Proc[[#This Row],[CurrentParent]]</f>
        <v>1</v>
      </c>
      <c r="K2625" s="94" t="str">
        <f ca="1"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48</v>
      </c>
      <c r="R2625" s="110" t="s">
        <v>485</v>
      </c>
      <c r="S2625" s="94"/>
    </row>
    <row r="2626" spans="1:19" hidden="1">
      <c r="A2626" s="103" t="s">
        <v>4424</v>
      </c>
      <c r="B2626" s="138" t="str">
        <f ca="1"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 ca="1">IF(Proc[[#This Row],[type]]="LFF (MDG-F)",MID(Proc[[#This Row],[Obj]],13,10),"")</f>
        <v>DE10538168</v>
      </c>
      <c r="I2626" s="103" t="s">
        <v>4787</v>
      </c>
      <c r="J2626" s="94" t="b">
        <f ca="1">Proc[[#This Row],[Requested]]=Proc[[#This Row],[CurrentParent]]</f>
        <v>1</v>
      </c>
      <c r="K2626" s="94" t="str">
        <f ca="1"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48</v>
      </c>
      <c r="R2626" s="110" t="s">
        <v>485</v>
      </c>
      <c r="S2626" s="94"/>
    </row>
    <row r="2627" spans="1:19" hidden="1">
      <c r="A2627" s="103" t="s">
        <v>4424</v>
      </c>
      <c r="B2627" s="138" t="str">
        <f ca="1"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 ca="1">IF(Proc[[#This Row],[type]]="LFF (MDG-F)",MID(Proc[[#This Row],[Obj]],13,10),"")</f>
        <v>DE10538171</v>
      </c>
      <c r="I2627" s="103" t="s">
        <v>4787</v>
      </c>
      <c r="J2627" s="94" t="b">
        <f ca="1">Proc[[#This Row],[Requested]]=Proc[[#This Row],[CurrentParent]]</f>
        <v>1</v>
      </c>
      <c r="K2627" s="94" t="str">
        <f ca="1"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48</v>
      </c>
      <c r="R2627" s="110" t="s">
        <v>485</v>
      </c>
      <c r="S2627" s="94"/>
    </row>
    <row r="2628" spans="1:19" hidden="1">
      <c r="A2628" s="103" t="s">
        <v>4424</v>
      </c>
      <c r="B2628" s="138" t="str">
        <f ca="1"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 ca="1">IF(Proc[[#This Row],[type]]="LFF (MDG-F)",MID(Proc[[#This Row],[Obj]],13,10),"")</f>
        <v>DE10538175</v>
      </c>
      <c r="I2628" s="103" t="s">
        <v>4787</v>
      </c>
      <c r="J2628" s="94" t="b">
        <f ca="1">Proc[[#This Row],[Requested]]=Proc[[#This Row],[CurrentParent]]</f>
        <v>1</v>
      </c>
      <c r="K2628" s="94" t="str">
        <f ca="1"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48</v>
      </c>
      <c r="R2628" s="110" t="s">
        <v>485</v>
      </c>
      <c r="S2628" s="94"/>
    </row>
    <row r="2629" spans="1:19" hidden="1">
      <c r="A2629" s="103" t="s">
        <v>4424</v>
      </c>
      <c r="B2629" s="138" t="str">
        <f ca="1"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 ca="1">IF(Proc[[#This Row],[type]]="LFF (MDG-F)",MID(Proc[[#This Row],[Obj]],13,10),"")</f>
        <v>DE10538176</v>
      </c>
      <c r="I2629" s="103" t="s">
        <v>4787</v>
      </c>
      <c r="J2629" s="94" t="b">
        <f ca="1">Proc[[#This Row],[Requested]]=Proc[[#This Row],[CurrentParent]]</f>
        <v>1</v>
      </c>
      <c r="K2629" s="94" t="str">
        <f ca="1"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48</v>
      </c>
      <c r="R2629" s="110" t="s">
        <v>485</v>
      </c>
      <c r="S2629" s="94"/>
    </row>
    <row r="2630" spans="1:19" hidden="1">
      <c r="A2630" s="103" t="s">
        <v>4424</v>
      </c>
      <c r="B2630" s="138" t="str">
        <f ca="1"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 ca="1">IF(Proc[[#This Row],[type]]="LFF (MDG-F)",MID(Proc[[#This Row],[Obj]],13,10),"")</f>
        <v>DE10538177</v>
      </c>
      <c r="I2630" s="103" t="s">
        <v>4787</v>
      </c>
      <c r="J2630" s="94" t="b">
        <f ca="1">Proc[[#This Row],[Requested]]=Proc[[#This Row],[CurrentParent]]</f>
        <v>1</v>
      </c>
      <c r="K2630" s="94" t="str">
        <f ca="1"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48</v>
      </c>
      <c r="R2630" s="110" t="s">
        <v>485</v>
      </c>
      <c r="S2630" s="94"/>
    </row>
    <row r="2631" spans="1:19" hidden="1">
      <c r="A2631" s="103" t="s">
        <v>4424</v>
      </c>
      <c r="B2631" s="138" t="str">
        <f ca="1"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 ca="1">IF(Proc[[#This Row],[type]]="LFF (MDG-F)",MID(Proc[[#This Row],[Obj]],13,10),"")</f>
        <v>DE10538184</v>
      </c>
      <c r="I2631" s="103" t="s">
        <v>4787</v>
      </c>
      <c r="J2631" s="94" t="b">
        <f ca="1">Proc[[#This Row],[Requested]]=Proc[[#This Row],[CurrentParent]]</f>
        <v>1</v>
      </c>
      <c r="K2631" s="94" t="str">
        <f ca="1"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48</v>
      </c>
      <c r="R2631" s="110" t="s">
        <v>485</v>
      </c>
      <c r="S2631" s="94"/>
    </row>
    <row r="2632" spans="1:19" hidden="1">
      <c r="A2632" s="103" t="s">
        <v>4424</v>
      </c>
      <c r="B2632" s="138" t="str">
        <f ca="1"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 ca="1">IF(Proc[[#This Row],[type]]="LFF (MDG-F)",MID(Proc[[#This Row],[Obj]],13,10),"")</f>
        <v>DE10538185</v>
      </c>
      <c r="I2632" s="103" t="s">
        <v>4787</v>
      </c>
      <c r="J2632" s="94" t="b">
        <f ca="1">Proc[[#This Row],[Requested]]=Proc[[#This Row],[CurrentParent]]</f>
        <v>1</v>
      </c>
      <c r="K2632" s="94" t="str">
        <f ca="1"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48</v>
      </c>
      <c r="R2632" s="110" t="s">
        <v>485</v>
      </c>
      <c r="S2632" s="94"/>
    </row>
    <row r="2633" spans="1:19" hidden="1">
      <c r="A2633" s="103" t="s">
        <v>4424</v>
      </c>
      <c r="B2633" s="138" t="str">
        <f ca="1"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 ca="1">IF(Proc[[#This Row],[type]]="LFF (MDG-F)",MID(Proc[[#This Row],[Obj]],13,10),"")</f>
        <v>DE10538186</v>
      </c>
      <c r="I2633" s="103" t="s">
        <v>4787</v>
      </c>
      <c r="J2633" s="94" t="b">
        <f ca="1">Proc[[#This Row],[Requested]]=Proc[[#This Row],[CurrentParent]]</f>
        <v>1</v>
      </c>
      <c r="K2633" s="94" t="str">
        <f ca="1"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48</v>
      </c>
      <c r="R2633" s="110" t="s">
        <v>485</v>
      </c>
      <c r="S2633" s="94"/>
    </row>
    <row r="2634" spans="1:19" hidden="1">
      <c r="A2634" s="103" t="s">
        <v>4424</v>
      </c>
      <c r="B2634" s="138" t="str">
        <f ca="1"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 ca="1">IF(Proc[[#This Row],[type]]="LFF (MDG-F)",MID(Proc[[#This Row],[Obj]],13,10),"")</f>
        <v>DE10538193</v>
      </c>
      <c r="I2634" s="103" t="s">
        <v>4787</v>
      </c>
      <c r="J2634" s="94" t="b">
        <f ca="1">Proc[[#This Row],[Requested]]=Proc[[#This Row],[CurrentParent]]</f>
        <v>1</v>
      </c>
      <c r="K2634" s="94" t="str">
        <f ca="1"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48</v>
      </c>
      <c r="R2634" s="110" t="s">
        <v>485</v>
      </c>
      <c r="S2634" s="94"/>
    </row>
    <row r="2635" spans="1:19" hidden="1">
      <c r="A2635" s="103" t="s">
        <v>4424</v>
      </c>
      <c r="B2635" s="138" t="str">
        <f ca="1"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 ca="1">IF(Proc[[#This Row],[type]]="LFF (MDG-F)",MID(Proc[[#This Row],[Obj]],13,10),"")</f>
        <v>DE10538194</v>
      </c>
      <c r="I2635" s="103" t="s">
        <v>4787</v>
      </c>
      <c r="J2635" s="94" t="b">
        <f ca="1">Proc[[#This Row],[Requested]]=Proc[[#This Row],[CurrentParent]]</f>
        <v>1</v>
      </c>
      <c r="K2635" s="94" t="str">
        <f ca="1"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48</v>
      </c>
      <c r="R2635" s="110" t="s">
        <v>485</v>
      </c>
      <c r="S2635" s="94"/>
    </row>
    <row r="2636" spans="1:19" hidden="1">
      <c r="A2636" s="103" t="s">
        <v>4424</v>
      </c>
      <c r="B2636" s="138" t="str">
        <f ca="1"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 ca="1">IF(Proc[[#This Row],[type]]="LFF (MDG-F)",MID(Proc[[#This Row],[Obj]],13,10),"")</f>
        <v>DE10538195</v>
      </c>
      <c r="I2636" s="103" t="s">
        <v>4787</v>
      </c>
      <c r="J2636" s="94" t="b">
        <f ca="1">Proc[[#This Row],[Requested]]=Proc[[#This Row],[CurrentParent]]</f>
        <v>1</v>
      </c>
      <c r="K2636" s="94" t="str">
        <f ca="1"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48</v>
      </c>
      <c r="R2636" s="110" t="s">
        <v>485</v>
      </c>
      <c r="S2636" s="94"/>
    </row>
    <row r="2637" spans="1:19" hidden="1">
      <c r="A2637" s="103" t="s">
        <v>4424</v>
      </c>
      <c r="B2637" s="138" t="str">
        <f ca="1"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 ca="1">IF(Proc[[#This Row],[type]]="LFF (MDG-F)",MID(Proc[[#This Row],[Obj]],13,10),"")</f>
        <v>DE10538197</v>
      </c>
      <c r="I2637" s="103" t="s">
        <v>4787</v>
      </c>
      <c r="J2637" s="94" t="b">
        <f ca="1">Proc[[#This Row],[Requested]]=Proc[[#This Row],[CurrentParent]]</f>
        <v>1</v>
      </c>
      <c r="K2637" s="94" t="str">
        <f ca="1"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48</v>
      </c>
      <c r="R2637" s="110" t="s">
        <v>485</v>
      </c>
      <c r="S2637" s="94"/>
    </row>
    <row r="2638" spans="1:19" hidden="1">
      <c r="A2638" s="103" t="s">
        <v>4424</v>
      </c>
      <c r="B2638" s="138" t="str">
        <f ca="1"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 ca="1">IF(Proc[[#This Row],[type]]="LFF (MDG-F)",MID(Proc[[#This Row],[Obj]],13,10),"")</f>
        <v>DE10538712</v>
      </c>
      <c r="I2638" s="103" t="s">
        <v>4787</v>
      </c>
      <c r="J2638" s="94" t="b">
        <f ca="1">Proc[[#This Row],[Requested]]=Proc[[#This Row],[CurrentParent]]</f>
        <v>1</v>
      </c>
      <c r="K2638" s="94" t="str">
        <f ca="1"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48</v>
      </c>
      <c r="R2638" s="110" t="s">
        <v>485</v>
      </c>
      <c r="S2638" s="94"/>
    </row>
    <row r="2639" spans="1:19" hidden="1">
      <c r="A2639" s="103" t="s">
        <v>4424</v>
      </c>
      <c r="B2639" s="138" t="str">
        <f ca="1"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 ca="1">IF(Proc[[#This Row],[type]]="LFF (MDG-F)",MID(Proc[[#This Row],[Obj]],13,10),"")</f>
        <v>DE10538713</v>
      </c>
      <c r="I2639" s="103" t="s">
        <v>4787</v>
      </c>
      <c r="J2639" s="94" t="b">
        <f ca="1">Proc[[#This Row],[Requested]]=Proc[[#This Row],[CurrentParent]]</f>
        <v>1</v>
      </c>
      <c r="K2639" s="94" t="str">
        <f ca="1"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48</v>
      </c>
      <c r="R2639" s="110" t="s">
        <v>485</v>
      </c>
      <c r="S2639" s="94"/>
    </row>
    <row r="2640" spans="1:19" hidden="1">
      <c r="A2640" s="103" t="s">
        <v>4424</v>
      </c>
      <c r="B2640" s="138" t="str">
        <f ca="1"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 ca="1">IF(Proc[[#This Row],[type]]="LFF (MDG-F)",MID(Proc[[#This Row],[Obj]],13,10),"")</f>
        <v>DE10538714</v>
      </c>
      <c r="I2640" s="103" t="s">
        <v>4787</v>
      </c>
      <c r="J2640" s="94" t="b">
        <f ca="1">Proc[[#This Row],[Requested]]=Proc[[#This Row],[CurrentParent]]</f>
        <v>1</v>
      </c>
      <c r="K2640" s="94" t="str">
        <f ca="1"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48</v>
      </c>
      <c r="R2640" s="110" t="s">
        <v>485</v>
      </c>
      <c r="S2640" s="94"/>
    </row>
    <row r="2641" spans="1:19" hidden="1">
      <c r="A2641" s="103" t="s">
        <v>4424</v>
      </c>
      <c r="B2641" s="138" t="str">
        <f ca="1"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 ca="1">IF(Proc[[#This Row],[type]]="LFF (MDG-F)",MID(Proc[[#This Row],[Obj]],13,10),"")</f>
        <v>DE10538715</v>
      </c>
      <c r="I2641" s="103" t="s">
        <v>4787</v>
      </c>
      <c r="J2641" s="94" t="b">
        <f ca="1">Proc[[#This Row],[Requested]]=Proc[[#This Row],[CurrentParent]]</f>
        <v>1</v>
      </c>
      <c r="K2641" s="94" t="str">
        <f ca="1"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48</v>
      </c>
      <c r="R2641" s="110" t="s">
        <v>485</v>
      </c>
      <c r="S2641" s="94"/>
    </row>
    <row r="2642" spans="1:19" hidden="1">
      <c r="A2642" s="103" t="s">
        <v>4424</v>
      </c>
      <c r="B2642" s="138" t="str">
        <f ca="1"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 ca="1">IF(Proc[[#This Row],[type]]="LFF (MDG-F)",MID(Proc[[#This Row],[Obj]],13,10),"")</f>
        <v>DE10538716</v>
      </c>
      <c r="I2642" s="103" t="s">
        <v>4787</v>
      </c>
      <c r="J2642" s="94" t="b">
        <f ca="1">Proc[[#This Row],[Requested]]=Proc[[#This Row],[CurrentParent]]</f>
        <v>1</v>
      </c>
      <c r="K2642" s="94" t="str">
        <f ca="1"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48</v>
      </c>
      <c r="R2642" s="110" t="s">
        <v>485</v>
      </c>
      <c r="S2642" s="94"/>
    </row>
    <row r="2643" spans="1:19" hidden="1">
      <c r="A2643" s="103" t="s">
        <v>4424</v>
      </c>
      <c r="B2643" s="138" t="str">
        <f ca="1"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 ca="1">IF(Proc[[#This Row],[type]]="LFF (MDG-F)",MID(Proc[[#This Row],[Obj]],13,10),"")</f>
        <v>DE10538717</v>
      </c>
      <c r="I2643" s="103" t="s">
        <v>4787</v>
      </c>
      <c r="J2643" s="94" t="b">
        <f ca="1">Proc[[#This Row],[Requested]]=Proc[[#This Row],[CurrentParent]]</f>
        <v>1</v>
      </c>
      <c r="K2643" s="94" t="str">
        <f ca="1"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48</v>
      </c>
      <c r="R2643" s="110" t="s">
        <v>485</v>
      </c>
      <c r="S2643" s="94"/>
    </row>
    <row r="2644" spans="1:19" hidden="1">
      <c r="A2644" s="103" t="s">
        <v>4424</v>
      </c>
      <c r="B2644" s="138" t="str">
        <f ca="1"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 ca="1">IF(Proc[[#This Row],[type]]="LFF (MDG-F)",MID(Proc[[#This Row],[Obj]],13,10),"")</f>
        <v>DE10538887</v>
      </c>
      <c r="I2644" s="103" t="s">
        <v>4787</v>
      </c>
      <c r="J2644" s="94" t="b">
        <f ca="1">Proc[[#This Row],[Requested]]=Proc[[#This Row],[CurrentParent]]</f>
        <v>1</v>
      </c>
      <c r="K2644" s="94" t="str">
        <f ca="1"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48</v>
      </c>
      <c r="R2644" s="110" t="s">
        <v>485</v>
      </c>
      <c r="S2644" s="94"/>
    </row>
    <row r="2645" spans="1:19" hidden="1">
      <c r="A2645" s="103" t="s">
        <v>4424</v>
      </c>
      <c r="B2645" s="138" t="str">
        <f ca="1"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 ca="1">IF(Proc[[#This Row],[type]]="LFF (MDG-F)",MID(Proc[[#This Row],[Obj]],13,10),"")</f>
        <v>DE10538920</v>
      </c>
      <c r="I2645" s="103" t="s">
        <v>4787</v>
      </c>
      <c r="J2645" s="94" t="b">
        <f ca="1">Proc[[#This Row],[Requested]]=Proc[[#This Row],[CurrentParent]]</f>
        <v>1</v>
      </c>
      <c r="K2645" s="94" t="str">
        <f ca="1"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48</v>
      </c>
      <c r="R2645" s="110" t="s">
        <v>485</v>
      </c>
      <c r="S2645" s="94"/>
    </row>
    <row r="2646" spans="1:19" hidden="1">
      <c r="A2646" s="103" t="s">
        <v>4424</v>
      </c>
      <c r="B2646" s="138" t="str">
        <f ca="1"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 ca="1">IF(Proc[[#This Row],[type]]="LFF (MDG-F)",MID(Proc[[#This Row],[Obj]],13,10),"")</f>
        <v>DE10538921</v>
      </c>
      <c r="I2646" s="103" t="s">
        <v>4787</v>
      </c>
      <c r="J2646" s="94" t="b">
        <f ca="1">Proc[[#This Row],[Requested]]=Proc[[#This Row],[CurrentParent]]</f>
        <v>1</v>
      </c>
      <c r="K2646" s="94" t="str">
        <f ca="1"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48</v>
      </c>
      <c r="R2646" s="110" t="s">
        <v>485</v>
      </c>
      <c r="S2646" s="94"/>
    </row>
    <row r="2647" spans="1:19" hidden="1">
      <c r="A2647" s="103" t="s">
        <v>4424</v>
      </c>
      <c r="B2647" s="138" t="str">
        <f ca="1"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 ca="1">IF(Proc[[#This Row],[type]]="LFF (MDG-F)",MID(Proc[[#This Row],[Obj]],13,10),"")</f>
        <v>DE10538978</v>
      </c>
      <c r="I2647" s="103" t="s">
        <v>4787</v>
      </c>
      <c r="J2647" s="94" t="b">
        <f ca="1">Proc[[#This Row],[Requested]]=Proc[[#This Row],[CurrentParent]]</f>
        <v>1</v>
      </c>
      <c r="K2647" s="94" t="str">
        <f ca="1"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48</v>
      </c>
      <c r="R2647" s="110" t="s">
        <v>485</v>
      </c>
      <c r="S2647" s="94"/>
    </row>
    <row r="2648" spans="1:19" hidden="1">
      <c r="A2648" s="103" t="s">
        <v>4424</v>
      </c>
      <c r="B2648" s="138" t="str">
        <f ca="1"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 ca="1">IF(Proc[[#This Row],[type]]="LFF (MDG-F)",MID(Proc[[#This Row],[Obj]],13,10),"")</f>
        <v>DE10539001</v>
      </c>
      <c r="I2648" s="103" t="s">
        <v>4787</v>
      </c>
      <c r="J2648" s="94" t="b">
        <f ca="1">Proc[[#This Row],[Requested]]=Proc[[#This Row],[CurrentParent]]</f>
        <v>1</v>
      </c>
      <c r="K2648" s="94" t="str">
        <f ca="1"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48</v>
      </c>
      <c r="R2648" s="110" t="s">
        <v>485</v>
      </c>
      <c r="S2648" s="94"/>
    </row>
    <row r="2649" spans="1:19" hidden="1">
      <c r="A2649" s="103" t="s">
        <v>4424</v>
      </c>
      <c r="B2649" s="138" t="str">
        <f ca="1"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 ca="1">IF(Proc[[#This Row],[type]]="LFF (MDG-F)",MID(Proc[[#This Row],[Obj]],13,10),"")</f>
        <v>DE10539002</v>
      </c>
      <c r="I2649" s="103" t="s">
        <v>4787</v>
      </c>
      <c r="J2649" s="94" t="b">
        <f ca="1">Proc[[#This Row],[Requested]]=Proc[[#This Row],[CurrentParent]]</f>
        <v>1</v>
      </c>
      <c r="K2649" s="94" t="str">
        <f ca="1"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48</v>
      </c>
      <c r="R2649" s="110" t="s">
        <v>485</v>
      </c>
      <c r="S2649" s="94"/>
    </row>
    <row r="2650" spans="1:19" hidden="1">
      <c r="A2650" s="103" t="s">
        <v>4424</v>
      </c>
      <c r="B2650" s="138" t="str">
        <f ca="1"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 ca="1">IF(Proc[[#This Row],[type]]="LFF (MDG-F)",MID(Proc[[#This Row],[Obj]],13,10),"")</f>
        <v>DE10539004</v>
      </c>
      <c r="I2650" s="103" t="s">
        <v>4787</v>
      </c>
      <c r="J2650" s="94" t="b">
        <f ca="1">Proc[[#This Row],[Requested]]=Proc[[#This Row],[CurrentParent]]</f>
        <v>1</v>
      </c>
      <c r="K2650" s="94" t="str">
        <f ca="1"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48</v>
      </c>
      <c r="R2650" s="110" t="s">
        <v>485</v>
      </c>
      <c r="S2650" s="94"/>
    </row>
    <row r="2651" spans="1:19" hidden="1">
      <c r="A2651" s="103" t="s">
        <v>4424</v>
      </c>
      <c r="B2651" s="138" t="str">
        <f ca="1"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 ca="1">IF(Proc[[#This Row],[type]]="LFF (MDG-F)",MID(Proc[[#This Row],[Obj]],13,10),"")</f>
        <v>DE10567500</v>
      </c>
      <c r="I2651" s="103" t="s">
        <v>4787</v>
      </c>
      <c r="J2651" s="94" t="b">
        <f ca="1">Proc[[#This Row],[Requested]]=Proc[[#This Row],[CurrentParent]]</f>
        <v>1</v>
      </c>
      <c r="K2651" s="94" t="str">
        <f ca="1"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48</v>
      </c>
      <c r="R2651" s="110" t="s">
        <v>485</v>
      </c>
      <c r="S2651" s="94"/>
    </row>
    <row r="2652" spans="1:19" hidden="1">
      <c r="A2652" s="103" t="s">
        <v>4424</v>
      </c>
      <c r="B2652" s="138" t="str">
        <f ca="1"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 ca="1">IF(Proc[[#This Row],[type]]="LFF (MDG-F)",MID(Proc[[#This Row],[Obj]],13,10),"")</f>
        <v>DE10569401</v>
      </c>
      <c r="I2652" s="103" t="s">
        <v>4787</v>
      </c>
      <c r="J2652" s="94" t="b">
        <f ca="1">Proc[[#This Row],[Requested]]=Proc[[#This Row],[CurrentParent]]</f>
        <v>1</v>
      </c>
      <c r="K2652" s="94" t="str">
        <f ca="1"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48</v>
      </c>
      <c r="R2652" s="110" t="s">
        <v>485</v>
      </c>
      <c r="S2652" s="94"/>
    </row>
    <row r="2653" spans="1:19" hidden="1">
      <c r="A2653" s="103" t="s">
        <v>4424</v>
      </c>
      <c r="B2653" s="138" t="str">
        <f ca="1"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 ca="1">IF(Proc[[#This Row],[type]]="LFF (MDG-F)",MID(Proc[[#This Row],[Obj]],13,10),"")</f>
        <v>DE10538145</v>
      </c>
      <c r="I2653" s="103" t="s">
        <v>4787</v>
      </c>
      <c r="J2653" s="94" t="b">
        <f ca="1">Proc[[#This Row],[Requested]]=Proc[[#This Row],[CurrentParent]]</f>
        <v>1</v>
      </c>
      <c r="K2653" s="94" t="str">
        <f ca="1"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48</v>
      </c>
      <c r="R2653" s="110" t="s">
        <v>485</v>
      </c>
      <c r="S2653" s="94"/>
    </row>
    <row r="2654" spans="1:19" hidden="1">
      <c r="A2654" s="103" t="s">
        <v>4424</v>
      </c>
      <c r="B2654" s="138" t="str">
        <f ca="1"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 ca="1">IF(Proc[[#This Row],[type]]="LFF (MDG-F)",MID(Proc[[#This Row],[Obj]],13,10),"")</f>
        <v>DE10538190</v>
      </c>
      <c r="I2654" s="103" t="s">
        <v>4787</v>
      </c>
      <c r="J2654" s="94" t="b">
        <f ca="1">Proc[[#This Row],[Requested]]=Proc[[#This Row],[CurrentParent]]</f>
        <v>1</v>
      </c>
      <c r="K2654" s="94" t="str">
        <f ca="1"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48</v>
      </c>
      <c r="R2654" s="110" t="s">
        <v>485</v>
      </c>
      <c r="S2654" s="94"/>
    </row>
    <row r="2655" spans="1:19" hidden="1">
      <c r="A2655" s="103" t="s">
        <v>4424</v>
      </c>
      <c r="B2655" s="138" t="str">
        <f ca="1"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 ca="1">IF(Proc[[#This Row],[type]]="LFF (MDG-F)",MID(Proc[[#This Row],[Obj]],13,10),"")</f>
        <v>DE10539003</v>
      </c>
      <c r="I2655" s="103" t="s">
        <v>4787</v>
      </c>
      <c r="J2655" s="94" t="b">
        <f ca="1">Proc[[#This Row],[Requested]]=Proc[[#This Row],[CurrentParent]]</f>
        <v>1</v>
      </c>
      <c r="K2655" s="94" t="str">
        <f ca="1"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48</v>
      </c>
      <c r="R2655" s="110" t="s">
        <v>485</v>
      </c>
      <c r="S2655" s="94"/>
    </row>
    <row r="2656" spans="1:19" hidden="1">
      <c r="A2656" s="103" t="s">
        <v>4424</v>
      </c>
      <c r="B2656" s="138" t="str">
        <f ca="1"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 ca="1">IF(Proc[[#This Row],[type]]="LFF (MDG-F)",MID(Proc[[#This Row],[Obj]],13,10),"")</f>
        <v>DE10567400</v>
      </c>
      <c r="I2656" s="103" t="s">
        <v>4787</v>
      </c>
      <c r="J2656" s="94" t="b">
        <f ca="1">Proc[[#This Row],[Requested]]=Proc[[#This Row],[CurrentParent]]</f>
        <v>1</v>
      </c>
      <c r="K2656" s="94" t="str">
        <f ca="1"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48</v>
      </c>
      <c r="R2656" s="110" t="s">
        <v>485</v>
      </c>
      <c r="S2656" s="94"/>
    </row>
    <row r="2657" spans="1:19" hidden="1">
      <c r="A2657" s="103" t="s">
        <v>4424</v>
      </c>
      <c r="B2657" s="138" t="str">
        <f ca="1"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 ca="1">IF(Proc[[#This Row],[type]]="LFF (MDG-F)",MID(Proc[[#This Row],[Obj]],13,10),"")</f>
        <v>DE20510800</v>
      </c>
      <c r="I2657" s="103" t="s">
        <v>4787</v>
      </c>
      <c r="J2657" s="94" t="b">
        <f ca="1">Proc[[#This Row],[Requested]]=Proc[[#This Row],[CurrentParent]]</f>
        <v>1</v>
      </c>
      <c r="K2657" s="94" t="str">
        <f ca="1"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48</v>
      </c>
      <c r="R2657" s="110" t="s">
        <v>485</v>
      </c>
      <c r="S2657" s="94"/>
    </row>
    <row r="2658" spans="1:19" hidden="1">
      <c r="A2658" s="103" t="s">
        <v>4424</v>
      </c>
      <c r="B2658" s="138" t="str">
        <f ca="1"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 ca="1">IF(Proc[[#This Row],[type]]="LFF (MDG-F)",MID(Proc[[#This Row],[Obj]],13,10),"")</f>
        <v>DE20516800</v>
      </c>
      <c r="I2658" s="103" t="s">
        <v>4787</v>
      </c>
      <c r="J2658" s="94" t="b">
        <f ca="1">Proc[[#This Row],[Requested]]=Proc[[#This Row],[CurrentParent]]</f>
        <v>1</v>
      </c>
      <c r="K2658" s="94" t="str">
        <f ca="1"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48</v>
      </c>
      <c r="R2658" s="110" t="s">
        <v>485</v>
      </c>
      <c r="S2658" s="94"/>
    </row>
    <row r="2659" spans="1:19" hidden="1">
      <c r="A2659" s="103" t="s">
        <v>4424</v>
      </c>
      <c r="B2659" s="138" t="str">
        <f ca="1"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 ca="1">IF(Proc[[#This Row],[type]]="LFF (MDG-F)",MID(Proc[[#This Row],[Obj]],13,10),"")</f>
        <v>DE20518800</v>
      </c>
      <c r="I2659" s="103" t="s">
        <v>4787</v>
      </c>
      <c r="J2659" s="94" t="b">
        <f ca="1">Proc[[#This Row],[Requested]]=Proc[[#This Row],[CurrentParent]]</f>
        <v>1</v>
      </c>
      <c r="K2659" s="94" t="str">
        <f ca="1"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48</v>
      </c>
      <c r="R2659" s="110" t="s">
        <v>485</v>
      </c>
      <c r="S2659" s="94"/>
    </row>
    <row r="2660" spans="1:19" hidden="1">
      <c r="A2660" s="103" t="s">
        <v>4424</v>
      </c>
      <c r="B2660" s="138" t="str">
        <f ca="1"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 ca="1">IF(Proc[[#This Row],[type]]="LFF (MDG-F)",MID(Proc[[#This Row],[Obj]],13,10),"")</f>
        <v>DE20518900</v>
      </c>
      <c r="I2660" s="103" t="s">
        <v>4787</v>
      </c>
      <c r="J2660" s="94" t="b">
        <f ca="1">Proc[[#This Row],[Requested]]=Proc[[#This Row],[CurrentParent]]</f>
        <v>1</v>
      </c>
      <c r="K2660" s="94" t="str">
        <f ca="1"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48</v>
      </c>
      <c r="R2660" s="110" t="s">
        <v>485</v>
      </c>
      <c r="S2660" s="94"/>
    </row>
    <row r="2661" spans="1:19" hidden="1">
      <c r="A2661" s="103" t="s">
        <v>4424</v>
      </c>
      <c r="B2661" s="138" t="str">
        <f ca="1"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 ca="1">IF(Proc[[#This Row],[type]]="LFF (MDG-F)",MID(Proc[[#This Row],[Obj]],13,10),"")</f>
        <v>DE20538199</v>
      </c>
      <c r="I2661" s="103" t="s">
        <v>4787</v>
      </c>
      <c r="J2661" s="94" t="b">
        <f ca="1">Proc[[#This Row],[Requested]]=Proc[[#This Row],[CurrentParent]]</f>
        <v>1</v>
      </c>
      <c r="K2661" s="94" t="str">
        <f ca="1"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48</v>
      </c>
      <c r="R2661" s="110" t="s">
        <v>485</v>
      </c>
      <c r="S2661" s="94"/>
    </row>
    <row r="2662" spans="1:19" hidden="1">
      <c r="A2662" s="103" t="s">
        <v>4424</v>
      </c>
      <c r="B2662" s="138" t="str">
        <f ca="1"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 ca="1">IF(Proc[[#This Row],[type]]="LFF (MDG-F)",MID(Proc[[#This Row],[Obj]],13,10),"")</f>
        <v>DE20542000</v>
      </c>
      <c r="I2662" s="103" t="s">
        <v>4787</v>
      </c>
      <c r="J2662" s="94" t="b">
        <f ca="1">Proc[[#This Row],[Requested]]=Proc[[#This Row],[CurrentParent]]</f>
        <v>1</v>
      </c>
      <c r="K2662" s="94" t="str">
        <f ca="1"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48</v>
      </c>
      <c r="R2662" s="110" t="s">
        <v>485</v>
      </c>
      <c r="S2662" s="94"/>
    </row>
    <row r="2663" spans="1:19" hidden="1">
      <c r="A2663" s="103" t="s">
        <v>4424</v>
      </c>
      <c r="B2663" s="138" t="str">
        <f ca="1"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 ca="1">IF(Proc[[#This Row],[type]]="LFF (MDG-F)",MID(Proc[[#This Row],[Obj]],13,10),"")</f>
        <v>DE20537833</v>
      </c>
      <c r="I2663" s="103" t="s">
        <v>4787</v>
      </c>
      <c r="J2663" s="94" t="b">
        <f ca="1">Proc[[#This Row],[Requested]]=Proc[[#This Row],[CurrentParent]]</f>
        <v>1</v>
      </c>
      <c r="K2663" s="94" t="str">
        <f ca="1"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48</v>
      </c>
      <c r="R2663" s="110" t="s">
        <v>485</v>
      </c>
      <c r="S2663" s="94"/>
    </row>
    <row r="2664" spans="1:19" hidden="1">
      <c r="A2664" s="103" t="s">
        <v>4424</v>
      </c>
      <c r="B2664" s="138" t="str">
        <f ca="1"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 ca="1">IF(Proc[[#This Row],[type]]="LFF (MDG-F)",MID(Proc[[#This Row],[Obj]],13,10),"")</f>
        <v>DE20538012</v>
      </c>
      <c r="I2664" s="103" t="s">
        <v>4787</v>
      </c>
      <c r="J2664" s="94" t="b">
        <f ca="1">Proc[[#This Row],[Requested]]=Proc[[#This Row],[CurrentParent]]</f>
        <v>1</v>
      </c>
      <c r="K2664" s="94" t="str">
        <f ca="1"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48</v>
      </c>
      <c r="R2664" s="110" t="s">
        <v>485</v>
      </c>
      <c r="S2664" s="94"/>
    </row>
    <row r="2665" spans="1:19" hidden="1">
      <c r="A2665" s="103" t="s">
        <v>4424</v>
      </c>
      <c r="B2665" s="138" t="str">
        <f ca="1"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 ca="1">IF(Proc[[#This Row],[type]]="LFF (MDG-F)",MID(Proc[[#This Row],[Obj]],13,10),"")</f>
        <v>DE20538014</v>
      </c>
      <c r="I2665" s="103" t="s">
        <v>4787</v>
      </c>
      <c r="J2665" s="94" t="b">
        <f ca="1">Proc[[#This Row],[Requested]]=Proc[[#This Row],[CurrentParent]]</f>
        <v>1</v>
      </c>
      <c r="K2665" s="94" t="str">
        <f ca="1"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48</v>
      </c>
      <c r="R2665" s="110" t="s">
        <v>485</v>
      </c>
      <c r="S2665" s="94"/>
    </row>
    <row r="2666" spans="1:19" hidden="1">
      <c r="A2666" s="103" t="s">
        <v>4424</v>
      </c>
      <c r="B2666" s="138" t="str">
        <f ca="1"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 ca="1">IF(Proc[[#This Row],[type]]="LFF (MDG-F)",MID(Proc[[#This Row],[Obj]],13,10),"")</f>
        <v>DE20538015</v>
      </c>
      <c r="I2666" s="103" t="s">
        <v>4787</v>
      </c>
      <c r="J2666" s="94" t="b">
        <f ca="1">Proc[[#This Row],[Requested]]=Proc[[#This Row],[CurrentParent]]</f>
        <v>1</v>
      </c>
      <c r="K2666" s="94" t="str">
        <f ca="1"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48</v>
      </c>
      <c r="R2666" s="110" t="s">
        <v>485</v>
      </c>
      <c r="S2666" s="94"/>
    </row>
    <row r="2667" spans="1:19" hidden="1">
      <c r="A2667" s="103" t="s">
        <v>4424</v>
      </c>
      <c r="B2667" s="138" t="str">
        <f ca="1"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 ca="1">IF(Proc[[#This Row],[type]]="LFF (MDG-F)",MID(Proc[[#This Row],[Obj]],13,10),"")</f>
        <v>DE20538017</v>
      </c>
      <c r="I2667" s="103" t="s">
        <v>4787</v>
      </c>
      <c r="J2667" s="94" t="b">
        <f ca="1">Proc[[#This Row],[Requested]]=Proc[[#This Row],[CurrentParent]]</f>
        <v>1</v>
      </c>
      <c r="K2667" s="94" t="str">
        <f ca="1"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48</v>
      </c>
      <c r="R2667" s="110" t="s">
        <v>485</v>
      </c>
      <c r="S2667" s="94"/>
    </row>
    <row r="2668" spans="1:19" hidden="1">
      <c r="A2668" s="103" t="s">
        <v>4424</v>
      </c>
      <c r="B2668" s="138" t="str">
        <f ca="1"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 ca="1">IF(Proc[[#This Row],[type]]="LFF (MDG-F)",MID(Proc[[#This Row],[Obj]],13,10),"")</f>
        <v>DE20538018</v>
      </c>
      <c r="I2668" s="103" t="s">
        <v>4787</v>
      </c>
      <c r="J2668" s="94" t="b">
        <f ca="1">Proc[[#This Row],[Requested]]=Proc[[#This Row],[CurrentParent]]</f>
        <v>1</v>
      </c>
      <c r="K2668" s="94" t="str">
        <f ca="1"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48</v>
      </c>
      <c r="R2668" s="110" t="s">
        <v>485</v>
      </c>
      <c r="S2668" s="94"/>
    </row>
    <row r="2669" spans="1:19" hidden="1">
      <c r="A2669" s="103" t="s">
        <v>4424</v>
      </c>
      <c r="B2669" s="138" t="str">
        <f ca="1"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 ca="1">IF(Proc[[#This Row],[type]]="LFF (MDG-F)",MID(Proc[[#This Row],[Obj]],13,10),"")</f>
        <v>DE20538132</v>
      </c>
      <c r="I2669" s="103" t="s">
        <v>4787</v>
      </c>
      <c r="J2669" s="94" t="b">
        <f ca="1">Proc[[#This Row],[Requested]]=Proc[[#This Row],[CurrentParent]]</f>
        <v>1</v>
      </c>
      <c r="K2669" s="94" t="str">
        <f ca="1"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48</v>
      </c>
      <c r="R2669" s="110" t="s">
        <v>485</v>
      </c>
      <c r="S2669" s="94"/>
    </row>
    <row r="2670" spans="1:19" hidden="1">
      <c r="A2670" s="103" t="s">
        <v>4424</v>
      </c>
      <c r="B2670" s="138" t="str">
        <f ca="1"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 ca="1">IF(Proc[[#This Row],[type]]="LFF (MDG-F)",MID(Proc[[#This Row],[Obj]],13,10),"")</f>
        <v>DE20538101</v>
      </c>
      <c r="I2670" s="103" t="s">
        <v>4787</v>
      </c>
      <c r="J2670" s="94" t="b">
        <f ca="1">Proc[[#This Row],[Requested]]=Proc[[#This Row],[CurrentParent]]</f>
        <v>1</v>
      </c>
      <c r="K2670" s="94" t="str">
        <f ca="1"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48</v>
      </c>
      <c r="R2670" s="110" t="s">
        <v>485</v>
      </c>
      <c r="S2670" s="94"/>
    </row>
    <row r="2671" spans="1:19" hidden="1">
      <c r="A2671" s="103" t="s">
        <v>4424</v>
      </c>
      <c r="B2671" s="138" t="str">
        <f ca="1"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 ca="1">IF(Proc[[#This Row],[type]]="LFF (MDG-F)",MID(Proc[[#This Row],[Obj]],13,10),"")</f>
        <v>DE20538102</v>
      </c>
      <c r="I2671" s="103" t="s">
        <v>4787</v>
      </c>
      <c r="J2671" s="94" t="b">
        <f ca="1">Proc[[#This Row],[Requested]]=Proc[[#This Row],[CurrentParent]]</f>
        <v>1</v>
      </c>
      <c r="K2671" s="94" t="str">
        <f ca="1"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48</v>
      </c>
      <c r="R2671" s="110" t="s">
        <v>485</v>
      </c>
      <c r="S2671" s="94"/>
    </row>
    <row r="2672" spans="1:19" hidden="1">
      <c r="A2672" s="103" t="s">
        <v>4424</v>
      </c>
      <c r="B2672" s="138" t="str">
        <f ca="1"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 ca="1">IF(Proc[[#This Row],[type]]="LFF (MDG-F)",MID(Proc[[#This Row],[Obj]],13,10),"")</f>
        <v>DE20538104</v>
      </c>
      <c r="I2672" s="103" t="s">
        <v>4787</v>
      </c>
      <c r="J2672" s="94" t="b">
        <f ca="1">Proc[[#This Row],[Requested]]=Proc[[#This Row],[CurrentParent]]</f>
        <v>1</v>
      </c>
      <c r="K2672" s="94" t="str">
        <f ca="1"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48</v>
      </c>
      <c r="R2672" s="110" t="s">
        <v>485</v>
      </c>
      <c r="S2672" s="94"/>
    </row>
    <row r="2673" spans="1:19" hidden="1">
      <c r="A2673" s="103" t="s">
        <v>4424</v>
      </c>
      <c r="B2673" s="138" t="str">
        <f ca="1"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 ca="1">IF(Proc[[#This Row],[type]]="LFF (MDG-F)",MID(Proc[[#This Row],[Obj]],13,10),"")</f>
        <v>DE20538109</v>
      </c>
      <c r="I2673" s="103" t="s">
        <v>4787</v>
      </c>
      <c r="J2673" s="94" t="b">
        <f ca="1">Proc[[#This Row],[Requested]]=Proc[[#This Row],[CurrentParent]]</f>
        <v>1</v>
      </c>
      <c r="K2673" s="94" t="str">
        <f ca="1"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48</v>
      </c>
      <c r="R2673" s="110" t="s">
        <v>485</v>
      </c>
      <c r="S2673" s="94"/>
    </row>
    <row r="2674" spans="1:19" hidden="1">
      <c r="A2674" s="103" t="s">
        <v>4424</v>
      </c>
      <c r="B2674" s="138" t="str">
        <f ca="1"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 ca="1">IF(Proc[[#This Row],[type]]="LFF (MDG-F)",MID(Proc[[#This Row],[Obj]],13,10),"")</f>
        <v>DE20538116</v>
      </c>
      <c r="I2674" s="103" t="s">
        <v>4787</v>
      </c>
      <c r="J2674" s="94" t="b">
        <f ca="1">Proc[[#This Row],[Requested]]=Proc[[#This Row],[CurrentParent]]</f>
        <v>1</v>
      </c>
      <c r="K2674" s="94" t="str">
        <f ca="1"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48</v>
      </c>
      <c r="R2674" s="110" t="s">
        <v>485</v>
      </c>
      <c r="S2674" s="94"/>
    </row>
    <row r="2675" spans="1:19" hidden="1">
      <c r="A2675" s="103" t="s">
        <v>4424</v>
      </c>
      <c r="B2675" s="138" t="str">
        <f ca="1"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 ca="1">IF(Proc[[#This Row],[type]]="LFF (MDG-F)",MID(Proc[[#This Row],[Obj]],13,10),"")</f>
        <v>DE20538123</v>
      </c>
      <c r="I2675" s="103" t="s">
        <v>4787</v>
      </c>
      <c r="J2675" s="94" t="b">
        <f ca="1">Proc[[#This Row],[Requested]]=Proc[[#This Row],[CurrentParent]]</f>
        <v>1</v>
      </c>
      <c r="K2675" s="94" t="str">
        <f ca="1"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48</v>
      </c>
      <c r="R2675" s="110" t="s">
        <v>485</v>
      </c>
      <c r="S2675" s="94"/>
    </row>
    <row r="2676" spans="1:19" hidden="1">
      <c r="A2676" s="103" t="s">
        <v>4424</v>
      </c>
      <c r="B2676" s="138" t="str">
        <f ca="1"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 ca="1">IF(Proc[[#This Row],[type]]="LFF (MDG-F)",MID(Proc[[#This Row],[Obj]],13,10),"")</f>
        <v>DE20538128</v>
      </c>
      <c r="I2676" s="103" t="s">
        <v>4787</v>
      </c>
      <c r="J2676" s="94" t="b">
        <f ca="1">Proc[[#This Row],[Requested]]=Proc[[#This Row],[CurrentParent]]</f>
        <v>1</v>
      </c>
      <c r="K2676" s="94" t="str">
        <f ca="1"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48</v>
      </c>
      <c r="R2676" s="110" t="s">
        <v>485</v>
      </c>
      <c r="S2676" s="94"/>
    </row>
    <row r="2677" spans="1:19" hidden="1">
      <c r="A2677" s="103" t="s">
        <v>4424</v>
      </c>
      <c r="B2677" s="138" t="str">
        <f ca="1"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 ca="1">IF(Proc[[#This Row],[type]]="LFF (MDG-F)",MID(Proc[[#This Row],[Obj]],13,10),"")</f>
        <v>DE20538146</v>
      </c>
      <c r="I2677" s="103" t="s">
        <v>4787</v>
      </c>
      <c r="J2677" s="94" t="b">
        <f ca="1">Proc[[#This Row],[Requested]]=Proc[[#This Row],[CurrentParent]]</f>
        <v>1</v>
      </c>
      <c r="K2677" s="94" t="str">
        <f ca="1"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48</v>
      </c>
      <c r="R2677" s="110" t="s">
        <v>485</v>
      </c>
      <c r="S2677" s="94"/>
    </row>
    <row r="2678" spans="1:19" hidden="1">
      <c r="A2678" s="103" t="s">
        <v>4424</v>
      </c>
      <c r="B2678" s="138" t="str">
        <f ca="1"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 ca="1">IF(Proc[[#This Row],[type]]="LFF (MDG-F)",MID(Proc[[#This Row],[Obj]],13,10),"")</f>
        <v>DE20538150</v>
      </c>
      <c r="I2678" s="103" t="s">
        <v>4787</v>
      </c>
      <c r="J2678" s="94" t="b">
        <f ca="1">Proc[[#This Row],[Requested]]=Proc[[#This Row],[CurrentParent]]</f>
        <v>1</v>
      </c>
      <c r="K2678" s="94" t="str">
        <f ca="1"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48</v>
      </c>
      <c r="R2678" s="110" t="s">
        <v>485</v>
      </c>
      <c r="S2678" s="94"/>
    </row>
    <row r="2679" spans="1:19" hidden="1">
      <c r="A2679" s="103" t="s">
        <v>4424</v>
      </c>
      <c r="B2679" s="138" t="str">
        <f ca="1"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 ca="1">IF(Proc[[#This Row],[type]]="LFF (MDG-F)",MID(Proc[[#This Row],[Obj]],13,10),"")</f>
        <v>DE20538152</v>
      </c>
      <c r="I2679" s="103" t="s">
        <v>4787</v>
      </c>
      <c r="J2679" s="94" t="b">
        <f ca="1">Proc[[#This Row],[Requested]]=Proc[[#This Row],[CurrentParent]]</f>
        <v>1</v>
      </c>
      <c r="K2679" s="94" t="str">
        <f ca="1"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48</v>
      </c>
      <c r="R2679" s="110" t="s">
        <v>485</v>
      </c>
      <c r="S2679" s="94"/>
    </row>
    <row r="2680" spans="1:19" hidden="1">
      <c r="A2680" s="103" t="s">
        <v>4424</v>
      </c>
      <c r="B2680" s="138" t="str">
        <f ca="1"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 ca="1">IF(Proc[[#This Row],[type]]="LFF (MDG-F)",MID(Proc[[#This Row],[Obj]],13,10),"")</f>
        <v>DE20538157</v>
      </c>
      <c r="I2680" s="103" t="s">
        <v>4787</v>
      </c>
      <c r="J2680" s="94" t="b">
        <f ca="1">Proc[[#This Row],[Requested]]=Proc[[#This Row],[CurrentParent]]</f>
        <v>1</v>
      </c>
      <c r="K2680" s="94" t="str">
        <f ca="1"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48</v>
      </c>
      <c r="R2680" s="110" t="s">
        <v>485</v>
      </c>
      <c r="S2680" s="94"/>
    </row>
    <row r="2681" spans="1:19" hidden="1">
      <c r="A2681" s="103" t="s">
        <v>4424</v>
      </c>
      <c r="B2681" s="138" t="str">
        <f ca="1"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 ca="1">IF(Proc[[#This Row],[type]]="LFF (MDG-F)",MID(Proc[[#This Row],[Obj]],13,10),"")</f>
        <v>DE20538158</v>
      </c>
      <c r="I2681" s="103" t="s">
        <v>4787</v>
      </c>
      <c r="J2681" s="94" t="b">
        <f ca="1">Proc[[#This Row],[Requested]]=Proc[[#This Row],[CurrentParent]]</f>
        <v>1</v>
      </c>
      <c r="K2681" s="94" t="str">
        <f ca="1"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48</v>
      </c>
      <c r="R2681" s="110" t="s">
        <v>485</v>
      </c>
      <c r="S2681" s="94"/>
    </row>
    <row r="2682" spans="1:19" hidden="1">
      <c r="A2682" s="103" t="s">
        <v>4424</v>
      </c>
      <c r="B2682" s="138" t="str">
        <f ca="1"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 ca="1">IF(Proc[[#This Row],[type]]="LFF (MDG-F)",MID(Proc[[#This Row],[Obj]],13,10),"")</f>
        <v>DE20538159</v>
      </c>
      <c r="I2682" s="103" t="s">
        <v>4787</v>
      </c>
      <c r="J2682" s="94" t="b">
        <f ca="1">Proc[[#This Row],[Requested]]=Proc[[#This Row],[CurrentParent]]</f>
        <v>1</v>
      </c>
      <c r="K2682" s="94" t="str">
        <f ca="1"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48</v>
      </c>
      <c r="R2682" s="110" t="s">
        <v>485</v>
      </c>
      <c r="S2682" s="94"/>
    </row>
    <row r="2683" spans="1:19" hidden="1">
      <c r="A2683" s="103" t="s">
        <v>4424</v>
      </c>
      <c r="B2683" s="138" t="str">
        <f ca="1"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 ca="1">IF(Proc[[#This Row],[type]]="LFF (MDG-F)",MID(Proc[[#This Row],[Obj]],13,10),"")</f>
        <v>DE20538179</v>
      </c>
      <c r="I2683" s="103" t="s">
        <v>4787</v>
      </c>
      <c r="J2683" s="94" t="b">
        <f ca="1">Proc[[#This Row],[Requested]]=Proc[[#This Row],[CurrentParent]]</f>
        <v>1</v>
      </c>
      <c r="K2683" s="94" t="str">
        <f ca="1"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48</v>
      </c>
      <c r="R2683" s="110" t="s">
        <v>485</v>
      </c>
      <c r="S2683" s="94"/>
    </row>
    <row r="2684" spans="1:19" hidden="1">
      <c r="A2684" s="103" t="s">
        <v>4424</v>
      </c>
      <c r="B2684" s="138" t="str">
        <f ca="1"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 ca="1">IF(Proc[[#This Row],[type]]="LFF (MDG-F)",MID(Proc[[#This Row],[Obj]],13,10),"")</f>
        <v>DE20538180</v>
      </c>
      <c r="I2684" s="103" t="s">
        <v>4787</v>
      </c>
      <c r="J2684" s="94" t="b">
        <f ca="1">Proc[[#This Row],[Requested]]=Proc[[#This Row],[CurrentParent]]</f>
        <v>1</v>
      </c>
      <c r="K2684" s="94" t="str">
        <f ca="1"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48</v>
      </c>
      <c r="R2684" s="110" t="s">
        <v>485</v>
      </c>
      <c r="S2684" s="94"/>
    </row>
    <row r="2685" spans="1:19" hidden="1">
      <c r="A2685" s="103" t="s">
        <v>4424</v>
      </c>
      <c r="B2685" s="138" t="str">
        <f ca="1"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 ca="1">IF(Proc[[#This Row],[type]]="LFF (MDG-F)",MID(Proc[[#This Row],[Obj]],13,10),"")</f>
        <v>DE20538181</v>
      </c>
      <c r="I2685" s="103" t="s">
        <v>4787</v>
      </c>
      <c r="J2685" s="94" t="b">
        <f ca="1">Proc[[#This Row],[Requested]]=Proc[[#This Row],[CurrentParent]]</f>
        <v>1</v>
      </c>
      <c r="K2685" s="94" t="str">
        <f ca="1"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48</v>
      </c>
      <c r="R2685" s="110" t="s">
        <v>485</v>
      </c>
      <c r="S2685" s="94"/>
    </row>
    <row r="2686" spans="1:19" hidden="1">
      <c r="A2686" s="103" t="s">
        <v>4424</v>
      </c>
      <c r="B2686" s="138" t="str">
        <f ca="1"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 ca="1">IF(Proc[[#This Row],[type]]="LFF (MDG-F)",MID(Proc[[#This Row],[Obj]],13,10),"")</f>
        <v>DE20538182</v>
      </c>
      <c r="I2686" s="103" t="s">
        <v>4787</v>
      </c>
      <c r="J2686" s="94" t="b">
        <f ca="1">Proc[[#This Row],[Requested]]=Proc[[#This Row],[CurrentParent]]</f>
        <v>1</v>
      </c>
      <c r="K2686" s="94" t="str">
        <f ca="1"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48</v>
      </c>
      <c r="R2686" s="110" t="s">
        <v>485</v>
      </c>
      <c r="S2686" s="94"/>
    </row>
    <row r="2687" spans="1:19" hidden="1">
      <c r="A2687" s="103" t="s">
        <v>4424</v>
      </c>
      <c r="B2687" s="138" t="str">
        <f ca="1"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 ca="1">IF(Proc[[#This Row],[type]]="LFF (MDG-F)",MID(Proc[[#This Row],[Obj]],13,10),"")</f>
        <v>DE20538183</v>
      </c>
      <c r="I2687" s="103" t="s">
        <v>4787</v>
      </c>
      <c r="J2687" s="94" t="b">
        <f ca="1">Proc[[#This Row],[Requested]]=Proc[[#This Row],[CurrentParent]]</f>
        <v>1</v>
      </c>
      <c r="K2687" s="94" t="str">
        <f ca="1"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48</v>
      </c>
      <c r="R2687" s="110" t="s">
        <v>485</v>
      </c>
      <c r="S2687" s="94"/>
    </row>
    <row r="2688" spans="1:19" hidden="1">
      <c r="A2688" s="103" t="s">
        <v>4424</v>
      </c>
      <c r="B2688" s="138" t="str">
        <f ca="1"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 ca="1">IF(Proc[[#This Row],[type]]="LFF (MDG-F)",MID(Proc[[#This Row],[Obj]],13,10),"")</f>
        <v>DE20538187</v>
      </c>
      <c r="I2688" s="103" t="s">
        <v>4787</v>
      </c>
      <c r="J2688" s="94" t="b">
        <f ca="1">Proc[[#This Row],[Requested]]=Proc[[#This Row],[CurrentParent]]</f>
        <v>1</v>
      </c>
      <c r="K2688" s="94" t="str">
        <f ca="1"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48</v>
      </c>
      <c r="R2688" s="110" t="s">
        <v>485</v>
      </c>
      <c r="S2688" s="94"/>
    </row>
    <row r="2689" spans="1:19" hidden="1">
      <c r="A2689" s="103" t="s">
        <v>4424</v>
      </c>
      <c r="B2689" s="138" t="str">
        <f ca="1"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 ca="1">IF(Proc[[#This Row],[type]]="LFF (MDG-F)",MID(Proc[[#This Row],[Obj]],13,10),"")</f>
        <v>DE20538188</v>
      </c>
      <c r="I2689" s="103" t="s">
        <v>4787</v>
      </c>
      <c r="J2689" s="94" t="b">
        <f ca="1">Proc[[#This Row],[Requested]]=Proc[[#This Row],[CurrentParent]]</f>
        <v>1</v>
      </c>
      <c r="K2689" s="94" t="str">
        <f ca="1"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48</v>
      </c>
      <c r="R2689" s="110" t="s">
        <v>485</v>
      </c>
      <c r="S2689" s="94"/>
    </row>
    <row r="2690" spans="1:19" hidden="1">
      <c r="A2690" s="103" t="s">
        <v>4424</v>
      </c>
      <c r="B2690" s="138" t="str">
        <f ca="1"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 ca="1">IF(Proc[[#This Row],[type]]="LFF (MDG-F)",MID(Proc[[#This Row],[Obj]],13,10),"")</f>
        <v>DE20538189</v>
      </c>
      <c r="I2690" s="103" t="s">
        <v>4787</v>
      </c>
      <c r="J2690" s="94" t="b">
        <f ca="1">Proc[[#This Row],[Requested]]=Proc[[#This Row],[CurrentParent]]</f>
        <v>1</v>
      </c>
      <c r="K2690" s="94" t="str">
        <f ca="1"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48</v>
      </c>
      <c r="R2690" s="110" t="s">
        <v>485</v>
      </c>
      <c r="S2690" s="94"/>
    </row>
    <row r="2691" spans="1:19" hidden="1">
      <c r="A2691" s="103" t="s">
        <v>4424</v>
      </c>
      <c r="B2691" s="138" t="str">
        <f ca="1"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 ca="1">IF(Proc[[#This Row],[type]]="LFF (MDG-F)",MID(Proc[[#This Row],[Obj]],13,10),"")</f>
        <v>DE20538196</v>
      </c>
      <c r="I2691" s="103" t="s">
        <v>4787</v>
      </c>
      <c r="J2691" s="94" t="b">
        <f ca="1">Proc[[#This Row],[Requested]]=Proc[[#This Row],[CurrentParent]]</f>
        <v>1</v>
      </c>
      <c r="K2691" s="94" t="str">
        <f ca="1"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48</v>
      </c>
      <c r="R2691" s="110" t="s">
        <v>485</v>
      </c>
      <c r="S2691" s="94"/>
    </row>
    <row r="2692" spans="1:19" hidden="1">
      <c r="A2692" s="103" t="s">
        <v>4424</v>
      </c>
      <c r="B2692" s="138" t="str">
        <f ca="1"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 ca="1">IF(Proc[[#This Row],[type]]="LFF (MDG-F)",MID(Proc[[#This Row],[Obj]],13,10),"")</f>
        <v>DE20538236</v>
      </c>
      <c r="I2692" s="103" t="s">
        <v>4787</v>
      </c>
      <c r="J2692" s="94" t="b">
        <f ca="1">Proc[[#This Row],[Requested]]=Proc[[#This Row],[CurrentParent]]</f>
        <v>1</v>
      </c>
      <c r="K2692" s="94" t="str">
        <f ca="1"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48</v>
      </c>
      <c r="R2692" s="110" t="s">
        <v>485</v>
      </c>
      <c r="S2692" s="94"/>
    </row>
    <row r="2693" spans="1:19" hidden="1">
      <c r="A2693" s="103" t="s">
        <v>4424</v>
      </c>
      <c r="B2693" s="138" t="str">
        <f ca="1"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 ca="1">IF(Proc[[#This Row],[type]]="LFF (MDG-F)",MID(Proc[[#This Row],[Obj]],13,10),"")</f>
        <v>DE20538470</v>
      </c>
      <c r="I2693" s="103" t="s">
        <v>4787</v>
      </c>
      <c r="J2693" s="94" t="b">
        <f ca="1">Proc[[#This Row],[Requested]]=Proc[[#This Row],[CurrentParent]]</f>
        <v>1</v>
      </c>
      <c r="K2693" s="94" t="str">
        <f ca="1"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48</v>
      </c>
      <c r="R2693" s="110" t="s">
        <v>485</v>
      </c>
      <c r="S2693" s="94"/>
    </row>
    <row r="2694" spans="1:19" hidden="1">
      <c r="A2694" s="103" t="s">
        <v>4424</v>
      </c>
      <c r="B2694" s="138" t="str">
        <f ca="1"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 ca="1">IF(Proc[[#This Row],[type]]="LFF (MDG-F)",MID(Proc[[#This Row],[Obj]],13,10),"")</f>
        <v>DE20538472</v>
      </c>
      <c r="I2694" s="103" t="s">
        <v>4787</v>
      </c>
      <c r="J2694" s="94" t="b">
        <f ca="1">Proc[[#This Row],[Requested]]=Proc[[#This Row],[CurrentParent]]</f>
        <v>1</v>
      </c>
      <c r="K2694" s="94" t="str">
        <f ca="1"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48</v>
      </c>
      <c r="R2694" s="110" t="s">
        <v>485</v>
      </c>
      <c r="S2694" s="94"/>
    </row>
    <row r="2695" spans="1:19" hidden="1">
      <c r="A2695" s="103" t="s">
        <v>4424</v>
      </c>
      <c r="B2695" s="138" t="str">
        <f ca="1"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 ca="1">IF(Proc[[#This Row],[type]]="LFF (MDG-F)",MID(Proc[[#This Row],[Obj]],13,10),"")</f>
        <v>DE20538473</v>
      </c>
      <c r="I2695" s="103" t="s">
        <v>4787</v>
      </c>
      <c r="J2695" s="94" t="b">
        <f ca="1">Proc[[#This Row],[Requested]]=Proc[[#This Row],[CurrentParent]]</f>
        <v>1</v>
      </c>
      <c r="K2695" s="94" t="str">
        <f ca="1"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48</v>
      </c>
      <c r="R2695" s="110" t="s">
        <v>485</v>
      </c>
      <c r="S2695" s="94"/>
    </row>
    <row r="2696" spans="1:19" hidden="1">
      <c r="A2696" s="103" t="s">
        <v>4424</v>
      </c>
      <c r="B2696" s="138" t="str">
        <f ca="1"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 ca="1">IF(Proc[[#This Row],[type]]="LFF (MDG-F)",MID(Proc[[#This Row],[Obj]],13,10),"")</f>
        <v>DE20538762</v>
      </c>
      <c r="I2696" s="103" t="s">
        <v>4787</v>
      </c>
      <c r="J2696" s="94" t="b">
        <f ca="1">Proc[[#This Row],[Requested]]=Proc[[#This Row],[CurrentParent]]</f>
        <v>1</v>
      </c>
      <c r="K2696" s="94" t="str">
        <f ca="1"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48</v>
      </c>
      <c r="R2696" s="110" t="s">
        <v>485</v>
      </c>
      <c r="S2696" s="94"/>
    </row>
    <row r="2697" spans="1:19" hidden="1">
      <c r="A2697" s="103" t="s">
        <v>4424</v>
      </c>
      <c r="B2697" s="138" t="str">
        <f ca="1"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 ca="1">IF(Proc[[#This Row],[type]]="LFF (MDG-F)",MID(Proc[[#This Row],[Obj]],13,10),"")</f>
        <v>DE20538961</v>
      </c>
      <c r="I2697" s="103" t="s">
        <v>4787</v>
      </c>
      <c r="J2697" s="94" t="b">
        <f ca="1">Proc[[#This Row],[Requested]]=Proc[[#This Row],[CurrentParent]]</f>
        <v>1</v>
      </c>
      <c r="K2697" s="94" t="str">
        <f ca="1"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48</v>
      </c>
      <c r="R2697" s="110" t="s">
        <v>485</v>
      </c>
      <c r="S2697" s="94"/>
    </row>
    <row r="2698" spans="1:19" hidden="1">
      <c r="A2698" s="103" t="s">
        <v>4424</v>
      </c>
      <c r="B2698" s="138" t="str">
        <f ca="1"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 ca="1">IF(Proc[[#This Row],[type]]="LFF (MDG-F)",MID(Proc[[#This Row],[Obj]],13,10),"")</f>
        <v>DE20538962</v>
      </c>
      <c r="I2698" s="103" t="s">
        <v>4787</v>
      </c>
      <c r="J2698" s="94" t="b">
        <f ca="1">Proc[[#This Row],[Requested]]=Proc[[#This Row],[CurrentParent]]</f>
        <v>1</v>
      </c>
      <c r="K2698" s="94" t="str">
        <f ca="1"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48</v>
      </c>
      <c r="R2698" s="110" t="s">
        <v>485</v>
      </c>
      <c r="S2698" s="94"/>
    </row>
    <row r="2699" spans="1:19" hidden="1">
      <c r="A2699" s="103" t="s">
        <v>4424</v>
      </c>
      <c r="B2699" s="138" t="str">
        <f ca="1"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 ca="1">IF(Proc[[#This Row],[type]]="LFF (MDG-F)",MID(Proc[[#This Row],[Obj]],13,10),"")</f>
        <v>DE20538963</v>
      </c>
      <c r="I2699" s="103" t="s">
        <v>4787</v>
      </c>
      <c r="J2699" s="94" t="b">
        <f ca="1">Proc[[#This Row],[Requested]]=Proc[[#This Row],[CurrentParent]]</f>
        <v>1</v>
      </c>
      <c r="K2699" s="94" t="str">
        <f ca="1"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48</v>
      </c>
      <c r="R2699" s="110" t="s">
        <v>485</v>
      </c>
      <c r="S2699" s="94"/>
    </row>
    <row r="2700" spans="1:19" hidden="1">
      <c r="A2700" s="103" t="s">
        <v>4424</v>
      </c>
      <c r="B2700" s="138" t="str">
        <f ca="1"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 ca="1">IF(Proc[[#This Row],[type]]="LFF (MDG-F)",MID(Proc[[#This Row],[Obj]],13,10),"")</f>
        <v>DE20538964</v>
      </c>
      <c r="I2700" s="103" t="s">
        <v>4787</v>
      </c>
      <c r="J2700" s="94" t="b">
        <f ca="1">Proc[[#This Row],[Requested]]=Proc[[#This Row],[CurrentParent]]</f>
        <v>1</v>
      </c>
      <c r="K2700" s="94" t="str">
        <f ca="1"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48</v>
      </c>
      <c r="R2700" s="110" t="s">
        <v>485</v>
      </c>
      <c r="S2700" s="94"/>
    </row>
    <row r="2701" spans="1:19" hidden="1">
      <c r="A2701" s="103" t="s">
        <v>4424</v>
      </c>
      <c r="B2701" s="138" t="str">
        <f ca="1"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 ca="1">IF(Proc[[#This Row],[type]]="LFF (MDG-F)",MID(Proc[[#This Row],[Obj]],13,10),"")</f>
        <v>DE20538965</v>
      </c>
      <c r="I2701" s="103" t="s">
        <v>4787</v>
      </c>
      <c r="J2701" s="94" t="b">
        <f ca="1">Proc[[#This Row],[Requested]]=Proc[[#This Row],[CurrentParent]]</f>
        <v>1</v>
      </c>
      <c r="K2701" s="94" t="str">
        <f ca="1"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48</v>
      </c>
      <c r="R2701" s="110" t="s">
        <v>485</v>
      </c>
      <c r="S2701" s="94"/>
    </row>
    <row r="2702" spans="1:19" hidden="1">
      <c r="A2702" s="103" t="s">
        <v>4424</v>
      </c>
      <c r="B2702" s="138" t="str">
        <f ca="1"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 ca="1">IF(Proc[[#This Row],[type]]="LFF (MDG-F)",MID(Proc[[#This Row],[Obj]],13,10),"")</f>
        <v>DE20538966</v>
      </c>
      <c r="I2702" s="103" t="s">
        <v>4787</v>
      </c>
      <c r="J2702" s="94" t="b">
        <f ca="1">Proc[[#This Row],[Requested]]=Proc[[#This Row],[CurrentParent]]</f>
        <v>1</v>
      </c>
      <c r="K2702" s="94" t="str">
        <f ca="1"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48</v>
      </c>
      <c r="R2702" s="110" t="s">
        <v>485</v>
      </c>
      <c r="S2702" s="94"/>
    </row>
    <row r="2703" spans="1:19" hidden="1">
      <c r="A2703" s="103" t="s">
        <v>4424</v>
      </c>
      <c r="B2703" s="138" t="str">
        <f ca="1"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 ca="1">IF(Proc[[#This Row],[type]]="LFF (MDG-F)",MID(Proc[[#This Row],[Obj]],13,10),"")</f>
        <v>DE20538967</v>
      </c>
      <c r="I2703" s="103" t="s">
        <v>4787</v>
      </c>
      <c r="J2703" s="94" t="b">
        <f ca="1">Proc[[#This Row],[Requested]]=Proc[[#This Row],[CurrentParent]]</f>
        <v>1</v>
      </c>
      <c r="K2703" s="94" t="str">
        <f ca="1"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48</v>
      </c>
      <c r="R2703" s="110" t="s">
        <v>485</v>
      </c>
      <c r="S2703" s="94"/>
    </row>
    <row r="2704" spans="1:19" hidden="1">
      <c r="A2704" s="103" t="s">
        <v>4424</v>
      </c>
      <c r="B2704" s="138" t="str">
        <f ca="1"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 ca="1">IF(Proc[[#This Row],[type]]="LFF (MDG-F)",MID(Proc[[#This Row],[Obj]],13,10),"")</f>
        <v>DE20538968</v>
      </c>
      <c r="I2704" s="103" t="s">
        <v>4787</v>
      </c>
      <c r="J2704" s="94" t="b">
        <f ca="1">Proc[[#This Row],[Requested]]=Proc[[#This Row],[CurrentParent]]</f>
        <v>1</v>
      </c>
      <c r="K2704" s="94" t="str">
        <f ca="1"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48</v>
      </c>
      <c r="R2704" s="110" t="s">
        <v>485</v>
      </c>
      <c r="S2704" s="94"/>
    </row>
    <row r="2705" spans="1:19" hidden="1">
      <c r="A2705" s="103" t="s">
        <v>4424</v>
      </c>
      <c r="B2705" s="138" t="str">
        <f ca="1"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 ca="1">IF(Proc[[#This Row],[type]]="LFF (MDG-F)",MID(Proc[[#This Row],[Obj]],13,10),"")</f>
        <v>DE20538969</v>
      </c>
      <c r="I2705" s="103" t="s">
        <v>4787</v>
      </c>
      <c r="J2705" s="94" t="b">
        <f ca="1">Proc[[#This Row],[Requested]]=Proc[[#This Row],[CurrentParent]]</f>
        <v>1</v>
      </c>
      <c r="K2705" s="94" t="str">
        <f ca="1"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48</v>
      </c>
      <c r="R2705" s="110" t="s">
        <v>485</v>
      </c>
      <c r="S2705" s="94"/>
    </row>
    <row r="2706" spans="1:19" hidden="1">
      <c r="A2706" s="103" t="s">
        <v>4424</v>
      </c>
      <c r="B2706" s="138" t="str">
        <f ca="1"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 ca="1">IF(Proc[[#This Row],[type]]="LFF (MDG-F)",MID(Proc[[#This Row],[Obj]],13,10),"")</f>
        <v>DE20538970</v>
      </c>
      <c r="I2706" s="103" t="s">
        <v>4787</v>
      </c>
      <c r="J2706" s="94" t="b">
        <f ca="1">Proc[[#This Row],[Requested]]=Proc[[#This Row],[CurrentParent]]</f>
        <v>1</v>
      </c>
      <c r="K2706" s="94" t="str">
        <f ca="1"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48</v>
      </c>
      <c r="R2706" s="110" t="s">
        <v>485</v>
      </c>
      <c r="S2706" s="94"/>
    </row>
    <row r="2707" spans="1:19" hidden="1">
      <c r="A2707" s="103" t="s">
        <v>4424</v>
      </c>
      <c r="B2707" s="138" t="str">
        <f ca="1"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 ca="1">IF(Proc[[#This Row],[type]]="LFF (MDG-F)",MID(Proc[[#This Row],[Obj]],13,10),"")</f>
        <v>DE20538971</v>
      </c>
      <c r="I2707" s="103" t="s">
        <v>4787</v>
      </c>
      <c r="J2707" s="94" t="b">
        <f ca="1">Proc[[#This Row],[Requested]]=Proc[[#This Row],[CurrentParent]]</f>
        <v>1</v>
      </c>
      <c r="K2707" s="94" t="str">
        <f ca="1"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48</v>
      </c>
      <c r="R2707" s="110" t="s">
        <v>485</v>
      </c>
      <c r="S2707" s="94"/>
    </row>
    <row r="2708" spans="1:19" hidden="1">
      <c r="A2708" s="103" t="s">
        <v>4424</v>
      </c>
      <c r="B2708" s="138" t="str">
        <f ca="1"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 ca="1">IF(Proc[[#This Row],[type]]="LFF (MDG-F)",MID(Proc[[#This Row],[Obj]],13,10),"")</f>
        <v>DE20538972</v>
      </c>
      <c r="I2708" s="103" t="s">
        <v>4787</v>
      </c>
      <c r="J2708" s="94" t="b">
        <f ca="1">Proc[[#This Row],[Requested]]=Proc[[#This Row],[CurrentParent]]</f>
        <v>1</v>
      </c>
      <c r="K2708" s="94" t="str">
        <f ca="1"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48</v>
      </c>
      <c r="R2708" s="110" t="s">
        <v>485</v>
      </c>
      <c r="S2708" s="94"/>
    </row>
    <row r="2709" spans="1:19" hidden="1">
      <c r="A2709" s="103" t="s">
        <v>4424</v>
      </c>
      <c r="B2709" s="138" t="str">
        <f ca="1"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 ca="1">IF(Proc[[#This Row],[type]]="LFF (MDG-F)",MID(Proc[[#This Row],[Obj]],13,10),"")</f>
        <v>DE20538973</v>
      </c>
      <c r="I2709" s="103" t="s">
        <v>4787</v>
      </c>
      <c r="J2709" s="94" t="b">
        <f ca="1">Proc[[#This Row],[Requested]]=Proc[[#This Row],[CurrentParent]]</f>
        <v>1</v>
      </c>
      <c r="K2709" s="94" t="str">
        <f ca="1"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48</v>
      </c>
      <c r="R2709" s="110" t="s">
        <v>485</v>
      </c>
      <c r="S2709" s="94"/>
    </row>
    <row r="2710" spans="1:19" hidden="1">
      <c r="A2710" s="103" t="s">
        <v>4424</v>
      </c>
      <c r="B2710" s="138" t="str">
        <f ca="1"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 ca="1">IF(Proc[[#This Row],[type]]="LFF (MDG-F)",MID(Proc[[#This Row],[Obj]],13,10),"")</f>
        <v>DE20538974</v>
      </c>
      <c r="I2710" s="103" t="s">
        <v>4787</v>
      </c>
      <c r="J2710" s="94" t="b">
        <f ca="1">Proc[[#This Row],[Requested]]=Proc[[#This Row],[CurrentParent]]</f>
        <v>1</v>
      </c>
      <c r="K2710" s="94" t="str">
        <f ca="1"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48</v>
      </c>
      <c r="R2710" s="110" t="s">
        <v>485</v>
      </c>
      <c r="S2710" s="94"/>
    </row>
    <row r="2711" spans="1:19" hidden="1">
      <c r="A2711" s="103" t="s">
        <v>4424</v>
      </c>
      <c r="B2711" s="138" t="str">
        <f ca="1"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 ca="1">IF(Proc[[#This Row],[type]]="LFF (MDG-F)",MID(Proc[[#This Row],[Obj]],13,10),"")</f>
        <v>DE20538975</v>
      </c>
      <c r="I2711" s="103" t="s">
        <v>4787</v>
      </c>
      <c r="J2711" s="94" t="b">
        <f ca="1">Proc[[#This Row],[Requested]]=Proc[[#This Row],[CurrentParent]]</f>
        <v>1</v>
      </c>
      <c r="K2711" s="94" t="str">
        <f ca="1"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48</v>
      </c>
      <c r="R2711" s="110" t="s">
        <v>485</v>
      </c>
      <c r="S2711" s="94"/>
    </row>
    <row r="2712" spans="1:19" hidden="1">
      <c r="A2712" s="103" t="s">
        <v>4424</v>
      </c>
      <c r="B2712" s="138" t="str">
        <f ca="1"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 ca="1">IF(Proc[[#This Row],[type]]="LFF (MDG-F)",MID(Proc[[#This Row],[Obj]],13,10),"")</f>
        <v>DE20538977</v>
      </c>
      <c r="I2712" s="103" t="s">
        <v>4787</v>
      </c>
      <c r="J2712" s="94" t="b">
        <f ca="1">Proc[[#This Row],[Requested]]=Proc[[#This Row],[CurrentParent]]</f>
        <v>1</v>
      </c>
      <c r="K2712" s="94" t="str">
        <f ca="1"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48</v>
      </c>
      <c r="R2712" s="110" t="s">
        <v>485</v>
      </c>
      <c r="S2712" s="94"/>
    </row>
    <row r="2713" spans="1:19" hidden="1">
      <c r="A2713" s="103" t="s">
        <v>4424</v>
      </c>
      <c r="B2713" s="138" t="str">
        <f ca="1"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 ca="1">IF(Proc[[#This Row],[type]]="LFF (MDG-F)",MID(Proc[[#This Row],[Obj]],13,10),"")</f>
        <v>DE20538979</v>
      </c>
      <c r="I2713" s="103" t="s">
        <v>4787</v>
      </c>
      <c r="J2713" s="94" t="b">
        <f ca="1">Proc[[#This Row],[Requested]]=Proc[[#This Row],[CurrentParent]]</f>
        <v>1</v>
      </c>
      <c r="K2713" s="94" t="str">
        <f ca="1"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48</v>
      </c>
      <c r="R2713" s="110" t="s">
        <v>485</v>
      </c>
      <c r="S2713" s="94"/>
    </row>
    <row r="2714" spans="1:19" hidden="1">
      <c r="A2714" s="103" t="s">
        <v>4424</v>
      </c>
      <c r="B2714" s="138" t="str">
        <f ca="1"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 ca="1">IF(Proc[[#This Row],[type]]="LFF (MDG-F)",MID(Proc[[#This Row],[Obj]],13,10),"")</f>
        <v>DE20538980</v>
      </c>
      <c r="I2714" s="103" t="s">
        <v>4787</v>
      </c>
      <c r="J2714" s="94" t="b">
        <f ca="1">Proc[[#This Row],[Requested]]=Proc[[#This Row],[CurrentParent]]</f>
        <v>1</v>
      </c>
      <c r="K2714" s="94" t="str">
        <f ca="1"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48</v>
      </c>
      <c r="R2714" s="110" t="s">
        <v>485</v>
      </c>
      <c r="S2714" s="94"/>
    </row>
    <row r="2715" spans="1:19" hidden="1">
      <c r="A2715" s="103" t="s">
        <v>4424</v>
      </c>
      <c r="B2715" s="138" t="str">
        <f ca="1"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 ca="1">IF(Proc[[#This Row],[type]]="LFF (MDG-F)",MID(Proc[[#This Row],[Obj]],13,10),"")</f>
        <v>DE20538982</v>
      </c>
      <c r="I2715" s="103" t="s">
        <v>4787</v>
      </c>
      <c r="J2715" s="94" t="b">
        <f ca="1">Proc[[#This Row],[Requested]]=Proc[[#This Row],[CurrentParent]]</f>
        <v>1</v>
      </c>
      <c r="K2715" s="94" t="str">
        <f ca="1"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48</v>
      </c>
      <c r="R2715" s="110" t="s">
        <v>485</v>
      </c>
      <c r="S2715" s="94"/>
    </row>
    <row r="2716" spans="1:19" hidden="1">
      <c r="A2716" s="103" t="s">
        <v>4424</v>
      </c>
      <c r="B2716" s="138" t="str">
        <f ca="1"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 ca="1">IF(Proc[[#This Row],[type]]="LFF (MDG-F)",MID(Proc[[#This Row],[Obj]],13,10),"")</f>
        <v>DE20538984</v>
      </c>
      <c r="I2716" s="103" t="s">
        <v>4787</v>
      </c>
      <c r="J2716" s="94" t="b">
        <f ca="1">Proc[[#This Row],[Requested]]=Proc[[#This Row],[CurrentParent]]</f>
        <v>1</v>
      </c>
      <c r="K2716" s="94" t="str">
        <f ca="1"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48</v>
      </c>
      <c r="R2716" s="110" t="s">
        <v>485</v>
      </c>
      <c r="S2716" s="94"/>
    </row>
    <row r="2717" spans="1:19" hidden="1">
      <c r="A2717" s="103" t="s">
        <v>4424</v>
      </c>
      <c r="B2717" s="138" t="str">
        <f ca="1"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 ca="1">IF(Proc[[#This Row],[type]]="LFF (MDG-F)",MID(Proc[[#This Row],[Obj]],13,10),"")</f>
        <v>DE20538985</v>
      </c>
      <c r="I2717" s="103" t="s">
        <v>4787</v>
      </c>
      <c r="J2717" s="94" t="b">
        <f ca="1">Proc[[#This Row],[Requested]]=Proc[[#This Row],[CurrentParent]]</f>
        <v>1</v>
      </c>
      <c r="K2717" s="94" t="str">
        <f ca="1"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48</v>
      </c>
      <c r="R2717" s="110" t="s">
        <v>485</v>
      </c>
      <c r="S2717" s="94"/>
    </row>
    <row r="2718" spans="1:19" hidden="1">
      <c r="A2718" s="103" t="s">
        <v>4424</v>
      </c>
      <c r="B2718" s="138" t="str">
        <f ca="1"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 ca="1">IF(Proc[[#This Row],[type]]="LFF (MDG-F)",MID(Proc[[#This Row],[Obj]],13,10),"")</f>
        <v>DE20538994</v>
      </c>
      <c r="I2718" s="103" t="s">
        <v>4787</v>
      </c>
      <c r="J2718" s="94" t="b">
        <f ca="1">Proc[[#This Row],[Requested]]=Proc[[#This Row],[CurrentParent]]</f>
        <v>1</v>
      </c>
      <c r="K2718" s="94" t="str">
        <f ca="1"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48</v>
      </c>
      <c r="R2718" s="110" t="s">
        <v>485</v>
      </c>
      <c r="S2718" s="94"/>
    </row>
    <row r="2719" spans="1:19" hidden="1">
      <c r="A2719" s="103" t="s">
        <v>4424</v>
      </c>
      <c r="B2719" s="138" t="str">
        <f ca="1"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 ca="1">IF(Proc[[#This Row],[type]]="LFF (MDG-F)",MID(Proc[[#This Row],[Obj]],13,10),"")</f>
        <v>DE20539930</v>
      </c>
      <c r="I2719" s="103" t="s">
        <v>4787</v>
      </c>
      <c r="J2719" s="94" t="b">
        <f ca="1">Proc[[#This Row],[Requested]]=Proc[[#This Row],[CurrentParent]]</f>
        <v>1</v>
      </c>
      <c r="K2719" s="94" t="str">
        <f ca="1"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48</v>
      </c>
      <c r="R2719" s="110" t="s">
        <v>485</v>
      </c>
      <c r="S2719" s="94"/>
    </row>
    <row r="2720" spans="1:19" hidden="1">
      <c r="A2720" s="103" t="s">
        <v>4424</v>
      </c>
      <c r="B2720" s="138" t="str">
        <f ca="1"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 ca="1">IF(Proc[[#This Row],[type]]="LFF (MDG-F)",MID(Proc[[#This Row],[Obj]],13,10),"")</f>
        <v>DE20539931</v>
      </c>
      <c r="I2720" s="103" t="s">
        <v>4787</v>
      </c>
      <c r="J2720" s="94" t="b">
        <f ca="1">Proc[[#This Row],[Requested]]=Proc[[#This Row],[CurrentParent]]</f>
        <v>1</v>
      </c>
      <c r="K2720" s="94" t="str">
        <f ca="1"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48</v>
      </c>
      <c r="R2720" s="110" t="s">
        <v>485</v>
      </c>
      <c r="S2720" s="94"/>
    </row>
    <row r="2721" spans="1:19" hidden="1">
      <c r="A2721" s="103" t="s">
        <v>4424</v>
      </c>
      <c r="B2721" s="138" t="str">
        <f ca="1"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 ca="1">IF(Proc[[#This Row],[type]]="LFF (MDG-F)",MID(Proc[[#This Row],[Obj]],13,10),"")</f>
        <v>DE20539932</v>
      </c>
      <c r="I2721" s="103" t="s">
        <v>4787</v>
      </c>
      <c r="J2721" s="94" t="b">
        <f ca="1">Proc[[#This Row],[Requested]]=Proc[[#This Row],[CurrentParent]]</f>
        <v>1</v>
      </c>
      <c r="K2721" s="94" t="str">
        <f ca="1"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48</v>
      </c>
      <c r="R2721" s="110" t="s">
        <v>485</v>
      </c>
      <c r="S2721" s="94"/>
    </row>
    <row r="2722" spans="1:19" hidden="1">
      <c r="A2722" s="103" t="s">
        <v>4424</v>
      </c>
      <c r="B2722" s="138" t="str">
        <f ca="1"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 ca="1">IF(Proc[[#This Row],[type]]="LFF (MDG-F)",MID(Proc[[#This Row],[Obj]],13,10),"")</f>
        <v>DE20539934</v>
      </c>
      <c r="I2722" s="103" t="s">
        <v>4787</v>
      </c>
      <c r="J2722" s="94" t="b">
        <f ca="1">Proc[[#This Row],[Requested]]=Proc[[#This Row],[CurrentParent]]</f>
        <v>1</v>
      </c>
      <c r="K2722" s="94" t="str">
        <f ca="1"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48</v>
      </c>
      <c r="R2722" s="110" t="s">
        <v>485</v>
      </c>
      <c r="S2722" s="94"/>
    </row>
    <row r="2723" spans="1:19" hidden="1">
      <c r="A2723" s="103" t="s">
        <v>4424</v>
      </c>
      <c r="B2723" s="138" t="str">
        <f ca="1"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 ca="1">IF(Proc[[#This Row],[type]]="LFF (MDG-F)",MID(Proc[[#This Row],[Obj]],13,10),"")</f>
        <v>DE20539935</v>
      </c>
      <c r="I2723" s="103" t="s">
        <v>4787</v>
      </c>
      <c r="J2723" s="94" t="b">
        <f ca="1">Proc[[#This Row],[Requested]]=Proc[[#This Row],[CurrentParent]]</f>
        <v>1</v>
      </c>
      <c r="K2723" s="94" t="str">
        <f ca="1"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48</v>
      </c>
      <c r="R2723" s="110" t="s">
        <v>485</v>
      </c>
      <c r="S2723" s="94"/>
    </row>
    <row r="2724" spans="1:19" hidden="1">
      <c r="A2724" s="103" t="s">
        <v>4424</v>
      </c>
      <c r="B2724" s="138" t="str">
        <f ca="1"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 ca="1">IF(Proc[[#This Row],[type]]="LFF (MDG-F)",MID(Proc[[#This Row],[Obj]],13,10),"")</f>
        <v>DE20539936</v>
      </c>
      <c r="I2724" s="103" t="s">
        <v>4787</v>
      </c>
      <c r="J2724" s="94" t="b">
        <f ca="1">Proc[[#This Row],[Requested]]=Proc[[#This Row],[CurrentParent]]</f>
        <v>1</v>
      </c>
      <c r="K2724" s="94" t="str">
        <f ca="1"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48</v>
      </c>
      <c r="R2724" s="110" t="s">
        <v>485</v>
      </c>
      <c r="S2724" s="94"/>
    </row>
    <row r="2725" spans="1:19" hidden="1">
      <c r="A2725" s="103" t="s">
        <v>4424</v>
      </c>
      <c r="B2725" s="138" t="str">
        <f ca="1"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 ca="1">IF(Proc[[#This Row],[type]]="LFF (MDG-F)",MID(Proc[[#This Row],[Obj]],13,10),"")</f>
        <v>DE20539937</v>
      </c>
      <c r="I2725" s="103" t="s">
        <v>4787</v>
      </c>
      <c r="J2725" s="94" t="b">
        <f ca="1">Proc[[#This Row],[Requested]]=Proc[[#This Row],[CurrentParent]]</f>
        <v>1</v>
      </c>
      <c r="K2725" s="94" t="str">
        <f ca="1"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48</v>
      </c>
      <c r="R2725" s="110" t="s">
        <v>485</v>
      </c>
      <c r="S2725" s="94"/>
    </row>
    <row r="2726" spans="1:19" hidden="1">
      <c r="A2726" s="103" t="s">
        <v>4424</v>
      </c>
      <c r="B2726" s="138" t="str">
        <f ca="1"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 ca="1">IF(Proc[[#This Row],[type]]="LFF (MDG-F)",MID(Proc[[#This Row],[Obj]],13,10),"")</f>
        <v>DE20539938</v>
      </c>
      <c r="I2726" s="103" t="s">
        <v>4787</v>
      </c>
      <c r="J2726" s="94" t="b">
        <f ca="1">Proc[[#This Row],[Requested]]=Proc[[#This Row],[CurrentParent]]</f>
        <v>1</v>
      </c>
      <c r="K2726" s="94" t="str">
        <f ca="1"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48</v>
      </c>
      <c r="R2726" s="110" t="s">
        <v>485</v>
      </c>
      <c r="S2726" s="94"/>
    </row>
    <row r="2727" spans="1:19" hidden="1">
      <c r="A2727" s="103" t="s">
        <v>4424</v>
      </c>
      <c r="B2727" s="138" t="str">
        <f ca="1"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 ca="1">IF(Proc[[#This Row],[type]]="LFF (MDG-F)",MID(Proc[[#This Row],[Obj]],13,10),"")</f>
        <v>DE20539939</v>
      </c>
      <c r="I2727" s="103" t="s">
        <v>4787</v>
      </c>
      <c r="J2727" s="94" t="b">
        <f ca="1">Proc[[#This Row],[Requested]]=Proc[[#This Row],[CurrentParent]]</f>
        <v>1</v>
      </c>
      <c r="K2727" s="94" t="str">
        <f ca="1"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48</v>
      </c>
      <c r="R2727" s="110" t="s">
        <v>485</v>
      </c>
      <c r="S2727" s="94"/>
    </row>
    <row r="2728" spans="1:19" hidden="1">
      <c r="A2728" s="103" t="s">
        <v>4424</v>
      </c>
      <c r="B2728" s="138" t="str">
        <f ca="1"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 ca="1">IF(Proc[[#This Row],[type]]="LFF (MDG-F)",MID(Proc[[#This Row],[Obj]],13,10),"")</f>
        <v>DE20539940</v>
      </c>
      <c r="I2728" s="103" t="s">
        <v>4787</v>
      </c>
      <c r="J2728" s="94" t="b">
        <f ca="1">Proc[[#This Row],[Requested]]=Proc[[#This Row],[CurrentParent]]</f>
        <v>1</v>
      </c>
      <c r="K2728" s="94" t="str">
        <f ca="1"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48</v>
      </c>
      <c r="R2728" s="110" t="s">
        <v>485</v>
      </c>
      <c r="S2728" s="94"/>
    </row>
    <row r="2729" spans="1:19" hidden="1">
      <c r="A2729" s="103" t="s">
        <v>4424</v>
      </c>
      <c r="B2729" s="138" t="str">
        <f ca="1"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 ca="1">IF(Proc[[#This Row],[type]]="LFF (MDG-F)",MID(Proc[[#This Row],[Obj]],13,10),"")</f>
        <v>DE20539941</v>
      </c>
      <c r="I2729" s="103" t="s">
        <v>4787</v>
      </c>
      <c r="J2729" s="94" t="b">
        <f ca="1">Proc[[#This Row],[Requested]]=Proc[[#This Row],[CurrentParent]]</f>
        <v>1</v>
      </c>
      <c r="K2729" s="94" t="str">
        <f ca="1"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48</v>
      </c>
      <c r="R2729" s="110" t="s">
        <v>485</v>
      </c>
      <c r="S2729" s="94"/>
    </row>
    <row r="2730" spans="1:19" hidden="1">
      <c r="A2730" s="103" t="s">
        <v>4424</v>
      </c>
      <c r="B2730" s="138" t="str">
        <f ca="1"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 ca="1">IF(Proc[[#This Row],[type]]="LFF (MDG-F)",MID(Proc[[#This Row],[Obj]],13,10),"")</f>
        <v>DE20539942</v>
      </c>
      <c r="I2730" s="103" t="s">
        <v>4787</v>
      </c>
      <c r="J2730" s="94" t="b">
        <f ca="1">Proc[[#This Row],[Requested]]=Proc[[#This Row],[CurrentParent]]</f>
        <v>1</v>
      </c>
      <c r="K2730" s="94" t="str">
        <f ca="1"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48</v>
      </c>
      <c r="R2730" s="110" t="s">
        <v>485</v>
      </c>
      <c r="S2730" s="94"/>
    </row>
    <row r="2731" spans="1:19" hidden="1">
      <c r="A2731" s="103" t="s">
        <v>4424</v>
      </c>
      <c r="B2731" s="138" t="str">
        <f ca="1"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 ca="1">IF(Proc[[#This Row],[type]]="LFF (MDG-F)",MID(Proc[[#This Row],[Obj]],13,10),"")</f>
        <v>DE20539943</v>
      </c>
      <c r="I2731" s="103" t="s">
        <v>4787</v>
      </c>
      <c r="J2731" s="94" t="b">
        <f ca="1">Proc[[#This Row],[Requested]]=Proc[[#This Row],[CurrentParent]]</f>
        <v>1</v>
      </c>
      <c r="K2731" s="94" t="str">
        <f ca="1"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48</v>
      </c>
      <c r="R2731" s="110" t="s">
        <v>485</v>
      </c>
      <c r="S2731" s="94"/>
    </row>
    <row r="2732" spans="1:19" hidden="1">
      <c r="A2732" s="103" t="s">
        <v>4424</v>
      </c>
      <c r="B2732" s="138" t="str">
        <f ca="1"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 ca="1">IF(Proc[[#This Row],[type]]="LFF (MDG-F)",MID(Proc[[#This Row],[Obj]],13,10),"")</f>
        <v>DE20539944</v>
      </c>
      <c r="I2732" s="103" t="s">
        <v>4787</v>
      </c>
      <c r="J2732" s="94" t="b">
        <f ca="1">Proc[[#This Row],[Requested]]=Proc[[#This Row],[CurrentParent]]</f>
        <v>1</v>
      </c>
      <c r="K2732" s="94" t="str">
        <f ca="1"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48</v>
      </c>
      <c r="R2732" s="110" t="s">
        <v>485</v>
      </c>
      <c r="S2732" s="94"/>
    </row>
    <row r="2733" spans="1:19" hidden="1">
      <c r="A2733" s="103" t="s">
        <v>4424</v>
      </c>
      <c r="B2733" s="138" t="str">
        <f ca="1"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 ca="1">IF(Proc[[#This Row],[type]]="LFF (MDG-F)",MID(Proc[[#This Row],[Obj]],13,10),"")</f>
        <v>DE20539995</v>
      </c>
      <c r="I2733" s="103" t="s">
        <v>4787</v>
      </c>
      <c r="J2733" s="94" t="b">
        <f ca="1">Proc[[#This Row],[Requested]]=Proc[[#This Row],[CurrentParent]]</f>
        <v>1</v>
      </c>
      <c r="K2733" s="94" t="str">
        <f ca="1"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48</v>
      </c>
      <c r="R2733" s="110" t="s">
        <v>485</v>
      </c>
      <c r="S2733" s="94"/>
    </row>
    <row r="2734" spans="1:19" hidden="1">
      <c r="A2734" s="103" t="s">
        <v>4424</v>
      </c>
      <c r="B2734" s="138" t="str">
        <f ca="1"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 ca="1">IF(Proc[[#This Row],[type]]="LFF (MDG-F)",MID(Proc[[#This Row],[Obj]],13,10),"")</f>
        <v>DE20538103</v>
      </c>
      <c r="I2734" s="103" t="s">
        <v>4787</v>
      </c>
      <c r="J2734" s="94" t="b">
        <f ca="1">Proc[[#This Row],[Requested]]=Proc[[#This Row],[CurrentParent]]</f>
        <v>1</v>
      </c>
      <c r="K2734" s="94" t="str">
        <f ca="1"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48</v>
      </c>
      <c r="R2734" s="110" t="s">
        <v>485</v>
      </c>
      <c r="S2734" s="94"/>
    </row>
    <row r="2735" spans="1:19" hidden="1">
      <c r="A2735" s="103" t="s">
        <v>4424</v>
      </c>
      <c r="B2735" s="138" t="str">
        <f ca="1"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 ca="1">IF(Proc[[#This Row],[type]]="LFF (MDG-F)",MID(Proc[[#This Row],[Obj]],13,10),"")</f>
        <v>DE20538108</v>
      </c>
      <c r="I2735" s="103" t="s">
        <v>4787</v>
      </c>
      <c r="J2735" s="94" t="b">
        <f ca="1">Proc[[#This Row],[Requested]]=Proc[[#This Row],[CurrentParent]]</f>
        <v>1</v>
      </c>
      <c r="K2735" s="94" t="str">
        <f ca="1"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48</v>
      </c>
      <c r="R2735" s="110" t="s">
        <v>485</v>
      </c>
      <c r="S2735" s="94"/>
    </row>
    <row r="2736" spans="1:19" hidden="1">
      <c r="A2736" s="103" t="s">
        <v>4424</v>
      </c>
      <c r="B2736" s="138" t="str">
        <f ca="1"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 ca="1">IF(Proc[[#This Row],[type]]="LFF (MDG-F)",MID(Proc[[#This Row],[Obj]],13,10),"")</f>
        <v>DE20538110</v>
      </c>
      <c r="I2736" s="103" t="s">
        <v>4787</v>
      </c>
      <c r="J2736" s="94" t="b">
        <f ca="1">Proc[[#This Row],[Requested]]=Proc[[#This Row],[CurrentParent]]</f>
        <v>1</v>
      </c>
      <c r="K2736" s="94" t="str">
        <f ca="1"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48</v>
      </c>
      <c r="R2736" s="110" t="s">
        <v>485</v>
      </c>
      <c r="S2736" s="94"/>
    </row>
    <row r="2737" spans="1:19" hidden="1">
      <c r="A2737" s="103" t="s">
        <v>4424</v>
      </c>
      <c r="B2737" s="138" t="str">
        <f ca="1"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 ca="1">IF(Proc[[#This Row],[type]]="LFF (MDG-F)",MID(Proc[[#This Row],[Obj]],13,10),"")</f>
        <v>DE20538111</v>
      </c>
      <c r="I2737" s="103" t="s">
        <v>4787</v>
      </c>
      <c r="J2737" s="94" t="b">
        <f ca="1">Proc[[#This Row],[Requested]]=Proc[[#This Row],[CurrentParent]]</f>
        <v>1</v>
      </c>
      <c r="K2737" s="94" t="str">
        <f ca="1"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48</v>
      </c>
      <c r="R2737" s="110" t="s">
        <v>485</v>
      </c>
      <c r="S2737" s="94"/>
    </row>
    <row r="2738" spans="1:19" hidden="1">
      <c r="A2738" s="103" t="s">
        <v>4424</v>
      </c>
      <c r="B2738" s="138" t="str">
        <f ca="1"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 ca="1">IF(Proc[[#This Row],[type]]="LFF (MDG-F)",MID(Proc[[#This Row],[Obj]],13,10),"")</f>
        <v>DE20538112</v>
      </c>
      <c r="I2738" s="103" t="s">
        <v>4787</v>
      </c>
      <c r="J2738" s="94" t="b">
        <f ca="1">Proc[[#This Row],[Requested]]=Proc[[#This Row],[CurrentParent]]</f>
        <v>1</v>
      </c>
      <c r="K2738" s="94" t="str">
        <f ca="1"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48</v>
      </c>
      <c r="R2738" s="110" t="s">
        <v>485</v>
      </c>
      <c r="S2738" s="94"/>
    </row>
    <row r="2739" spans="1:19" hidden="1">
      <c r="A2739" s="103" t="s">
        <v>4424</v>
      </c>
      <c r="B2739" s="138" t="str">
        <f ca="1"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 ca="1">IF(Proc[[#This Row],[type]]="LFF (MDG-F)",MID(Proc[[#This Row],[Obj]],13,10),"")</f>
        <v>DE20538113</v>
      </c>
      <c r="I2739" s="103" t="s">
        <v>4787</v>
      </c>
      <c r="J2739" s="94" t="b">
        <f ca="1">Proc[[#This Row],[Requested]]=Proc[[#This Row],[CurrentParent]]</f>
        <v>1</v>
      </c>
      <c r="K2739" s="94" t="str">
        <f ca="1"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48</v>
      </c>
      <c r="R2739" s="110" t="s">
        <v>485</v>
      </c>
      <c r="S2739" s="94"/>
    </row>
    <row r="2740" spans="1:19" hidden="1">
      <c r="A2740" s="103" t="s">
        <v>4424</v>
      </c>
      <c r="B2740" s="138" t="str">
        <f ca="1"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 ca="1">IF(Proc[[#This Row],[type]]="LFF (MDG-F)",MID(Proc[[#This Row],[Obj]],13,10),"")</f>
        <v>DE20538114</v>
      </c>
      <c r="I2740" s="103" t="s">
        <v>4787</v>
      </c>
      <c r="J2740" s="94" t="b">
        <f ca="1">Proc[[#This Row],[Requested]]=Proc[[#This Row],[CurrentParent]]</f>
        <v>1</v>
      </c>
      <c r="K2740" s="94" t="str">
        <f ca="1"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48</v>
      </c>
      <c r="R2740" s="110" t="s">
        <v>485</v>
      </c>
      <c r="S2740" s="94"/>
    </row>
    <row r="2741" spans="1:19" hidden="1">
      <c r="A2741" s="103" t="s">
        <v>4424</v>
      </c>
      <c r="B2741" s="138" t="str">
        <f ca="1"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 ca="1">IF(Proc[[#This Row],[type]]="LFF (MDG-F)",MID(Proc[[#This Row],[Obj]],13,10),"")</f>
        <v>DE20538115</v>
      </c>
      <c r="I2741" s="103" t="s">
        <v>4787</v>
      </c>
      <c r="J2741" s="94" t="b">
        <f ca="1">Proc[[#This Row],[Requested]]=Proc[[#This Row],[CurrentParent]]</f>
        <v>1</v>
      </c>
      <c r="K2741" s="94" t="str">
        <f ca="1"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48</v>
      </c>
      <c r="R2741" s="110" t="s">
        <v>485</v>
      </c>
      <c r="S2741" s="94"/>
    </row>
    <row r="2742" spans="1:19" hidden="1">
      <c r="A2742" s="103" t="s">
        <v>4424</v>
      </c>
      <c r="B2742" s="138" t="str">
        <f ca="1"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 ca="1">IF(Proc[[#This Row],[type]]="LFF (MDG-F)",MID(Proc[[#This Row],[Obj]],13,10),"")</f>
        <v>DE20538117</v>
      </c>
      <c r="I2742" s="103" t="s">
        <v>4787</v>
      </c>
      <c r="J2742" s="94" t="b">
        <f ca="1">Proc[[#This Row],[Requested]]=Proc[[#This Row],[CurrentParent]]</f>
        <v>1</v>
      </c>
      <c r="K2742" s="94" t="str">
        <f ca="1"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48</v>
      </c>
      <c r="R2742" s="110" t="s">
        <v>485</v>
      </c>
      <c r="S2742" s="94"/>
    </row>
    <row r="2743" spans="1:19" hidden="1">
      <c r="A2743" s="103" t="s">
        <v>4424</v>
      </c>
      <c r="B2743" s="138" t="str">
        <f ca="1"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 ca="1">IF(Proc[[#This Row],[type]]="LFF (MDG-F)",MID(Proc[[#This Row],[Obj]],13,10),"")</f>
        <v>DE20538119</v>
      </c>
      <c r="I2743" s="103" t="s">
        <v>4787</v>
      </c>
      <c r="J2743" s="94" t="b">
        <f ca="1">Proc[[#This Row],[Requested]]=Proc[[#This Row],[CurrentParent]]</f>
        <v>1</v>
      </c>
      <c r="K2743" s="94" t="str">
        <f ca="1"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48</v>
      </c>
      <c r="R2743" s="110" t="s">
        <v>485</v>
      </c>
      <c r="S2743" s="94"/>
    </row>
    <row r="2744" spans="1:19" hidden="1">
      <c r="A2744" s="103" t="s">
        <v>4424</v>
      </c>
      <c r="B2744" s="138" t="str">
        <f ca="1"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 ca="1">IF(Proc[[#This Row],[type]]="LFF (MDG-F)",MID(Proc[[#This Row],[Obj]],13,10),"")</f>
        <v>DE20538120</v>
      </c>
      <c r="I2744" s="103" t="s">
        <v>4787</v>
      </c>
      <c r="J2744" s="94" t="b">
        <f ca="1">Proc[[#This Row],[Requested]]=Proc[[#This Row],[CurrentParent]]</f>
        <v>1</v>
      </c>
      <c r="K2744" s="94" t="str">
        <f ca="1"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48</v>
      </c>
      <c r="R2744" s="110" t="s">
        <v>485</v>
      </c>
      <c r="S2744" s="94"/>
    </row>
    <row r="2745" spans="1:19" hidden="1">
      <c r="A2745" s="103" t="s">
        <v>4424</v>
      </c>
      <c r="B2745" s="138" t="str">
        <f ca="1"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 ca="1">IF(Proc[[#This Row],[type]]="LFF (MDG-F)",MID(Proc[[#This Row],[Obj]],13,10),"")</f>
        <v>DE20538121</v>
      </c>
      <c r="I2745" s="103" t="s">
        <v>4787</v>
      </c>
      <c r="J2745" s="94" t="b">
        <f ca="1">Proc[[#This Row],[Requested]]=Proc[[#This Row],[CurrentParent]]</f>
        <v>1</v>
      </c>
      <c r="K2745" s="94" t="str">
        <f ca="1"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48</v>
      </c>
      <c r="R2745" s="110" t="s">
        <v>485</v>
      </c>
      <c r="S2745" s="94"/>
    </row>
    <row r="2746" spans="1:19" hidden="1">
      <c r="A2746" s="103" t="s">
        <v>4424</v>
      </c>
      <c r="B2746" s="138" t="str">
        <f ca="1"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 ca="1">IF(Proc[[#This Row],[type]]="LFF (MDG-F)",MID(Proc[[#This Row],[Obj]],13,10),"")</f>
        <v>DE20538122</v>
      </c>
      <c r="I2746" s="103" t="s">
        <v>4787</v>
      </c>
      <c r="J2746" s="94" t="b">
        <f ca="1">Proc[[#This Row],[Requested]]=Proc[[#This Row],[CurrentParent]]</f>
        <v>1</v>
      </c>
      <c r="K2746" s="94" t="str">
        <f ca="1"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48</v>
      </c>
      <c r="R2746" s="110" t="s">
        <v>485</v>
      </c>
      <c r="S2746" s="94"/>
    </row>
    <row r="2747" spans="1:19" hidden="1">
      <c r="A2747" s="103" t="s">
        <v>4424</v>
      </c>
      <c r="B2747" s="138" t="str">
        <f ca="1"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 ca="1">IF(Proc[[#This Row],[type]]="LFF (MDG-F)",MID(Proc[[#This Row],[Obj]],13,10),"")</f>
        <v>DE20538124</v>
      </c>
      <c r="I2747" s="103" t="s">
        <v>4787</v>
      </c>
      <c r="J2747" s="94" t="b">
        <f ca="1">Proc[[#This Row],[Requested]]=Proc[[#This Row],[CurrentParent]]</f>
        <v>1</v>
      </c>
      <c r="K2747" s="94" t="str">
        <f ca="1"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48</v>
      </c>
      <c r="R2747" s="110" t="s">
        <v>485</v>
      </c>
      <c r="S2747" s="94"/>
    </row>
    <row r="2748" spans="1:19" hidden="1">
      <c r="A2748" s="103" t="s">
        <v>4424</v>
      </c>
      <c r="B2748" s="138" t="str">
        <f ca="1"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 ca="1">IF(Proc[[#This Row],[type]]="LFF (MDG-F)",MID(Proc[[#This Row],[Obj]],13,10),"")</f>
        <v>DE20538129</v>
      </c>
      <c r="I2748" s="103" t="s">
        <v>4787</v>
      </c>
      <c r="J2748" s="94" t="b">
        <f ca="1">Proc[[#This Row],[Requested]]=Proc[[#This Row],[CurrentParent]]</f>
        <v>1</v>
      </c>
      <c r="K2748" s="94" t="str">
        <f ca="1"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48</v>
      </c>
      <c r="R2748" s="110" t="s">
        <v>485</v>
      </c>
      <c r="S2748" s="94"/>
    </row>
    <row r="2749" spans="1:19" hidden="1">
      <c r="A2749" s="103" t="s">
        <v>4424</v>
      </c>
      <c r="B2749" s="138" t="str">
        <f ca="1"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 ca="1">IF(Proc[[#This Row],[type]]="LFF (MDG-F)",MID(Proc[[#This Row],[Obj]],13,10),"")</f>
        <v>DE20538130</v>
      </c>
      <c r="I2749" s="103" t="s">
        <v>4787</v>
      </c>
      <c r="J2749" s="94" t="b">
        <f ca="1">Proc[[#This Row],[Requested]]=Proc[[#This Row],[CurrentParent]]</f>
        <v>1</v>
      </c>
      <c r="K2749" s="94" t="str">
        <f ca="1"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48</v>
      </c>
      <c r="R2749" s="110" t="s">
        <v>485</v>
      </c>
      <c r="S2749" s="94"/>
    </row>
    <row r="2750" spans="1:19" hidden="1">
      <c r="A2750" s="103" t="s">
        <v>4424</v>
      </c>
      <c r="B2750" s="138" t="str">
        <f ca="1"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 ca="1">IF(Proc[[#This Row],[type]]="LFF (MDG-F)",MID(Proc[[#This Row],[Obj]],13,10),"")</f>
        <v>DE20538131</v>
      </c>
      <c r="I2750" s="103" t="s">
        <v>4787</v>
      </c>
      <c r="J2750" s="94" t="b">
        <f ca="1">Proc[[#This Row],[Requested]]=Proc[[#This Row],[CurrentParent]]</f>
        <v>1</v>
      </c>
      <c r="K2750" s="94" t="str">
        <f ca="1"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48</v>
      </c>
      <c r="R2750" s="110" t="s">
        <v>485</v>
      </c>
      <c r="S2750" s="94"/>
    </row>
    <row r="2751" spans="1:19" hidden="1">
      <c r="A2751" s="103" t="s">
        <v>4424</v>
      </c>
      <c r="B2751" s="138" t="str">
        <f ca="1"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 ca="1">IF(Proc[[#This Row],[type]]="LFF (MDG-F)",MID(Proc[[#This Row],[Obj]],13,10),"")</f>
        <v>DE20538133</v>
      </c>
      <c r="I2751" s="103" t="s">
        <v>4787</v>
      </c>
      <c r="J2751" s="94" t="b">
        <f ca="1">Proc[[#This Row],[Requested]]=Proc[[#This Row],[CurrentParent]]</f>
        <v>1</v>
      </c>
      <c r="K2751" s="94" t="str">
        <f ca="1"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48</v>
      </c>
      <c r="R2751" s="110" t="s">
        <v>485</v>
      </c>
      <c r="S2751" s="94"/>
    </row>
    <row r="2752" spans="1:19" hidden="1">
      <c r="A2752" s="103" t="s">
        <v>4424</v>
      </c>
      <c r="B2752" s="138" t="str">
        <f ca="1"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 ca="1">IF(Proc[[#This Row],[type]]="LFF (MDG-F)",MID(Proc[[#This Row],[Obj]],13,10),"")</f>
        <v>DE20538134</v>
      </c>
      <c r="I2752" s="103" t="s">
        <v>4787</v>
      </c>
      <c r="J2752" s="94" t="b">
        <f ca="1">Proc[[#This Row],[Requested]]=Proc[[#This Row],[CurrentParent]]</f>
        <v>1</v>
      </c>
      <c r="K2752" s="94" t="str">
        <f ca="1"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48</v>
      </c>
      <c r="R2752" s="110" t="s">
        <v>485</v>
      </c>
      <c r="S2752" s="94"/>
    </row>
    <row r="2753" spans="1:19" hidden="1">
      <c r="A2753" s="103" t="s">
        <v>4424</v>
      </c>
      <c r="B2753" s="138" t="str">
        <f ca="1"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 ca="1">IF(Proc[[#This Row],[type]]="LFF (MDG-F)",MID(Proc[[#This Row],[Obj]],13,10),"")</f>
        <v>DE20538135</v>
      </c>
      <c r="I2753" s="103" t="s">
        <v>4787</v>
      </c>
      <c r="J2753" s="94" t="b">
        <f ca="1">Proc[[#This Row],[Requested]]=Proc[[#This Row],[CurrentParent]]</f>
        <v>1</v>
      </c>
      <c r="K2753" s="94" t="str">
        <f ca="1"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48</v>
      </c>
      <c r="R2753" s="110" t="s">
        <v>485</v>
      </c>
      <c r="S2753" s="94"/>
    </row>
    <row r="2754" spans="1:19" hidden="1">
      <c r="A2754" s="103" t="s">
        <v>4424</v>
      </c>
      <c r="B2754" s="138" t="str">
        <f ca="1"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 ca="1">IF(Proc[[#This Row],[type]]="LFF (MDG-F)",MID(Proc[[#This Row],[Obj]],13,10),"")</f>
        <v>DE20538138</v>
      </c>
      <c r="I2754" s="103" t="s">
        <v>4787</v>
      </c>
      <c r="J2754" s="94" t="b">
        <f ca="1">Proc[[#This Row],[Requested]]=Proc[[#This Row],[CurrentParent]]</f>
        <v>1</v>
      </c>
      <c r="K2754" s="94" t="str">
        <f ca="1"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48</v>
      </c>
      <c r="R2754" s="110" t="s">
        <v>485</v>
      </c>
      <c r="S2754" s="94"/>
    </row>
    <row r="2755" spans="1:19" hidden="1">
      <c r="A2755" s="103" t="s">
        <v>4424</v>
      </c>
      <c r="B2755" s="138" t="str">
        <f ca="1"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 ca="1">IF(Proc[[#This Row],[type]]="LFF (MDG-F)",MID(Proc[[#This Row],[Obj]],13,10),"")</f>
        <v>DE20538139</v>
      </c>
      <c r="I2755" s="103" t="s">
        <v>4787</v>
      </c>
      <c r="J2755" s="94" t="b">
        <f ca="1">Proc[[#This Row],[Requested]]=Proc[[#This Row],[CurrentParent]]</f>
        <v>1</v>
      </c>
      <c r="K2755" s="94" t="str">
        <f ca="1"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48</v>
      </c>
      <c r="R2755" s="110" t="s">
        <v>485</v>
      </c>
      <c r="S2755" s="94"/>
    </row>
    <row r="2756" spans="1:19" hidden="1">
      <c r="A2756" s="103" t="s">
        <v>4424</v>
      </c>
      <c r="B2756" s="138" t="str">
        <f ca="1"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 ca="1">IF(Proc[[#This Row],[type]]="LFF (MDG-F)",MID(Proc[[#This Row],[Obj]],13,10),"")</f>
        <v>DE20538142</v>
      </c>
      <c r="I2756" s="103" t="s">
        <v>4787</v>
      </c>
      <c r="J2756" s="94" t="b">
        <f ca="1">Proc[[#This Row],[Requested]]=Proc[[#This Row],[CurrentParent]]</f>
        <v>1</v>
      </c>
      <c r="K2756" s="94" t="str">
        <f ca="1"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48</v>
      </c>
      <c r="R2756" s="110" t="s">
        <v>485</v>
      </c>
      <c r="S2756" s="94"/>
    </row>
    <row r="2757" spans="1:19" hidden="1">
      <c r="A2757" s="103" t="s">
        <v>4424</v>
      </c>
      <c r="B2757" s="138" t="str">
        <f ca="1"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 ca="1">IF(Proc[[#This Row],[type]]="LFF (MDG-F)",MID(Proc[[#This Row],[Obj]],13,10),"")</f>
        <v>DE20538144</v>
      </c>
      <c r="I2757" s="103" t="s">
        <v>4787</v>
      </c>
      <c r="J2757" s="94" t="b">
        <f ca="1">Proc[[#This Row],[Requested]]=Proc[[#This Row],[CurrentParent]]</f>
        <v>1</v>
      </c>
      <c r="K2757" s="94" t="str">
        <f ca="1"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48</v>
      </c>
      <c r="R2757" s="110" t="s">
        <v>485</v>
      </c>
      <c r="S2757" s="94"/>
    </row>
    <row r="2758" spans="1:19" hidden="1">
      <c r="A2758" s="103" t="s">
        <v>4424</v>
      </c>
      <c r="B2758" s="138" t="str">
        <f ca="1"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 ca="1">IF(Proc[[#This Row],[type]]="LFF (MDG-F)",MID(Proc[[#This Row],[Obj]],13,10),"")</f>
        <v>DE20538161</v>
      </c>
      <c r="I2758" s="103" t="s">
        <v>4787</v>
      </c>
      <c r="J2758" s="94" t="b">
        <f ca="1">Proc[[#This Row],[Requested]]=Proc[[#This Row],[CurrentParent]]</f>
        <v>1</v>
      </c>
      <c r="K2758" s="94" t="str">
        <f ca="1"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48</v>
      </c>
      <c r="R2758" s="110" t="s">
        <v>485</v>
      </c>
      <c r="S2758" s="94"/>
    </row>
    <row r="2759" spans="1:19" hidden="1">
      <c r="A2759" s="103" t="s">
        <v>4424</v>
      </c>
      <c r="B2759" s="138" t="str">
        <f ca="1"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 ca="1">IF(Proc[[#This Row],[type]]="LFF (MDG-F)",MID(Proc[[#This Row],[Obj]],13,10),"")</f>
        <v>DE20538174</v>
      </c>
      <c r="I2759" s="103" t="s">
        <v>4787</v>
      </c>
      <c r="J2759" s="94" t="b">
        <f ca="1">Proc[[#This Row],[Requested]]=Proc[[#This Row],[CurrentParent]]</f>
        <v>1</v>
      </c>
      <c r="K2759" s="94" t="str">
        <f ca="1"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48</v>
      </c>
      <c r="R2759" s="110" t="s">
        <v>485</v>
      </c>
      <c r="S2759" s="94"/>
    </row>
    <row r="2760" spans="1:19" hidden="1">
      <c r="A2760" s="103" t="s">
        <v>4424</v>
      </c>
      <c r="B2760" s="138" t="str">
        <f ca="1"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 ca="1">IF(Proc[[#This Row],[type]]="LFF (MDG-F)",MID(Proc[[#This Row],[Obj]],13,10),"")</f>
        <v>DE20538178</v>
      </c>
      <c r="I2760" s="103" t="s">
        <v>4787</v>
      </c>
      <c r="J2760" s="94" t="b">
        <f ca="1">Proc[[#This Row],[Requested]]=Proc[[#This Row],[CurrentParent]]</f>
        <v>1</v>
      </c>
      <c r="K2760" s="94" t="str">
        <f ca="1"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48</v>
      </c>
      <c r="R2760" s="110" t="s">
        <v>485</v>
      </c>
      <c r="S2760" s="94"/>
    </row>
    <row r="2761" spans="1:19" hidden="1">
      <c r="A2761" s="103" t="s">
        <v>4424</v>
      </c>
      <c r="B2761" s="138" t="str">
        <f ca="1"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 ca="1">IF(Proc[[#This Row],[type]]="LFF (MDG-F)",MID(Proc[[#This Row],[Obj]],13,10),"")</f>
        <v>DE20538192</v>
      </c>
      <c r="I2761" s="103" t="s">
        <v>4787</v>
      </c>
      <c r="J2761" s="94" t="b">
        <f ca="1">Proc[[#This Row],[Requested]]=Proc[[#This Row],[CurrentParent]]</f>
        <v>1</v>
      </c>
      <c r="K2761" s="94" t="str">
        <f ca="1"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48</v>
      </c>
      <c r="R2761" s="110" t="s">
        <v>485</v>
      </c>
      <c r="S2761" s="94"/>
    </row>
    <row r="2762" spans="1:19" hidden="1">
      <c r="A2762" s="103" t="s">
        <v>4424</v>
      </c>
      <c r="B2762" s="138" t="str">
        <f ca="1"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 ca="1">IF(Proc[[#This Row],[type]]="LFF (MDG-F)",MID(Proc[[#This Row],[Obj]],13,10),"")</f>
        <v>DE20538397</v>
      </c>
      <c r="I2762" s="103" t="s">
        <v>4787</v>
      </c>
      <c r="J2762" s="94" t="b">
        <f ca="1">Proc[[#This Row],[Requested]]=Proc[[#This Row],[CurrentParent]]</f>
        <v>1</v>
      </c>
      <c r="K2762" s="94" t="str">
        <f ca="1"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48</v>
      </c>
      <c r="R2762" s="110" t="s">
        <v>485</v>
      </c>
      <c r="S2762" s="94"/>
    </row>
    <row r="2763" spans="1:19" hidden="1">
      <c r="A2763" s="103" t="s">
        <v>4424</v>
      </c>
      <c r="B2763" s="138" t="str">
        <f ca="1"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 ca="1">IF(Proc[[#This Row],[type]]="LFF (MDG-F)",MID(Proc[[#This Row],[Obj]],13,10),"")</f>
        <v>DE20538556</v>
      </c>
      <c r="I2763" s="103" t="s">
        <v>4787</v>
      </c>
      <c r="J2763" s="94" t="b">
        <f ca="1">Proc[[#This Row],[Requested]]=Proc[[#This Row],[CurrentParent]]</f>
        <v>1</v>
      </c>
      <c r="K2763" s="94" t="str">
        <f ca="1"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48</v>
      </c>
      <c r="R2763" s="110" t="s">
        <v>485</v>
      </c>
      <c r="S2763" s="94"/>
    </row>
    <row r="2764" spans="1:19" hidden="1">
      <c r="A2764" s="103" t="s">
        <v>4424</v>
      </c>
      <c r="B2764" s="138" t="str">
        <f ca="1"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 ca="1">IF(Proc[[#This Row],[type]]="LFF (MDG-F)",MID(Proc[[#This Row],[Obj]],13,10),"")</f>
        <v>DE20538654</v>
      </c>
      <c r="I2764" s="103" t="s">
        <v>4787</v>
      </c>
      <c r="J2764" s="94" t="b">
        <f ca="1">Proc[[#This Row],[Requested]]=Proc[[#This Row],[CurrentParent]]</f>
        <v>1</v>
      </c>
      <c r="K2764" s="94" t="str">
        <f ca="1"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48</v>
      </c>
      <c r="R2764" s="110" t="s">
        <v>485</v>
      </c>
      <c r="S2764" s="94"/>
    </row>
    <row r="2765" spans="1:19" hidden="1">
      <c r="A2765" s="103" t="s">
        <v>4424</v>
      </c>
      <c r="B2765" s="138" t="str">
        <f ca="1"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 ca="1">IF(Proc[[#This Row],[type]]="LFF (MDG-F)",MID(Proc[[#This Row],[Obj]],13,10),"")</f>
        <v>DE20579990</v>
      </c>
      <c r="I2765" s="103" t="s">
        <v>4787</v>
      </c>
      <c r="J2765" s="94" t="b">
        <f ca="1">Proc[[#This Row],[Requested]]=Proc[[#This Row],[CurrentParent]]</f>
        <v>1</v>
      </c>
      <c r="K2765" s="94" t="str">
        <f ca="1"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48</v>
      </c>
      <c r="R2765" s="110" t="s">
        <v>485</v>
      </c>
      <c r="S2765" s="94"/>
    </row>
    <row r="2766" spans="1:19" hidden="1">
      <c r="A2766" s="103" t="s">
        <v>4424</v>
      </c>
      <c r="B2766" s="138" t="str">
        <f ca="1"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 ca="1">IF(Proc[[#This Row],[type]]="LFF (MDG-F)",MID(Proc[[#This Row],[Obj]],13,10),"")</f>
        <v>DE20538107</v>
      </c>
      <c r="I2766" s="103" t="s">
        <v>4787</v>
      </c>
      <c r="J2766" s="94" t="b">
        <f ca="1">Proc[[#This Row],[Requested]]=Proc[[#This Row],[CurrentParent]]</f>
        <v>1</v>
      </c>
      <c r="K2766" s="94" t="str">
        <f ca="1"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48</v>
      </c>
      <c r="R2766" s="110" t="s">
        <v>485</v>
      </c>
      <c r="S2766" s="94"/>
    </row>
    <row r="2767" spans="1:19" hidden="1">
      <c r="A2767" s="103" t="s">
        <v>4424</v>
      </c>
      <c r="B2767" s="138" t="str">
        <f ca="1"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 ca="1">IF(Proc[[#This Row],[type]]="LFF (MDG-F)",MID(Proc[[#This Row],[Obj]],13,10),"")</f>
        <v>DE20538118</v>
      </c>
      <c r="I2767" s="103" t="s">
        <v>4787</v>
      </c>
      <c r="J2767" s="94" t="b">
        <f ca="1">Proc[[#This Row],[Requested]]=Proc[[#This Row],[CurrentParent]]</f>
        <v>1</v>
      </c>
      <c r="K2767" s="94" t="str">
        <f ca="1"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48</v>
      </c>
      <c r="R2767" s="110" t="s">
        <v>485</v>
      </c>
      <c r="S2767" s="94"/>
    </row>
    <row r="2768" spans="1:19" hidden="1">
      <c r="A2768" s="103" t="s">
        <v>4424</v>
      </c>
      <c r="B2768" s="138" t="str">
        <f ca="1"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 ca="1">IF(Proc[[#This Row],[type]]="LFF (MDG-F)",MID(Proc[[#This Row],[Obj]],13,10),"")</f>
        <v>DE20538136</v>
      </c>
      <c r="I2768" s="103" t="s">
        <v>4787</v>
      </c>
      <c r="J2768" s="94" t="b">
        <f ca="1">Proc[[#This Row],[Requested]]=Proc[[#This Row],[CurrentParent]]</f>
        <v>1</v>
      </c>
      <c r="K2768" s="94" t="str">
        <f ca="1"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48</v>
      </c>
      <c r="R2768" s="110" t="s">
        <v>485</v>
      </c>
      <c r="S2768" s="94"/>
    </row>
    <row r="2769" spans="1:19" hidden="1">
      <c r="A2769" s="103" t="s">
        <v>4424</v>
      </c>
      <c r="B2769" s="138" t="str">
        <f ca="1"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 ca="1">IF(Proc[[#This Row],[type]]="LFF (MDG-F)",MID(Proc[[#This Row],[Obj]],13,10),"")</f>
        <v>DE20538137</v>
      </c>
      <c r="I2769" s="103" t="s">
        <v>4787</v>
      </c>
      <c r="J2769" s="94" t="b">
        <f ca="1">Proc[[#This Row],[Requested]]=Proc[[#This Row],[CurrentParent]]</f>
        <v>1</v>
      </c>
      <c r="K2769" s="94" t="str">
        <f ca="1"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48</v>
      </c>
      <c r="R2769" s="110" t="s">
        <v>485</v>
      </c>
      <c r="S2769" s="94"/>
    </row>
    <row r="2770" spans="1:19" hidden="1">
      <c r="A2770" s="103" t="s">
        <v>4424</v>
      </c>
      <c r="B2770" s="138" t="str">
        <f ca="1"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 ca="1">IF(Proc[[#This Row],[type]]="LFF (MDG-F)",MID(Proc[[#This Row],[Obj]],13,10),"")</f>
        <v>DE20538141</v>
      </c>
      <c r="I2770" s="103" t="s">
        <v>4787</v>
      </c>
      <c r="J2770" s="94" t="b">
        <f ca="1">Proc[[#This Row],[Requested]]=Proc[[#This Row],[CurrentParent]]</f>
        <v>1</v>
      </c>
      <c r="K2770" s="94" t="str">
        <f ca="1"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48</v>
      </c>
      <c r="R2770" s="110" t="s">
        <v>485</v>
      </c>
      <c r="S2770" s="94"/>
    </row>
    <row r="2771" spans="1:19" hidden="1">
      <c r="A2771" s="103" t="s">
        <v>4424</v>
      </c>
      <c r="B2771" s="138" t="str">
        <f ca="1"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 ca="1">IF(Proc[[#This Row],[type]]="LFF (MDG-F)",MID(Proc[[#This Row],[Obj]],13,10),"")</f>
        <v>DE20538143</v>
      </c>
      <c r="I2771" s="103" t="s">
        <v>4787</v>
      </c>
      <c r="J2771" s="94" t="b">
        <f ca="1">Proc[[#This Row],[Requested]]=Proc[[#This Row],[CurrentParent]]</f>
        <v>1</v>
      </c>
      <c r="K2771" s="94" t="str">
        <f ca="1"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48</v>
      </c>
      <c r="R2771" s="110" t="s">
        <v>485</v>
      </c>
      <c r="S2771" s="94"/>
    </row>
    <row r="2772" spans="1:19" hidden="1">
      <c r="A2772" s="103" t="s">
        <v>4424</v>
      </c>
      <c r="B2772" s="138" t="str">
        <f ca="1"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 ca="1">IF(Proc[[#This Row],[type]]="LFF (MDG-F)",MID(Proc[[#This Row],[Obj]],13,10),"")</f>
        <v>DE20538147</v>
      </c>
      <c r="I2772" s="103" t="s">
        <v>4787</v>
      </c>
      <c r="J2772" s="94" t="b">
        <f ca="1">Proc[[#This Row],[Requested]]=Proc[[#This Row],[CurrentParent]]</f>
        <v>1</v>
      </c>
      <c r="K2772" s="94" t="str">
        <f ca="1"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48</v>
      </c>
      <c r="R2772" s="110" t="s">
        <v>485</v>
      </c>
      <c r="S2772" s="94"/>
    </row>
    <row r="2773" spans="1:19" hidden="1">
      <c r="A2773" s="103" t="s">
        <v>4424</v>
      </c>
      <c r="B2773" s="138" t="str">
        <f ca="1"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 ca="1">IF(Proc[[#This Row],[type]]="LFF (MDG-F)",MID(Proc[[#This Row],[Obj]],13,10),"")</f>
        <v>DE20538148</v>
      </c>
      <c r="I2773" s="103" t="s">
        <v>4787</v>
      </c>
      <c r="J2773" s="94" t="b">
        <f ca="1">Proc[[#This Row],[Requested]]=Proc[[#This Row],[CurrentParent]]</f>
        <v>1</v>
      </c>
      <c r="K2773" s="94" t="str">
        <f ca="1"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48</v>
      </c>
      <c r="R2773" s="110" t="s">
        <v>485</v>
      </c>
      <c r="S2773" s="94"/>
    </row>
    <row r="2774" spans="1:19" hidden="1">
      <c r="A2774" s="103" t="s">
        <v>4424</v>
      </c>
      <c r="B2774" s="138" t="str">
        <f ca="1"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 ca="1">IF(Proc[[#This Row],[type]]="LFF (MDG-F)",MID(Proc[[#This Row],[Obj]],13,10),"")</f>
        <v>DE20538151</v>
      </c>
      <c r="I2774" s="103" t="s">
        <v>4787</v>
      </c>
      <c r="J2774" s="94" t="b">
        <f ca="1">Proc[[#This Row],[Requested]]=Proc[[#This Row],[CurrentParent]]</f>
        <v>1</v>
      </c>
      <c r="K2774" s="94" t="str">
        <f ca="1"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48</v>
      </c>
      <c r="R2774" s="110" t="s">
        <v>485</v>
      </c>
      <c r="S2774" s="94"/>
    </row>
    <row r="2775" spans="1:19" hidden="1">
      <c r="A2775" s="103" t="s">
        <v>4424</v>
      </c>
      <c r="B2775" s="138" t="str">
        <f ca="1"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 ca="1">IF(Proc[[#This Row],[type]]="LFF (MDG-F)",MID(Proc[[#This Row],[Obj]],13,10),"")</f>
        <v>DE20538153</v>
      </c>
      <c r="I2775" s="103" t="s">
        <v>4787</v>
      </c>
      <c r="J2775" s="94" t="b">
        <f ca="1">Proc[[#This Row],[Requested]]=Proc[[#This Row],[CurrentParent]]</f>
        <v>1</v>
      </c>
      <c r="K2775" s="94" t="str">
        <f ca="1"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48</v>
      </c>
      <c r="R2775" s="110" t="s">
        <v>485</v>
      </c>
      <c r="S2775" s="94"/>
    </row>
    <row r="2776" spans="1:19" hidden="1">
      <c r="A2776" s="103" t="s">
        <v>4424</v>
      </c>
      <c r="B2776" s="138" t="str">
        <f ca="1"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 ca="1">IF(Proc[[#This Row],[type]]="LFF (MDG-F)",MID(Proc[[#This Row],[Obj]],13,10),"")</f>
        <v>DE20538160</v>
      </c>
      <c r="I2776" s="103" t="s">
        <v>4787</v>
      </c>
      <c r="J2776" s="94" t="b">
        <f ca="1">Proc[[#This Row],[Requested]]=Proc[[#This Row],[CurrentParent]]</f>
        <v>1</v>
      </c>
      <c r="K2776" s="94" t="str">
        <f ca="1"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48</v>
      </c>
      <c r="R2776" s="110" t="s">
        <v>485</v>
      </c>
      <c r="S2776" s="94"/>
    </row>
    <row r="2777" spans="1:19" hidden="1">
      <c r="A2777" s="103" t="s">
        <v>4424</v>
      </c>
      <c r="B2777" s="138" t="str">
        <f ca="1"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 ca="1">IF(Proc[[#This Row],[type]]="LFF (MDG-F)",MID(Proc[[#This Row],[Obj]],13,10),"")</f>
        <v>DE20538162</v>
      </c>
      <c r="I2777" s="103" t="s">
        <v>4787</v>
      </c>
      <c r="J2777" s="94" t="b">
        <f ca="1">Proc[[#This Row],[Requested]]=Proc[[#This Row],[CurrentParent]]</f>
        <v>1</v>
      </c>
      <c r="K2777" s="94" t="str">
        <f ca="1"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48</v>
      </c>
      <c r="R2777" s="110" t="s">
        <v>485</v>
      </c>
      <c r="S2777" s="94"/>
    </row>
    <row r="2778" spans="1:19" hidden="1">
      <c r="A2778" s="103" t="s">
        <v>4424</v>
      </c>
      <c r="B2778" s="138" t="str">
        <f ca="1"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 ca="1">IF(Proc[[#This Row],[type]]="LFF (MDG-F)",MID(Proc[[#This Row],[Obj]],13,10),"")</f>
        <v>DE20538163</v>
      </c>
      <c r="I2778" s="103" t="s">
        <v>4787</v>
      </c>
      <c r="J2778" s="94" t="b">
        <f ca="1">Proc[[#This Row],[Requested]]=Proc[[#This Row],[CurrentParent]]</f>
        <v>1</v>
      </c>
      <c r="K2778" s="94" t="str">
        <f ca="1"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48</v>
      </c>
      <c r="R2778" s="110" t="s">
        <v>485</v>
      </c>
      <c r="S2778" s="94"/>
    </row>
    <row r="2779" spans="1:19" hidden="1">
      <c r="A2779" s="103" t="s">
        <v>4424</v>
      </c>
      <c r="B2779" s="138" t="str">
        <f ca="1"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 ca="1">IF(Proc[[#This Row],[type]]="LFF (MDG-F)",MID(Proc[[#This Row],[Obj]],13,10),"")</f>
        <v>DE20538164</v>
      </c>
      <c r="I2779" s="103" t="s">
        <v>4787</v>
      </c>
      <c r="J2779" s="94" t="b">
        <f ca="1">Proc[[#This Row],[Requested]]=Proc[[#This Row],[CurrentParent]]</f>
        <v>1</v>
      </c>
      <c r="K2779" s="94" t="str">
        <f ca="1"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48</v>
      </c>
      <c r="R2779" s="110" t="s">
        <v>485</v>
      </c>
      <c r="S2779" s="94"/>
    </row>
    <row r="2780" spans="1:19" hidden="1">
      <c r="A2780" s="103" t="s">
        <v>4424</v>
      </c>
      <c r="B2780" s="138" t="str">
        <f ca="1"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 ca="1">IF(Proc[[#This Row],[type]]="LFF (MDG-F)",MID(Proc[[#This Row],[Obj]],13,10),"")</f>
        <v>DE20538166</v>
      </c>
      <c r="I2780" s="103" t="s">
        <v>4787</v>
      </c>
      <c r="J2780" s="94" t="b">
        <f ca="1">Proc[[#This Row],[Requested]]=Proc[[#This Row],[CurrentParent]]</f>
        <v>1</v>
      </c>
      <c r="K2780" s="94" t="str">
        <f ca="1"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48</v>
      </c>
      <c r="R2780" s="110" t="s">
        <v>485</v>
      </c>
      <c r="S2780" s="94"/>
    </row>
    <row r="2781" spans="1:19" hidden="1">
      <c r="A2781" s="103" t="s">
        <v>4424</v>
      </c>
      <c r="B2781" s="138" t="str">
        <f ca="1"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 ca="1">IF(Proc[[#This Row],[type]]="LFF (MDG-F)",MID(Proc[[#This Row],[Obj]],13,10),"")</f>
        <v>DE20538167</v>
      </c>
      <c r="I2781" s="103" t="s">
        <v>4787</v>
      </c>
      <c r="J2781" s="94" t="b">
        <f ca="1">Proc[[#This Row],[Requested]]=Proc[[#This Row],[CurrentParent]]</f>
        <v>1</v>
      </c>
      <c r="K2781" s="94" t="str">
        <f ca="1"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48</v>
      </c>
      <c r="R2781" s="110" t="s">
        <v>485</v>
      </c>
      <c r="S2781" s="94"/>
    </row>
    <row r="2782" spans="1:19" hidden="1">
      <c r="A2782" s="103" t="s">
        <v>4424</v>
      </c>
      <c r="B2782" s="138" t="str">
        <f ca="1"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 ca="1">IF(Proc[[#This Row],[type]]="LFF (MDG-F)",MID(Proc[[#This Row],[Obj]],13,10),"")</f>
        <v>DE20538168</v>
      </c>
      <c r="I2782" s="103" t="s">
        <v>4787</v>
      </c>
      <c r="J2782" s="94" t="b">
        <f ca="1">Proc[[#This Row],[Requested]]=Proc[[#This Row],[CurrentParent]]</f>
        <v>1</v>
      </c>
      <c r="K2782" s="94" t="str">
        <f ca="1"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48</v>
      </c>
      <c r="R2782" s="110" t="s">
        <v>485</v>
      </c>
      <c r="S2782" s="94"/>
    </row>
    <row r="2783" spans="1:19" hidden="1">
      <c r="A2783" s="103" t="s">
        <v>4424</v>
      </c>
      <c r="B2783" s="138" t="str">
        <f ca="1"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 ca="1">IF(Proc[[#This Row],[type]]="LFF (MDG-F)",MID(Proc[[#This Row],[Obj]],13,10),"")</f>
        <v>DE20538171</v>
      </c>
      <c r="I2783" s="103" t="s">
        <v>4787</v>
      </c>
      <c r="J2783" s="94" t="b">
        <f ca="1">Proc[[#This Row],[Requested]]=Proc[[#This Row],[CurrentParent]]</f>
        <v>1</v>
      </c>
      <c r="K2783" s="94" t="str">
        <f ca="1"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48</v>
      </c>
      <c r="R2783" s="110" t="s">
        <v>485</v>
      </c>
      <c r="S2783" s="94"/>
    </row>
    <row r="2784" spans="1:19" hidden="1">
      <c r="A2784" s="103" t="s">
        <v>4424</v>
      </c>
      <c r="B2784" s="138" t="str">
        <f ca="1"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 ca="1">IF(Proc[[#This Row],[type]]="LFF (MDG-F)",MID(Proc[[#This Row],[Obj]],13,10),"")</f>
        <v>DE20538175</v>
      </c>
      <c r="I2784" s="103" t="s">
        <v>4787</v>
      </c>
      <c r="J2784" s="94" t="b">
        <f ca="1">Proc[[#This Row],[Requested]]=Proc[[#This Row],[CurrentParent]]</f>
        <v>1</v>
      </c>
      <c r="K2784" s="94" t="str">
        <f ca="1"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48</v>
      </c>
      <c r="R2784" s="110" t="s">
        <v>485</v>
      </c>
      <c r="S2784" s="94"/>
    </row>
    <row r="2785" spans="1:19" hidden="1">
      <c r="A2785" s="103" t="s">
        <v>4424</v>
      </c>
      <c r="B2785" s="138" t="str">
        <f ca="1"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 ca="1">IF(Proc[[#This Row],[type]]="LFF (MDG-F)",MID(Proc[[#This Row],[Obj]],13,10),"")</f>
        <v>DE20538176</v>
      </c>
      <c r="I2785" s="103" t="s">
        <v>4787</v>
      </c>
      <c r="J2785" s="94" t="b">
        <f ca="1">Proc[[#This Row],[Requested]]=Proc[[#This Row],[CurrentParent]]</f>
        <v>1</v>
      </c>
      <c r="K2785" s="94" t="str">
        <f ca="1"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48</v>
      </c>
      <c r="R2785" s="110" t="s">
        <v>485</v>
      </c>
      <c r="S2785" s="94"/>
    </row>
    <row r="2786" spans="1:19" hidden="1">
      <c r="A2786" s="103" t="s">
        <v>4424</v>
      </c>
      <c r="B2786" s="138" t="str">
        <f ca="1"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 ca="1">IF(Proc[[#This Row],[type]]="LFF (MDG-F)",MID(Proc[[#This Row],[Obj]],13,10),"")</f>
        <v>DE20538177</v>
      </c>
      <c r="I2786" s="103" t="s">
        <v>4787</v>
      </c>
      <c r="J2786" s="94" t="b">
        <f ca="1">Proc[[#This Row],[Requested]]=Proc[[#This Row],[CurrentParent]]</f>
        <v>1</v>
      </c>
      <c r="K2786" s="94" t="str">
        <f ca="1"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48</v>
      </c>
      <c r="R2786" s="110" t="s">
        <v>485</v>
      </c>
      <c r="S2786" s="94"/>
    </row>
    <row r="2787" spans="1:19" hidden="1">
      <c r="A2787" s="103" t="s">
        <v>4424</v>
      </c>
      <c r="B2787" s="138" t="str">
        <f ca="1"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 ca="1">IF(Proc[[#This Row],[type]]="LFF (MDG-F)",MID(Proc[[#This Row],[Obj]],13,10),"")</f>
        <v>DE20538184</v>
      </c>
      <c r="I2787" s="103" t="s">
        <v>4787</v>
      </c>
      <c r="J2787" s="94" t="b">
        <f ca="1">Proc[[#This Row],[Requested]]=Proc[[#This Row],[CurrentParent]]</f>
        <v>1</v>
      </c>
      <c r="K2787" s="94" t="str">
        <f ca="1"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48</v>
      </c>
      <c r="R2787" s="110" t="s">
        <v>485</v>
      </c>
      <c r="S2787" s="94"/>
    </row>
    <row r="2788" spans="1:19" hidden="1">
      <c r="A2788" s="103" t="s">
        <v>4424</v>
      </c>
      <c r="B2788" s="138" t="str">
        <f ca="1"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 ca="1">IF(Proc[[#This Row],[type]]="LFF (MDG-F)",MID(Proc[[#This Row],[Obj]],13,10),"")</f>
        <v>DE20538185</v>
      </c>
      <c r="I2788" s="103" t="s">
        <v>4787</v>
      </c>
      <c r="J2788" s="94" t="b">
        <f ca="1">Proc[[#This Row],[Requested]]=Proc[[#This Row],[CurrentParent]]</f>
        <v>1</v>
      </c>
      <c r="K2788" s="94" t="str">
        <f ca="1"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48</v>
      </c>
      <c r="R2788" s="110" t="s">
        <v>485</v>
      </c>
      <c r="S2788" s="94"/>
    </row>
    <row r="2789" spans="1:19" hidden="1">
      <c r="A2789" s="103" t="s">
        <v>4424</v>
      </c>
      <c r="B2789" s="138" t="str">
        <f ca="1"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 ca="1">IF(Proc[[#This Row],[type]]="LFF (MDG-F)",MID(Proc[[#This Row],[Obj]],13,10),"")</f>
        <v>DE20538186</v>
      </c>
      <c r="I2789" s="103" t="s">
        <v>4787</v>
      </c>
      <c r="J2789" s="94" t="b">
        <f ca="1">Proc[[#This Row],[Requested]]=Proc[[#This Row],[CurrentParent]]</f>
        <v>1</v>
      </c>
      <c r="K2789" s="94" t="str">
        <f ca="1"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48</v>
      </c>
      <c r="R2789" s="110" t="s">
        <v>485</v>
      </c>
      <c r="S2789" s="94"/>
    </row>
    <row r="2790" spans="1:19" hidden="1">
      <c r="A2790" s="103" t="s">
        <v>4424</v>
      </c>
      <c r="B2790" s="138" t="str">
        <f ca="1"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 ca="1">IF(Proc[[#This Row],[type]]="LFF (MDG-F)",MID(Proc[[#This Row],[Obj]],13,10),"")</f>
        <v>DE20538193</v>
      </c>
      <c r="I2790" s="103" t="s">
        <v>4787</v>
      </c>
      <c r="J2790" s="94" t="b">
        <f ca="1">Proc[[#This Row],[Requested]]=Proc[[#This Row],[CurrentParent]]</f>
        <v>1</v>
      </c>
      <c r="K2790" s="94" t="str">
        <f ca="1"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48</v>
      </c>
      <c r="R2790" s="110" t="s">
        <v>485</v>
      </c>
      <c r="S2790" s="94"/>
    </row>
    <row r="2791" spans="1:19" hidden="1">
      <c r="A2791" s="103" t="s">
        <v>4424</v>
      </c>
      <c r="B2791" s="138" t="str">
        <f ca="1"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 ca="1">IF(Proc[[#This Row],[type]]="LFF (MDG-F)",MID(Proc[[#This Row],[Obj]],13,10),"")</f>
        <v>DE20538194</v>
      </c>
      <c r="I2791" s="103" t="s">
        <v>4787</v>
      </c>
      <c r="J2791" s="94" t="b">
        <f ca="1">Proc[[#This Row],[Requested]]=Proc[[#This Row],[CurrentParent]]</f>
        <v>1</v>
      </c>
      <c r="K2791" s="94" t="str">
        <f ca="1"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48</v>
      </c>
      <c r="R2791" s="110" t="s">
        <v>485</v>
      </c>
      <c r="S2791" s="94"/>
    </row>
    <row r="2792" spans="1:19" hidden="1">
      <c r="A2792" s="103" t="s">
        <v>4424</v>
      </c>
      <c r="B2792" s="138" t="str">
        <f ca="1"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 ca="1">IF(Proc[[#This Row],[type]]="LFF (MDG-F)",MID(Proc[[#This Row],[Obj]],13,10),"")</f>
        <v>DE20538195</v>
      </c>
      <c r="I2792" s="103" t="s">
        <v>4787</v>
      </c>
      <c r="J2792" s="94" t="b">
        <f ca="1">Proc[[#This Row],[Requested]]=Proc[[#This Row],[CurrentParent]]</f>
        <v>1</v>
      </c>
      <c r="K2792" s="94" t="str">
        <f ca="1"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48</v>
      </c>
      <c r="R2792" s="110" t="s">
        <v>485</v>
      </c>
      <c r="S2792" s="94"/>
    </row>
    <row r="2793" spans="1:19" hidden="1">
      <c r="A2793" s="103" t="s">
        <v>4424</v>
      </c>
      <c r="B2793" s="138" t="str">
        <f ca="1"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 ca="1">IF(Proc[[#This Row],[type]]="LFF (MDG-F)",MID(Proc[[#This Row],[Obj]],13,10),"")</f>
        <v>DE20538197</v>
      </c>
      <c r="I2793" s="103" t="s">
        <v>4787</v>
      </c>
      <c r="J2793" s="94" t="b">
        <f ca="1">Proc[[#This Row],[Requested]]=Proc[[#This Row],[CurrentParent]]</f>
        <v>1</v>
      </c>
      <c r="K2793" s="94" t="str">
        <f ca="1"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48</v>
      </c>
      <c r="R2793" s="110" t="s">
        <v>485</v>
      </c>
      <c r="S2793" s="94"/>
    </row>
    <row r="2794" spans="1:19" hidden="1">
      <c r="A2794" s="103" t="s">
        <v>4424</v>
      </c>
      <c r="B2794" s="138" t="str">
        <f ca="1"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 ca="1">IF(Proc[[#This Row],[type]]="LFF (MDG-F)",MID(Proc[[#This Row],[Obj]],13,10),"")</f>
        <v>DE20538712</v>
      </c>
      <c r="I2794" s="103" t="s">
        <v>4787</v>
      </c>
      <c r="J2794" s="94" t="b">
        <f ca="1">Proc[[#This Row],[Requested]]=Proc[[#This Row],[CurrentParent]]</f>
        <v>1</v>
      </c>
      <c r="K2794" s="94" t="str">
        <f ca="1"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48</v>
      </c>
      <c r="R2794" s="110" t="s">
        <v>485</v>
      </c>
      <c r="S2794" s="94"/>
    </row>
    <row r="2795" spans="1:19" hidden="1">
      <c r="A2795" s="103" t="s">
        <v>4424</v>
      </c>
      <c r="B2795" s="138" t="str">
        <f ca="1"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 ca="1">IF(Proc[[#This Row],[type]]="LFF (MDG-F)",MID(Proc[[#This Row],[Obj]],13,10),"")</f>
        <v>DE20538713</v>
      </c>
      <c r="I2795" s="103" t="s">
        <v>4787</v>
      </c>
      <c r="J2795" s="94" t="b">
        <f ca="1">Proc[[#This Row],[Requested]]=Proc[[#This Row],[CurrentParent]]</f>
        <v>1</v>
      </c>
      <c r="K2795" s="94" t="str">
        <f ca="1"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48</v>
      </c>
      <c r="R2795" s="110" t="s">
        <v>485</v>
      </c>
      <c r="S2795" s="94"/>
    </row>
    <row r="2796" spans="1:19" hidden="1">
      <c r="A2796" s="103" t="s">
        <v>4424</v>
      </c>
      <c r="B2796" s="138" t="str">
        <f ca="1"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 ca="1">IF(Proc[[#This Row],[type]]="LFF (MDG-F)",MID(Proc[[#This Row],[Obj]],13,10),"")</f>
        <v>DE20538714</v>
      </c>
      <c r="I2796" s="103" t="s">
        <v>4787</v>
      </c>
      <c r="J2796" s="94" t="b">
        <f ca="1">Proc[[#This Row],[Requested]]=Proc[[#This Row],[CurrentParent]]</f>
        <v>1</v>
      </c>
      <c r="K2796" s="94" t="str">
        <f ca="1"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48</v>
      </c>
      <c r="R2796" s="110" t="s">
        <v>485</v>
      </c>
      <c r="S2796" s="94"/>
    </row>
    <row r="2797" spans="1:19" hidden="1">
      <c r="A2797" s="103" t="s">
        <v>4424</v>
      </c>
      <c r="B2797" s="138" t="str">
        <f ca="1"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 ca="1">IF(Proc[[#This Row],[type]]="LFF (MDG-F)",MID(Proc[[#This Row],[Obj]],13,10),"")</f>
        <v>DE20538715</v>
      </c>
      <c r="I2797" s="103" t="s">
        <v>4787</v>
      </c>
      <c r="J2797" s="94" t="b">
        <f ca="1">Proc[[#This Row],[Requested]]=Proc[[#This Row],[CurrentParent]]</f>
        <v>1</v>
      </c>
      <c r="K2797" s="94" t="str">
        <f ca="1"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48</v>
      </c>
      <c r="R2797" s="110" t="s">
        <v>485</v>
      </c>
      <c r="S2797" s="94"/>
    </row>
    <row r="2798" spans="1:19" hidden="1">
      <c r="A2798" s="103" t="s">
        <v>4424</v>
      </c>
      <c r="B2798" s="138" t="str">
        <f ca="1"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 ca="1">IF(Proc[[#This Row],[type]]="LFF (MDG-F)",MID(Proc[[#This Row],[Obj]],13,10),"")</f>
        <v>DE20538716</v>
      </c>
      <c r="I2798" s="103" t="s">
        <v>4787</v>
      </c>
      <c r="J2798" s="94" t="b">
        <f ca="1">Proc[[#This Row],[Requested]]=Proc[[#This Row],[CurrentParent]]</f>
        <v>1</v>
      </c>
      <c r="K2798" s="94" t="str">
        <f ca="1"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48</v>
      </c>
      <c r="R2798" s="110" t="s">
        <v>485</v>
      </c>
      <c r="S2798" s="94"/>
    </row>
    <row r="2799" spans="1:19" hidden="1">
      <c r="A2799" s="103" t="s">
        <v>4424</v>
      </c>
      <c r="B2799" s="138" t="str">
        <f ca="1"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 ca="1">IF(Proc[[#This Row],[type]]="LFF (MDG-F)",MID(Proc[[#This Row],[Obj]],13,10),"")</f>
        <v>DE20538717</v>
      </c>
      <c r="I2799" s="103" t="s">
        <v>4787</v>
      </c>
      <c r="J2799" s="94" t="b">
        <f ca="1">Proc[[#This Row],[Requested]]=Proc[[#This Row],[CurrentParent]]</f>
        <v>1</v>
      </c>
      <c r="K2799" s="94" t="str">
        <f ca="1"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48</v>
      </c>
      <c r="R2799" s="110" t="s">
        <v>485</v>
      </c>
      <c r="S2799" s="94"/>
    </row>
    <row r="2800" spans="1:19" hidden="1">
      <c r="A2800" s="103" t="s">
        <v>4424</v>
      </c>
      <c r="B2800" s="138" t="str">
        <f ca="1"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 ca="1">IF(Proc[[#This Row],[type]]="LFF (MDG-F)",MID(Proc[[#This Row],[Obj]],13,10),"")</f>
        <v>DE20538887</v>
      </c>
      <c r="I2800" s="103" t="s">
        <v>4787</v>
      </c>
      <c r="J2800" s="94" t="b">
        <f ca="1">Proc[[#This Row],[Requested]]=Proc[[#This Row],[CurrentParent]]</f>
        <v>1</v>
      </c>
      <c r="K2800" s="94" t="str">
        <f ca="1"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48</v>
      </c>
      <c r="R2800" s="110" t="s">
        <v>485</v>
      </c>
      <c r="S2800" s="94"/>
    </row>
    <row r="2801" spans="1:19" hidden="1">
      <c r="A2801" s="103" t="s">
        <v>4424</v>
      </c>
      <c r="B2801" s="138" t="str">
        <f ca="1"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 ca="1">IF(Proc[[#This Row],[type]]="LFF (MDG-F)",MID(Proc[[#This Row],[Obj]],13,10),"")</f>
        <v>DE20538920</v>
      </c>
      <c r="I2801" s="103" t="s">
        <v>4787</v>
      </c>
      <c r="J2801" s="94" t="b">
        <f ca="1">Proc[[#This Row],[Requested]]=Proc[[#This Row],[CurrentParent]]</f>
        <v>1</v>
      </c>
      <c r="K2801" s="94" t="str">
        <f ca="1"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48</v>
      </c>
      <c r="R2801" s="110" t="s">
        <v>485</v>
      </c>
      <c r="S2801" s="94"/>
    </row>
    <row r="2802" spans="1:19" hidden="1">
      <c r="A2802" s="103" t="s">
        <v>4424</v>
      </c>
      <c r="B2802" s="138" t="str">
        <f ca="1"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 ca="1">IF(Proc[[#This Row],[type]]="LFF (MDG-F)",MID(Proc[[#This Row],[Obj]],13,10),"")</f>
        <v>DE20538921</v>
      </c>
      <c r="I2802" s="103" t="s">
        <v>4787</v>
      </c>
      <c r="J2802" s="94" t="b">
        <f ca="1">Proc[[#This Row],[Requested]]=Proc[[#This Row],[CurrentParent]]</f>
        <v>1</v>
      </c>
      <c r="K2802" s="94" t="str">
        <f ca="1"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48</v>
      </c>
      <c r="R2802" s="110" t="s">
        <v>485</v>
      </c>
      <c r="S2802" s="94"/>
    </row>
    <row r="2803" spans="1:19" hidden="1">
      <c r="A2803" s="103" t="s">
        <v>4424</v>
      </c>
      <c r="B2803" s="138" t="str">
        <f ca="1"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 ca="1">IF(Proc[[#This Row],[type]]="LFF (MDG-F)",MID(Proc[[#This Row],[Obj]],13,10),"")</f>
        <v>DE20538978</v>
      </c>
      <c r="I2803" s="103" t="s">
        <v>4787</v>
      </c>
      <c r="J2803" s="94" t="b">
        <f ca="1">Proc[[#This Row],[Requested]]=Proc[[#This Row],[CurrentParent]]</f>
        <v>1</v>
      </c>
      <c r="K2803" s="94" t="str">
        <f ca="1"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48</v>
      </c>
      <c r="R2803" s="110" t="s">
        <v>485</v>
      </c>
      <c r="S2803" s="94"/>
    </row>
    <row r="2804" spans="1:19" hidden="1">
      <c r="A2804" s="103" t="s">
        <v>4424</v>
      </c>
      <c r="B2804" s="138" t="str">
        <f ca="1"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 ca="1">IF(Proc[[#This Row],[type]]="LFF (MDG-F)",MID(Proc[[#This Row],[Obj]],13,10),"")</f>
        <v>DE20539001</v>
      </c>
      <c r="I2804" s="103" t="s">
        <v>4787</v>
      </c>
      <c r="J2804" s="94" t="b">
        <f ca="1">Proc[[#This Row],[Requested]]=Proc[[#This Row],[CurrentParent]]</f>
        <v>1</v>
      </c>
      <c r="K2804" s="94" t="str">
        <f ca="1"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48</v>
      </c>
      <c r="R2804" s="110" t="s">
        <v>485</v>
      </c>
      <c r="S2804" s="94"/>
    </row>
    <row r="2805" spans="1:19" hidden="1">
      <c r="A2805" s="103" t="s">
        <v>4424</v>
      </c>
      <c r="B2805" s="138" t="str">
        <f ca="1"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 ca="1">IF(Proc[[#This Row],[type]]="LFF (MDG-F)",MID(Proc[[#This Row],[Obj]],13,10),"")</f>
        <v>DE20539002</v>
      </c>
      <c r="I2805" s="103" t="s">
        <v>4787</v>
      </c>
      <c r="J2805" s="94" t="b">
        <f ca="1">Proc[[#This Row],[Requested]]=Proc[[#This Row],[CurrentParent]]</f>
        <v>1</v>
      </c>
      <c r="K2805" s="94" t="str">
        <f ca="1"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48</v>
      </c>
      <c r="R2805" s="110" t="s">
        <v>485</v>
      </c>
      <c r="S2805" s="94"/>
    </row>
    <row r="2806" spans="1:19" hidden="1">
      <c r="A2806" s="103" t="s">
        <v>4424</v>
      </c>
      <c r="B2806" s="138" t="str">
        <f ca="1"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 ca="1">IF(Proc[[#This Row],[type]]="LFF (MDG-F)",MID(Proc[[#This Row],[Obj]],13,10),"")</f>
        <v>DE20539004</v>
      </c>
      <c r="I2806" s="103" t="s">
        <v>4787</v>
      </c>
      <c r="J2806" s="94" t="b">
        <f ca="1">Proc[[#This Row],[Requested]]=Proc[[#This Row],[CurrentParent]]</f>
        <v>1</v>
      </c>
      <c r="K2806" s="94" t="str">
        <f ca="1"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48</v>
      </c>
      <c r="R2806" s="110" t="s">
        <v>485</v>
      </c>
      <c r="S2806" s="94"/>
    </row>
    <row r="2807" spans="1:19" hidden="1">
      <c r="A2807" s="103" t="s">
        <v>4424</v>
      </c>
      <c r="B2807" s="138" t="str">
        <f ca="1"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 ca="1">IF(Proc[[#This Row],[type]]="LFF (MDG-F)",MID(Proc[[#This Row],[Obj]],13,10),"")</f>
        <v>DE20567500</v>
      </c>
      <c r="I2807" s="103" t="s">
        <v>4787</v>
      </c>
      <c r="J2807" s="94" t="b">
        <f ca="1">Proc[[#This Row],[Requested]]=Proc[[#This Row],[CurrentParent]]</f>
        <v>1</v>
      </c>
      <c r="K2807" s="94" t="str">
        <f ca="1"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48</v>
      </c>
      <c r="R2807" s="110" t="s">
        <v>485</v>
      </c>
      <c r="S2807" s="94"/>
    </row>
    <row r="2808" spans="1:19" hidden="1">
      <c r="A2808" s="103" t="s">
        <v>4424</v>
      </c>
      <c r="B2808" s="138" t="str">
        <f ca="1"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 ca="1">IF(Proc[[#This Row],[type]]="LFF (MDG-F)",MID(Proc[[#This Row],[Obj]],13,10),"")</f>
        <v>DE20569401</v>
      </c>
      <c r="I2808" s="103" t="s">
        <v>4787</v>
      </c>
      <c r="J2808" s="94" t="b">
        <f ca="1">Proc[[#This Row],[Requested]]=Proc[[#This Row],[CurrentParent]]</f>
        <v>1</v>
      </c>
      <c r="K2808" s="94" t="str">
        <f ca="1"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48</v>
      </c>
      <c r="R2808" s="110" t="s">
        <v>485</v>
      </c>
      <c r="S2808" s="94"/>
    </row>
    <row r="2809" spans="1:19" hidden="1">
      <c r="A2809" s="103" t="s">
        <v>4424</v>
      </c>
      <c r="B2809" s="138" t="str">
        <f ca="1"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 ca="1">IF(Proc[[#This Row],[type]]="LFF (MDG-F)",MID(Proc[[#This Row],[Obj]],13,10),"")</f>
        <v>DE20538145</v>
      </c>
      <c r="I2809" s="103" t="s">
        <v>4787</v>
      </c>
      <c r="J2809" s="94" t="b">
        <f ca="1">Proc[[#This Row],[Requested]]=Proc[[#This Row],[CurrentParent]]</f>
        <v>1</v>
      </c>
      <c r="K2809" s="94" t="str">
        <f ca="1"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48</v>
      </c>
      <c r="R2809" s="110" t="s">
        <v>485</v>
      </c>
      <c r="S2809" s="94"/>
    </row>
    <row r="2810" spans="1:19" hidden="1">
      <c r="A2810" s="103" t="s">
        <v>4424</v>
      </c>
      <c r="B2810" s="138" t="str">
        <f ca="1"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 ca="1">IF(Proc[[#This Row],[type]]="LFF (MDG-F)",MID(Proc[[#This Row],[Obj]],13,10),"")</f>
        <v>DE20538190</v>
      </c>
      <c r="I2810" s="103" t="s">
        <v>4787</v>
      </c>
      <c r="J2810" s="94" t="b">
        <f ca="1">Proc[[#This Row],[Requested]]=Proc[[#This Row],[CurrentParent]]</f>
        <v>1</v>
      </c>
      <c r="K2810" s="94" t="str">
        <f ca="1"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48</v>
      </c>
      <c r="R2810" s="110" t="s">
        <v>485</v>
      </c>
      <c r="S2810" s="94"/>
    </row>
    <row r="2811" spans="1:19" hidden="1">
      <c r="A2811" s="103" t="s">
        <v>4424</v>
      </c>
      <c r="B2811" s="138" t="str">
        <f ca="1"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 ca="1">IF(Proc[[#This Row],[type]]="LFF (MDG-F)",MID(Proc[[#This Row],[Obj]],13,10),"")</f>
        <v>DE20539003</v>
      </c>
      <c r="I2811" s="103" t="s">
        <v>4787</v>
      </c>
      <c r="J2811" s="94" t="b">
        <f ca="1">Proc[[#This Row],[Requested]]=Proc[[#This Row],[CurrentParent]]</f>
        <v>1</v>
      </c>
      <c r="K2811" s="94" t="str">
        <f ca="1"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48</v>
      </c>
      <c r="R2811" s="110" t="s">
        <v>485</v>
      </c>
      <c r="S2811" s="94"/>
    </row>
    <row r="2812" spans="1:19" hidden="1">
      <c r="A2812" s="103" t="s">
        <v>4424</v>
      </c>
      <c r="B2812" s="138" t="str">
        <f ca="1"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 ca="1">IF(Proc[[#This Row],[type]]="LFF (MDG-F)",MID(Proc[[#This Row],[Obj]],13,10),"")</f>
        <v>DE20567400</v>
      </c>
      <c r="I2812" s="103" t="s">
        <v>4787</v>
      </c>
      <c r="J2812" s="94" t="b">
        <f ca="1">Proc[[#This Row],[Requested]]=Proc[[#This Row],[CurrentParent]]</f>
        <v>1</v>
      </c>
      <c r="K2812" s="94" t="str">
        <f ca="1"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48</v>
      </c>
      <c r="R2812" s="110" t="s">
        <v>485</v>
      </c>
      <c r="S2812" s="94"/>
    </row>
    <row r="2813" spans="1:19" hidden="1">
      <c r="A2813" t="s">
        <v>4757</v>
      </c>
      <c r="B2813" s="138" t="str">
        <f ca="1"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 ca="1">IF(Proc[[#This Row],[type]]="LFF (MDG-F)",MID(Proc[[#This Row],[Obj]],13,10),"")</f>
        <v>DE50OF0154</v>
      </c>
      <c r="I2813" s="103" t="s">
        <v>4787</v>
      </c>
      <c r="J2813" s="94" t="b">
        <f ca="1">Proc[[#This Row],[Requested]]=Proc[[#This Row],[CurrentParent]]</f>
        <v>1</v>
      </c>
      <c r="K2813" s="94" t="str">
        <f ca="1"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48</v>
      </c>
      <c r="R2813" s="110" t="s">
        <v>410</v>
      </c>
      <c r="S2813" s="94"/>
    </row>
    <row r="2814" spans="1:19" hidden="1">
      <c r="A2814" s="103" t="s">
        <v>4757</v>
      </c>
      <c r="B2814" s="138" t="str">
        <f ca="1"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 ca="1">IF(Proc[[#This Row],[type]]="LFF (MDG-F)",MID(Proc[[#This Row],[Obj]],13,10),"")</f>
        <v>DE10624416</v>
      </c>
      <c r="I2814" s="103" t="s">
        <v>4787</v>
      </c>
      <c r="J2814" s="94" t="b">
        <f ca="1">Proc[[#This Row],[Requested]]=Proc[[#This Row],[CurrentParent]]</f>
        <v>1</v>
      </c>
      <c r="K2814" s="94" t="str">
        <f ca="1"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48</v>
      </c>
      <c r="R2814" s="110" t="s">
        <v>410</v>
      </c>
      <c r="S2814" s="94"/>
    </row>
    <row r="2815" spans="1:19" hidden="1">
      <c r="A2815" s="103" t="s">
        <v>4757</v>
      </c>
      <c r="B2815" s="138" t="str">
        <f ca="1"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 ca="1">IF(Proc[[#This Row],[type]]="LFF (MDG-F)",MID(Proc[[#This Row],[Obj]],13,10),"")</f>
        <v>CH65GCA008</v>
      </c>
      <c r="I2815" s="103" t="s">
        <v>4787</v>
      </c>
      <c r="J2815" s="94" t="b">
        <f ca="1">Proc[[#This Row],[Requested]]=Proc[[#This Row],[CurrentParent]]</f>
        <v>1</v>
      </c>
      <c r="K2815" s="94" t="str">
        <f ca="1"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48</v>
      </c>
      <c r="R2815" s="110" t="s">
        <v>410</v>
      </c>
      <c r="S2815" s="94"/>
    </row>
    <row r="2816" spans="1:19" hidden="1">
      <c r="A2816" s="103" t="s">
        <v>4757</v>
      </c>
      <c r="B2816" s="138" t="str">
        <f ca="1"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 ca="1">IF(Proc[[#This Row],[type]]="LFF (MDG-F)",MID(Proc[[#This Row],[Obj]],13,10),"")</f>
        <v>CH65GCA010</v>
      </c>
      <c r="I2816" s="103" t="s">
        <v>4787</v>
      </c>
      <c r="J2816" s="94" t="b">
        <f ca="1">Proc[[#This Row],[Requested]]=Proc[[#This Row],[CurrentParent]]</f>
        <v>1</v>
      </c>
      <c r="K2816" s="94" t="str">
        <f ca="1"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48</v>
      </c>
      <c r="R2816" s="110" t="s">
        <v>410</v>
      </c>
      <c r="S2816" s="94"/>
    </row>
    <row r="2817" spans="1:19" hidden="1">
      <c r="A2817" s="103" t="s">
        <v>4757</v>
      </c>
      <c r="B2817" s="138" t="str">
        <f ca="1"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 ca="1">IF(Proc[[#This Row],[type]]="LFF (MDG-F)",MID(Proc[[#This Row],[Obj]],13,10),"")</f>
        <v>CH65GCA001</v>
      </c>
      <c r="I2817" s="103" t="s">
        <v>4787</v>
      </c>
      <c r="J2817" s="94" t="b">
        <f ca="1">Proc[[#This Row],[Requested]]=Proc[[#This Row],[CurrentParent]]</f>
        <v>1</v>
      </c>
      <c r="K2817" s="94" t="str">
        <f ca="1"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48</v>
      </c>
      <c r="R2817" s="110" t="s">
        <v>410</v>
      </c>
      <c r="S2817" s="94"/>
    </row>
    <row r="2818" spans="1:19" hidden="1">
      <c r="A2818" s="103" t="s">
        <v>4757</v>
      </c>
      <c r="B2818" s="138" t="str">
        <f ca="1"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 ca="1">IF(Proc[[#This Row],[type]]="LFF (MDG-F)",MID(Proc[[#This Row],[Obj]],13,10),"")</f>
        <v>DE50OF6808</v>
      </c>
      <c r="I2818" s="103" t="s">
        <v>4787</v>
      </c>
      <c r="J2818" s="94" t="b">
        <f ca="1">Proc[[#This Row],[Requested]]=Proc[[#This Row],[CurrentParent]]</f>
        <v>1</v>
      </c>
      <c r="K2818" s="94" t="str">
        <f ca="1"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48</v>
      </c>
      <c r="R2818" s="110" t="s">
        <v>410</v>
      </c>
      <c r="S2818" s="94"/>
    </row>
    <row r="2819" spans="1:19" hidden="1">
      <c r="A2819" s="103" t="s">
        <v>4757</v>
      </c>
      <c r="B2819" s="138" t="str">
        <f ca="1"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 ca="1">IF(Proc[[#This Row],[type]]="LFF (MDG-F)",MID(Proc[[#This Row],[Obj]],13,10),"")</f>
        <v/>
      </c>
      <c r="J2819" s="94" t="b">
        <f ca="1">Proc[[#This Row],[Requested]]=Proc[[#This Row],[CurrentParent]]</f>
        <v>1</v>
      </c>
      <c r="K2819" s="94" t="str">
        <f ca="1"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48</v>
      </c>
      <c r="R2819" s="110" t="s">
        <v>410</v>
      </c>
      <c r="S2819" s="94"/>
    </row>
    <row r="2820" spans="1:19" hidden="1">
      <c r="A2820" s="103" t="s">
        <v>4757</v>
      </c>
      <c r="B2820" s="138" t="str">
        <f ca="1"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 ca="1">IF(Proc[[#This Row],[type]]="LFF (MDG-F)",MID(Proc[[#This Row],[Obj]],13,10),"")</f>
        <v/>
      </c>
      <c r="J2820" s="94" t="b">
        <f ca="1">Proc[[#This Row],[Requested]]=Proc[[#This Row],[CurrentParent]]</f>
        <v>1</v>
      </c>
      <c r="K2820" s="94" t="str">
        <f ca="1"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48</v>
      </c>
      <c r="R2820" s="110" t="s">
        <v>410</v>
      </c>
      <c r="S2820" s="94"/>
    </row>
    <row r="2821" spans="1:19" hidden="1">
      <c r="A2821" t="s">
        <v>4767</v>
      </c>
      <c r="B2821" s="138" t="str">
        <f ca="1"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 ca="1">IF(Proc[[#This Row],[type]]="LFF (MDG-F)",MID(Proc[[#This Row],[Obj]],13,10),"")</f>
        <v>AT50L93100</v>
      </c>
      <c r="I2821" s="103" t="s">
        <v>4787</v>
      </c>
      <c r="J2821" s="94" t="b">
        <f ca="1">Proc[[#This Row],[Requested]]=Proc[[#This Row],[CurrentParent]]</f>
        <v>1</v>
      </c>
      <c r="K2821" s="94" t="str">
        <f ca="1"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48</v>
      </c>
      <c r="R2821" s="94" t="s">
        <v>515</v>
      </c>
      <c r="S2821" s="94"/>
    </row>
    <row r="2822" spans="1:19" hidden="1">
      <c r="A2822" s="103" t="s">
        <v>4767</v>
      </c>
      <c r="B2822" s="138" t="str">
        <f ca="1"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 ca="1">IF(Proc[[#This Row],[type]]="LFF (MDG-F)",MID(Proc[[#This Row],[Obj]],13,10),"")</f>
        <v>DK50L93100</v>
      </c>
      <c r="I2822" s="103" t="s">
        <v>4787</v>
      </c>
      <c r="J2822" s="94" t="b">
        <f ca="1">Proc[[#This Row],[Requested]]=Proc[[#This Row],[CurrentParent]]</f>
        <v>1</v>
      </c>
      <c r="K2822" s="94" t="str">
        <f ca="1"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48</v>
      </c>
      <c r="R2822" s="94" t="s">
        <v>515</v>
      </c>
      <c r="S2822" s="94"/>
    </row>
    <row r="2823" spans="1:19" hidden="1">
      <c r="A2823" s="103" t="s">
        <v>4767</v>
      </c>
      <c r="B2823" s="138" t="str">
        <f ca="1"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 ca="1">IF(Proc[[#This Row],[type]]="LFF (MDG-F)",MID(Proc[[#This Row],[Obj]],13,10),"")</f>
        <v>FI50L93100</v>
      </c>
      <c r="I2823" s="103" t="s">
        <v>4787</v>
      </c>
      <c r="J2823" s="94" t="b">
        <f ca="1">Proc[[#This Row],[Requested]]=Proc[[#This Row],[CurrentParent]]</f>
        <v>1</v>
      </c>
      <c r="K2823" s="94" t="str">
        <f ca="1"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48</v>
      </c>
      <c r="R2823" s="94" t="s">
        <v>515</v>
      </c>
      <c r="S2823" s="94"/>
    </row>
    <row r="2824" spans="1:19" hidden="1">
      <c r="A2824" s="103" t="s">
        <v>4767</v>
      </c>
      <c r="B2824" s="138" t="str">
        <f ca="1"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 ca="1">IF(Proc[[#This Row],[type]]="LFF (MDG-F)",MID(Proc[[#This Row],[Obj]],13,10),"")</f>
        <v>KR02GHR119</v>
      </c>
      <c r="I2824" s="103" t="s">
        <v>4787</v>
      </c>
      <c r="J2824" s="94" t="b">
        <f ca="1">Proc[[#This Row],[Requested]]=Proc[[#This Row],[CurrentParent]]</f>
        <v>1</v>
      </c>
      <c r="K2824" s="94" t="str">
        <f ca="1"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48</v>
      </c>
      <c r="R2824" s="94" t="s">
        <v>515</v>
      </c>
      <c r="S2824" s="94"/>
    </row>
    <row r="2825" spans="1:19" hidden="1">
      <c r="A2825" s="103" t="s">
        <v>4767</v>
      </c>
      <c r="B2825" s="138" t="str">
        <f ca="1"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 ca="1">IF(Proc[[#This Row],[type]]="LFF (MDG-F)",MID(Proc[[#This Row],[Obj]],13,10),"")</f>
        <v>MA50GHR018</v>
      </c>
      <c r="I2825" s="103" t="s">
        <v>4787</v>
      </c>
      <c r="J2825" s="94" t="b">
        <f ca="1">Proc[[#This Row],[Requested]]=Proc[[#This Row],[CurrentParent]]</f>
        <v>1</v>
      </c>
      <c r="K2825" s="94" t="str">
        <f ca="1"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48</v>
      </c>
      <c r="R2825" s="94" t="s">
        <v>515</v>
      </c>
      <c r="S2825" s="94"/>
    </row>
    <row r="2826" spans="1:19" hidden="1">
      <c r="A2826" s="103" t="s">
        <v>4767</v>
      </c>
      <c r="B2826" s="138" t="str">
        <f ca="1"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 ca="1">IF(Proc[[#This Row],[type]]="LFF (MDG-F)",MID(Proc[[#This Row],[Obj]],13,10),"")</f>
        <v>NO50L93100</v>
      </c>
      <c r="I2826" s="103" t="s">
        <v>4787</v>
      </c>
      <c r="J2826" s="94" t="b">
        <f ca="1">Proc[[#This Row],[Requested]]=Proc[[#This Row],[CurrentParent]]</f>
        <v>1</v>
      </c>
      <c r="K2826" s="94" t="str">
        <f ca="1"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48</v>
      </c>
      <c r="R2826" s="94" t="s">
        <v>515</v>
      </c>
      <c r="S2826" s="94"/>
    </row>
    <row r="2827" spans="1:19" hidden="1">
      <c r="A2827" s="103" t="s">
        <v>4767</v>
      </c>
      <c r="B2827" s="138" t="str">
        <f ca="1"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 ca="1">IF(Proc[[#This Row],[type]]="LFF (MDG-F)",MID(Proc[[#This Row],[Obj]],13,10),"")</f>
        <v>SE50L93100</v>
      </c>
      <c r="I2827" s="103" t="s">
        <v>4787</v>
      </c>
      <c r="J2827" s="94" t="b">
        <f ca="1">Proc[[#This Row],[Requested]]=Proc[[#This Row],[CurrentParent]]</f>
        <v>1</v>
      </c>
      <c r="K2827" s="94" t="str">
        <f ca="1"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48</v>
      </c>
      <c r="R2827" s="94" t="s">
        <v>515</v>
      </c>
      <c r="S2827" s="94"/>
    </row>
    <row r="2828" spans="1:19" hidden="1">
      <c r="A2828" s="103" t="s">
        <v>4767</v>
      </c>
      <c r="B2828" s="138" t="str">
        <f ca="1"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 ca="1">IF(Proc[[#This Row],[type]]="LFF (MDG-F)",MID(Proc[[#This Row],[Obj]],13,10),"")</f>
        <v>TN50GHR018</v>
      </c>
      <c r="I2828" s="103" t="s">
        <v>4787</v>
      </c>
      <c r="J2828" s="94" t="b">
        <f ca="1">Proc[[#This Row],[Requested]]=Proc[[#This Row],[CurrentParent]]</f>
        <v>1</v>
      </c>
      <c r="K2828" s="94" t="str">
        <f ca="1"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48</v>
      </c>
      <c r="R2828" s="94" t="s">
        <v>515</v>
      </c>
      <c r="S2828" s="94"/>
    </row>
    <row r="2829" spans="1:19" hidden="1">
      <c r="A2829" s="103" t="s">
        <v>4767</v>
      </c>
      <c r="B2829" s="138" t="str">
        <f ca="1"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 ca="1">IF(Proc[[#This Row],[type]]="LFF (MDG-F)",MID(Proc[[#This Row],[Obj]],13,10),"")</f>
        <v>TN50GHR019</v>
      </c>
      <c r="I2829" s="103" t="s">
        <v>4787</v>
      </c>
      <c r="J2829" s="94" t="b">
        <f ca="1">Proc[[#This Row],[Requested]]=Proc[[#This Row],[CurrentParent]]</f>
        <v>1</v>
      </c>
      <c r="K2829" s="94" t="str">
        <f ca="1"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48</v>
      </c>
      <c r="R2829" s="94" t="s">
        <v>515</v>
      </c>
      <c r="S2829" s="94"/>
    </row>
    <row r="2830" spans="1:19" hidden="1">
      <c r="A2830" s="103" t="s">
        <v>4767</v>
      </c>
      <c r="B2830" s="138" t="str">
        <f ca="1"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 ca="1">IF(Proc[[#This Row],[type]]="LFF (MDG-F)",MID(Proc[[#This Row],[Obj]],13,10),"")</f>
        <v>TN60GHR018</v>
      </c>
      <c r="I2830" s="103" t="s">
        <v>4787</v>
      </c>
      <c r="J2830" s="94" t="b">
        <f ca="1">Proc[[#This Row],[Requested]]=Proc[[#This Row],[CurrentParent]]</f>
        <v>1</v>
      </c>
      <c r="K2830" s="94" t="str">
        <f ca="1"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48</v>
      </c>
      <c r="R2830" s="94" t="s">
        <v>515</v>
      </c>
      <c r="S2830" s="94"/>
    </row>
    <row r="2831" spans="1:19" hidden="1">
      <c r="A2831" s="103" t="s">
        <v>4767</v>
      </c>
      <c r="B2831" s="138" t="str">
        <f ca="1"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 ca="1">IF(Proc[[#This Row],[type]]="LFF (MDG-F)",MID(Proc[[#This Row],[Obj]],13,10),"")</f>
        <v>KR03GHR119</v>
      </c>
      <c r="I2831" t="s">
        <v>4785</v>
      </c>
      <c r="J2831" s="94" t="b">
        <f ca="1">Proc[[#This Row],[Requested]]=Proc[[#This Row],[CurrentParent]]</f>
        <v>1</v>
      </c>
      <c r="K2831" s="94" t="str">
        <f ca="1"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48</v>
      </c>
      <c r="R2831" s="94" t="s">
        <v>515</v>
      </c>
      <c r="S2831" s="94"/>
    </row>
    <row r="2832" spans="1:19" hidden="1">
      <c r="A2832" s="103" t="s">
        <v>4767</v>
      </c>
      <c r="B2832" s="138" t="str">
        <f ca="1"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 ca="1">IF(Proc[[#This Row],[type]]="LFF (MDG-F)",MID(Proc[[#This Row],[Obj]],13,10),"")</f>
        <v/>
      </c>
      <c r="J2832" s="94" t="b">
        <f ca="1">Proc[[#This Row],[Requested]]=Proc[[#This Row],[CurrentParent]]</f>
        <v>1</v>
      </c>
      <c r="K2832" s="94" t="str">
        <f ca="1"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48</v>
      </c>
      <c r="R2832" s="94" t="s">
        <v>515</v>
      </c>
      <c r="S2832" s="94"/>
    </row>
    <row r="2833" spans="1:19" hidden="1">
      <c r="A2833" t="s">
        <v>4784</v>
      </c>
      <c r="B2833" s="138" t="str">
        <f ca="1"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 ca="1">IF(Proc[[#This Row],[type]]="LFF (MDG-F)",MID(Proc[[#This Row],[Obj]],13,10),"")</f>
        <v>2068TAUA01</v>
      </c>
      <c r="I2833" t="s">
        <v>4783</v>
      </c>
      <c r="J2833" s="94" t="b">
        <f ca="1">Proc[[#This Row],[Requested]]=Proc[[#This Row],[CurrentParent]]</f>
        <v>1</v>
      </c>
      <c r="K2833" s="94" t="str">
        <f ca="1"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48</v>
      </c>
      <c r="R2833" s="110" t="s">
        <v>780</v>
      </c>
      <c r="S2833" s="94"/>
    </row>
    <row r="2834" spans="1:19" hidden="1">
      <c r="A2834" s="103" t="s">
        <v>4784</v>
      </c>
      <c r="B2834" s="138" t="str">
        <f ca="1"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 ca="1">IF(Proc[[#This Row],[type]]="LFF (MDG-F)",MID(Proc[[#This Row],[Obj]],13,10),"")</f>
        <v>2068TAUA01</v>
      </c>
      <c r="I2834" s="103" t="s">
        <v>4783</v>
      </c>
      <c r="J2834" s="94" t="b">
        <f ca="1">Proc[[#This Row],[Requested]]=Proc[[#This Row],[CurrentParent]]</f>
        <v>1</v>
      </c>
      <c r="K2834" s="94" t="str">
        <f ca="1"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48</v>
      </c>
      <c r="R2834" s="110" t="s">
        <v>780</v>
      </c>
      <c r="S2834" s="94"/>
    </row>
    <row r="2835" spans="1:19" hidden="1">
      <c r="A2835" t="s">
        <v>4788</v>
      </c>
      <c r="B2835" s="138" t="str">
        <f ca="1"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 ca="1">IF(Proc[[#This Row],[type]]="LFF (MDG-F)",MID(Proc[[#This Row],[Obj]],13,10),"")</f>
        <v/>
      </c>
      <c r="I2835" s="114"/>
      <c r="J2835" s="94" t="b">
        <f ca="1">Proc[[#This Row],[Requested]]=Proc[[#This Row],[CurrentParent]]</f>
        <v>1</v>
      </c>
      <c r="K2835" s="94" t="str">
        <f ca="1"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46</v>
      </c>
      <c r="R2835" s="110" t="s">
        <v>1459</v>
      </c>
      <c r="S2835" s="94"/>
    </row>
    <row r="2836" spans="1:19" hidden="1">
      <c r="A2836" s="114" t="s">
        <v>4790</v>
      </c>
      <c r="B2836" s="138" t="str">
        <f ca="1"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 ca="1">IF(Proc[[#This Row],[type]]="LFF (MDG-F)",MID(Proc[[#This Row],[Obj]],13,10),"")</f>
        <v/>
      </c>
      <c r="J2836" s="94" t="b">
        <f ca="1">Proc[[#This Row],[Requested]]=Proc[[#This Row],[CurrentParent]]</f>
        <v>1</v>
      </c>
      <c r="K2836" s="94" t="str">
        <f ca="1"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46</v>
      </c>
      <c r="R2836" s="115" t="s">
        <v>489</v>
      </c>
      <c r="S2836" s="94"/>
    </row>
    <row r="2837" spans="1:19" hidden="1">
      <c r="A2837" s="114" t="s">
        <v>4790</v>
      </c>
      <c r="B2837" s="138" t="str">
        <f ca="1"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 ca="1">IF(Proc[[#This Row],[type]]="LFF (MDG-F)",MID(Proc[[#This Row],[Obj]],13,10),"")</f>
        <v/>
      </c>
      <c r="J2837" s="94" t="b">
        <f ca="1">Proc[[#This Row],[Requested]]=Proc[[#This Row],[CurrentParent]]</f>
        <v>1</v>
      </c>
      <c r="K2837" s="94" t="str">
        <f ca="1"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46</v>
      </c>
      <c r="R2837" s="115" t="s">
        <v>489</v>
      </c>
      <c r="S2837" s="94"/>
    </row>
    <row r="2838" spans="1:19" hidden="1">
      <c r="A2838" s="114" t="s">
        <v>4790</v>
      </c>
      <c r="B2838" s="138" t="str">
        <f ca="1"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 ca="1">IF(Proc[[#This Row],[type]]="LFF (MDG-F)",MID(Proc[[#This Row],[Obj]],13,10),"")</f>
        <v/>
      </c>
      <c r="J2838" s="94" t="b">
        <f ca="1">Proc[[#This Row],[Requested]]=Proc[[#This Row],[CurrentParent]]</f>
        <v>0</v>
      </c>
      <c r="K2838" s="94" t="str">
        <f ca="1"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46</v>
      </c>
      <c r="R2838" s="115" t="s">
        <v>489</v>
      </c>
      <c r="S2838" s="94"/>
    </row>
    <row r="2839" spans="1:19" hidden="1">
      <c r="A2839" s="114" t="s">
        <v>4790</v>
      </c>
      <c r="B2839" s="138" t="str">
        <f ca="1"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 ca="1">IF(Proc[[#This Row],[type]]="LFF (MDG-F)",MID(Proc[[#This Row],[Obj]],13,10),"")</f>
        <v/>
      </c>
      <c r="J2839" s="94" t="b">
        <f ca="1">Proc[[#This Row],[Requested]]=Proc[[#This Row],[CurrentParent]]</f>
        <v>0</v>
      </c>
      <c r="K2839" s="94" t="str">
        <f ca="1"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46</v>
      </c>
      <c r="R2839" s="115" t="s">
        <v>489</v>
      </c>
      <c r="S2839" s="94"/>
    </row>
    <row r="2840" spans="1:19" hidden="1">
      <c r="A2840" s="114" t="s">
        <v>4790</v>
      </c>
      <c r="B2840" s="138" t="str">
        <f ca="1"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 ca="1">IF(Proc[[#This Row],[type]]="LFF (MDG-F)",MID(Proc[[#This Row],[Obj]],13,10),"")</f>
        <v/>
      </c>
      <c r="J2840" s="94" t="b">
        <f ca="1">Proc[[#This Row],[Requested]]=Proc[[#This Row],[CurrentParent]]</f>
        <v>0</v>
      </c>
      <c r="K2840" s="94" t="str">
        <f ca="1"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46</v>
      </c>
      <c r="R2840" s="115" t="s">
        <v>489</v>
      </c>
      <c r="S2840" s="94"/>
    </row>
    <row r="2841" spans="1:19" hidden="1">
      <c r="A2841" s="114" t="s">
        <v>4790</v>
      </c>
      <c r="B2841" s="138" t="str">
        <f ca="1"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 ca="1">IF(Proc[[#This Row],[type]]="LFF (MDG-F)",MID(Proc[[#This Row],[Obj]],13,10),"")</f>
        <v/>
      </c>
      <c r="J2841" s="94" t="b">
        <f ca="1">Proc[[#This Row],[Requested]]=Proc[[#This Row],[CurrentParent]]</f>
        <v>0</v>
      </c>
      <c r="K2841" s="94" t="str">
        <f ca="1"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46</v>
      </c>
      <c r="R2841" s="115" t="s">
        <v>489</v>
      </c>
      <c r="S2841" s="94"/>
    </row>
    <row r="2842" spans="1:19" hidden="1">
      <c r="A2842" s="114" t="s">
        <v>4790</v>
      </c>
      <c r="B2842" s="138" t="str">
        <f ca="1"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 ca="1">IF(Proc[[#This Row],[type]]="LFF (MDG-F)",MID(Proc[[#This Row],[Obj]],13,10),"")</f>
        <v/>
      </c>
      <c r="J2842" s="94" t="b">
        <f ca="1">Proc[[#This Row],[Requested]]=Proc[[#This Row],[CurrentParent]]</f>
        <v>1</v>
      </c>
      <c r="K2842" s="94" t="str">
        <f ca="1"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46</v>
      </c>
      <c r="R2842" s="115" t="s">
        <v>489</v>
      </c>
      <c r="S2842" s="94"/>
    </row>
    <row r="2843" spans="1:19" hidden="1">
      <c r="A2843" t="s">
        <v>4798</v>
      </c>
      <c r="B2843" s="138" t="str">
        <f ca="1"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 ca="1">IF(Proc[[#This Row],[type]]="LFF (MDG-F)",MID(Proc[[#This Row],[Obj]],13,10),"")</f>
        <v>1937TMCZ80</v>
      </c>
      <c r="I2843" t="s">
        <v>4804</v>
      </c>
      <c r="J2843" s="94" t="b">
        <f ca="1">Proc[[#This Row],[Requested]]=Proc[[#This Row],[CurrentParent]]</f>
        <v>1</v>
      </c>
      <c r="K2843" s="94" t="str">
        <f ca="1"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46</v>
      </c>
      <c r="R2843" s="115" t="s">
        <v>489</v>
      </c>
      <c r="S2843" s="94"/>
    </row>
    <row r="2844" spans="1:19" hidden="1">
      <c r="A2844" t="s">
        <v>4801</v>
      </c>
      <c r="B2844" s="138" t="str">
        <f ca="1"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 ca="1">IF(Proc[[#This Row],[type]]="LFF (MDG-F)",MID(Proc[[#This Row],[Obj]],13,10),"")</f>
        <v/>
      </c>
      <c r="J2844" s="94" t="b">
        <f ca="1">Proc[[#This Row],[Requested]]=Proc[[#This Row],[CurrentParent]]</f>
        <v>1</v>
      </c>
      <c r="K2844" s="94" t="str">
        <f ca="1"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46</v>
      </c>
      <c r="R2844" s="115" t="s">
        <v>515</v>
      </c>
      <c r="S2844" s="94"/>
    </row>
    <row r="2845" spans="1:19" hidden="1">
      <c r="A2845" t="s">
        <v>4810</v>
      </c>
      <c r="B2845" s="138" t="str">
        <f ca="1"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 ca="1">IF(Proc[[#This Row],[type]]="LFF (MDG-F)",MID(Proc[[#This Row],[Obj]],13,10),"")</f>
        <v/>
      </c>
      <c r="J2845" s="94" t="b">
        <f ca="1">Proc[[#This Row],[Requested]]=Proc[[#This Row],[CurrentParent]]</f>
        <v>1</v>
      </c>
      <c r="K2845" s="94" t="str">
        <f ca="1"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45</v>
      </c>
      <c r="R2845" s="115" t="s">
        <v>489</v>
      </c>
      <c r="S2845" s="94"/>
    </row>
    <row r="2846" spans="1:19" hidden="1">
      <c r="A2846" s="117" t="s">
        <v>4810</v>
      </c>
      <c r="B2846" s="138" t="str">
        <f ca="1"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 ca="1">IF(Proc[[#This Row],[type]]="LFF (MDG-F)",MID(Proc[[#This Row],[Obj]],13,10),"")</f>
        <v/>
      </c>
      <c r="J2846" s="94" t="b">
        <f ca="1">Proc[[#This Row],[Requested]]=Proc[[#This Row],[CurrentParent]]</f>
        <v>1</v>
      </c>
      <c r="K2846" s="94" t="str">
        <f ca="1"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45</v>
      </c>
      <c r="R2846" s="115" t="s">
        <v>489</v>
      </c>
      <c r="S2846" s="94"/>
    </row>
    <row r="2847" spans="1:19" hidden="1">
      <c r="A2847" s="117" t="s">
        <v>4810</v>
      </c>
      <c r="B2847" s="138" t="str">
        <f ca="1"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 ca="1">IF(Proc[[#This Row],[type]]="LFF (MDG-F)",MID(Proc[[#This Row],[Obj]],13,10),"")</f>
        <v/>
      </c>
      <c r="J2847" s="94" t="b">
        <f ca="1">Proc[[#This Row],[Requested]]=Proc[[#This Row],[CurrentParent]]</f>
        <v>1</v>
      </c>
      <c r="K2847" s="94" t="str">
        <f ca="1"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45</v>
      </c>
      <c r="R2847" s="115" t="s">
        <v>489</v>
      </c>
      <c r="S2847" s="94"/>
    </row>
    <row r="2848" spans="1:19" hidden="1">
      <c r="A2848" t="s">
        <v>4814</v>
      </c>
      <c r="B2848" s="138" t="str">
        <f ca="1"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 ca="1">IF(Proc[[#This Row],[type]]="LFF (MDG-F)",MID(Proc[[#This Row],[Obj]],13,10),"")</f>
        <v/>
      </c>
      <c r="J2848" s="94" t="b">
        <f ca="1">Proc[[#This Row],[Requested]]=Proc[[#This Row],[CurrentParent]]</f>
        <v>1</v>
      </c>
      <c r="K2848" s="94" t="str">
        <f ca="1"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44</v>
      </c>
      <c r="R2848" s="115" t="s">
        <v>4822</v>
      </c>
      <c r="S2848" s="94"/>
    </row>
    <row r="2849" spans="1:19" hidden="1">
      <c r="A2849" t="s">
        <v>4816</v>
      </c>
      <c r="B2849" s="138" t="str">
        <f ca="1"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 ca="1">IF(Proc[[#This Row],[type]]="LFF (MDG-F)",MID(Proc[[#This Row],[Obj]],13,10),"")</f>
        <v/>
      </c>
      <c r="J2849" s="94" t="b">
        <f ca="1">Proc[[#This Row],[Requested]]=Proc[[#This Row],[CurrentParent]]</f>
        <v>1</v>
      </c>
      <c r="K2849" s="94" t="str">
        <f ca="1"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44</v>
      </c>
      <c r="R2849" s="115" t="s">
        <v>4821</v>
      </c>
      <c r="S2849" s="94"/>
    </row>
    <row r="2850" spans="1:19" hidden="1">
      <c r="A2850" s="117" t="s">
        <v>4816</v>
      </c>
      <c r="B2850" s="138" t="str">
        <f ca="1"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 ca="1">IF(Proc[[#This Row],[type]]="LFF (MDG-F)",MID(Proc[[#This Row],[Obj]],13,10),"")</f>
        <v/>
      </c>
      <c r="J2850" s="94" t="b">
        <f ca="1">Proc[[#This Row],[Requested]]=Proc[[#This Row],[CurrentParent]]</f>
        <v>1</v>
      </c>
      <c r="K2850" s="94" t="str">
        <f ca="1"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44</v>
      </c>
      <c r="R2850" s="115" t="s">
        <v>4821</v>
      </c>
      <c r="S2850" s="94"/>
    </row>
    <row r="2851" spans="1:19" hidden="1">
      <c r="A2851" s="117" t="s">
        <v>4816</v>
      </c>
      <c r="B2851" s="138" t="str">
        <f ca="1"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 ca="1">IF(Proc[[#This Row],[type]]="LFF (MDG-F)",MID(Proc[[#This Row],[Obj]],13,10),"")</f>
        <v/>
      </c>
      <c r="J2851" s="94" t="b">
        <f ca="1">Proc[[#This Row],[Requested]]=Proc[[#This Row],[CurrentParent]]</f>
        <v>1</v>
      </c>
      <c r="K2851" s="94" t="str">
        <f ca="1"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44</v>
      </c>
      <c r="R2851" s="115" t="s">
        <v>4821</v>
      </c>
      <c r="S2851" s="94"/>
    </row>
    <row r="2852" spans="1:19" hidden="1">
      <c r="A2852" t="s">
        <v>4818</v>
      </c>
      <c r="B2852" s="138" t="str">
        <f ca="1"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 ca="1">IF(Proc[[#This Row],[type]]="LFF (MDG-F)",MID(Proc[[#This Row],[Obj]],13,10),"")</f>
        <v>DE10538528</v>
      </c>
      <c r="J2852" s="94" t="b">
        <f ca="1">Proc[[#This Row],[Requested]]=Proc[[#This Row],[CurrentParent]]</f>
        <v>1</v>
      </c>
      <c r="K2852" s="94" t="str">
        <f ca="1"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44</v>
      </c>
      <c r="R2852" s="115" t="s">
        <v>481</v>
      </c>
      <c r="S2852" s="94"/>
    </row>
    <row r="2853" spans="1:19" hidden="1">
      <c r="A2853" s="117" t="s">
        <v>4818</v>
      </c>
      <c r="B2853" s="138" t="str">
        <f ca="1"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 ca="1">IF(Proc[[#This Row],[type]]="LFF (MDG-F)",MID(Proc[[#This Row],[Obj]],13,10),"")</f>
        <v>DE20538528</v>
      </c>
      <c r="J2853" s="94" t="b">
        <f ca="1">Proc[[#This Row],[Requested]]=Proc[[#This Row],[CurrentParent]]</f>
        <v>1</v>
      </c>
      <c r="K2853" s="94" t="str">
        <f ca="1"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44</v>
      </c>
      <c r="R2853" s="115" t="s">
        <v>481</v>
      </c>
      <c r="S2853" s="94"/>
    </row>
    <row r="2854" spans="1:19" hidden="1">
      <c r="A2854" t="s">
        <v>4825</v>
      </c>
      <c r="B2854" s="138" t="str">
        <f ca="1"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 ca="1">IF(Proc[[#This Row],[type]]="LFF (MDG-F)",MID(Proc[[#This Row],[Obj]],13,10),"")</f>
        <v>DE10890000</v>
      </c>
      <c r="J2854" s="94" t="b">
        <f ca="1">Proc[[#This Row],[Requested]]=Proc[[#This Row],[CurrentParent]]</f>
        <v>1</v>
      </c>
      <c r="K2854" s="94" t="str">
        <f ca="1"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43</v>
      </c>
      <c r="R2854" s="115" t="s">
        <v>410</v>
      </c>
      <c r="S2854" s="94"/>
    </row>
    <row r="2855" spans="1:19" hidden="1">
      <c r="A2855" t="s">
        <v>4827</v>
      </c>
      <c r="B2855" s="138" t="str">
        <f ca="1"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 ca="1">IF(Proc[[#This Row],[type]]="LFF (MDG-F)",MID(Proc[[#This Row],[Obj]],13,10),"")</f>
        <v>AE50C0LS07</v>
      </c>
      <c r="J2855" s="94" t="b">
        <f ca="1">Proc[[#This Row],[Requested]]=Proc[[#This Row],[CurrentParent]]</f>
        <v>1</v>
      </c>
      <c r="K2855" s="94" t="str">
        <f ca="1"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43</v>
      </c>
      <c r="R2855" s="115" t="s">
        <v>4821</v>
      </c>
      <c r="S2855" s="94"/>
    </row>
    <row r="2856" spans="1:19" hidden="1">
      <c r="A2856" t="s">
        <v>4832</v>
      </c>
      <c r="B2856" s="138" t="str">
        <f ca="1"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 ca="1">IF(Proc[[#This Row],[type]]="LFF (MDG-F)",MID(Proc[[#This Row],[Obj]],13,10),"")</f>
        <v>DE50O00001</v>
      </c>
      <c r="J2856" s="94" t="b">
        <f ca="1">Proc[[#This Row],[Requested]]=Proc[[#This Row],[CurrentParent]]</f>
        <v>1</v>
      </c>
      <c r="K2856" s="94" t="str">
        <f ca="1"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41</v>
      </c>
      <c r="R2856" s="115" t="s">
        <v>410</v>
      </c>
      <c r="S2856" s="94"/>
    </row>
    <row r="2857" spans="1:19" hidden="1">
      <c r="A2857" t="s">
        <v>4836</v>
      </c>
      <c r="B2857" s="138" t="str">
        <f ca="1"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 ca="1">IF(Proc[[#This Row],[type]]="LFF (MDG-F)",MID(Proc[[#This Row],[Obj]],13,10),"")</f>
        <v/>
      </c>
      <c r="J2857" s="120" t="b">
        <f ca="1">Proc[[#This Row],[Requested]]=Proc[[#This Row],[CurrentParent]]</f>
        <v>1</v>
      </c>
      <c r="K2857" s="120" t="str">
        <f ca="1"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40</v>
      </c>
      <c r="R2857" s="115" t="s">
        <v>410</v>
      </c>
      <c r="S2857" s="120"/>
    </row>
    <row r="2858" spans="1:19" hidden="1">
      <c r="A2858" t="s">
        <v>4840</v>
      </c>
      <c r="B2858" s="138" t="str">
        <f ca="1"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 ca="1">IF(Proc[[#This Row],[type]]="LFF (MDG-F)",MID(Proc[[#This Row],[Obj]],13,10),"")</f>
        <v/>
      </c>
      <c r="J2858" s="120" t="b">
        <f ca="1">Proc[[#This Row],[Requested]]=Proc[[#This Row],[CurrentParent]]</f>
        <v>1</v>
      </c>
      <c r="K2858" s="120" t="str">
        <f ca="1"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40</v>
      </c>
      <c r="R2858" s="115" t="s">
        <v>780</v>
      </c>
      <c r="S2858" s="120"/>
    </row>
    <row r="2859" spans="1:19" hidden="1">
      <c r="A2859" s="119" t="s">
        <v>4840</v>
      </c>
      <c r="B2859" s="138" t="str">
        <f ca="1"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 ca="1">IF(Proc[[#This Row],[type]]="LFF (MDG-F)",MID(Proc[[#This Row],[Obj]],13,10),"")</f>
        <v/>
      </c>
      <c r="J2859" s="120" t="b">
        <f ca="1">Proc[[#This Row],[Requested]]=Proc[[#This Row],[CurrentParent]]</f>
        <v>1</v>
      </c>
      <c r="K2859" s="120" t="str">
        <f ca="1"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40</v>
      </c>
      <c r="R2859" s="115" t="s">
        <v>780</v>
      </c>
      <c r="S2859" s="120"/>
    </row>
    <row r="2860" spans="1:19" hidden="1">
      <c r="A2860" t="s">
        <v>4844</v>
      </c>
      <c r="B2860" s="138" t="str">
        <f ca="1"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 ca="1">IF(Proc[[#This Row],[type]]="LFF (MDG-F)",MID(Proc[[#This Row],[Obj]],13,10),"")</f>
        <v>DE10674300</v>
      </c>
      <c r="I2860" t="s">
        <v>4845</v>
      </c>
      <c r="J2860" s="120" t="b">
        <f ca="1">Proc[[#This Row],[Requested]]=Proc[[#This Row],[CurrentParent]]</f>
        <v>1</v>
      </c>
      <c r="K2860" s="120" t="str">
        <f ca="1"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39</v>
      </c>
      <c r="R2860" s="115" t="s">
        <v>856</v>
      </c>
      <c r="S2860" s="120"/>
    </row>
    <row r="2861" spans="1:19" hidden="1">
      <c r="A2861" t="s">
        <v>4846</v>
      </c>
      <c r="B2861" s="138" t="str">
        <f ca="1"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 ca="1">IF(Proc[[#This Row],[type]]="LFF (MDG-F)",MID(Proc[[#This Row],[Obj]],13,10),"")</f>
        <v/>
      </c>
      <c r="J2861" s="120" t="b">
        <f ca="1">Proc[[#This Row],[Requested]]=Proc[[#This Row],[CurrentParent]]</f>
        <v>1</v>
      </c>
      <c r="K2861" s="120" t="str">
        <f ca="1"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39</v>
      </c>
      <c r="R2861" s="115" t="s">
        <v>856</v>
      </c>
      <c r="S2861" s="120"/>
    </row>
    <row r="2862" spans="1:19" hidden="1">
      <c r="A2862" t="s">
        <v>4848</v>
      </c>
      <c r="B2862" s="138" t="str">
        <f ca="1"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 ca="1">IF(Proc[[#This Row],[type]]="LFF (MDG-F)",MID(Proc[[#This Row],[Obj]],13,10),"")</f>
        <v>2102TPSZ93</v>
      </c>
      <c r="J2862" s="120" t="b">
        <f ca="1">Proc[[#This Row],[Requested]]=Proc[[#This Row],[CurrentParent]]</f>
        <v>1</v>
      </c>
      <c r="K2862" s="120" t="str">
        <f ca="1"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39</v>
      </c>
      <c r="R2862" s="115" t="s">
        <v>489</v>
      </c>
      <c r="S2862" s="120"/>
    </row>
    <row r="2863" spans="1:19" hidden="1">
      <c r="A2863" t="s">
        <v>4850</v>
      </c>
      <c r="B2863" s="138" t="str">
        <f ca="1"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 ca="1">IF(Proc[[#This Row],[type]]="LFF (MDG-F)",MID(Proc[[#This Row],[Obj]],13,10),"")</f>
        <v>DE10674300</v>
      </c>
      <c r="J2863" s="120" t="b">
        <f ca="1">Proc[[#This Row],[Requested]]=Proc[[#This Row],[CurrentParent]]</f>
        <v>1</v>
      </c>
      <c r="K2863" s="120" t="str">
        <f ca="1"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38" t="str">
        <f ca="1"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 ca="1">IF(Proc[[#This Row],[type]]="LFF (MDG-F)",MID(Proc[[#This Row],[Obj]],13,10),"")</f>
        <v>ZA50GLE005</v>
      </c>
      <c r="J2864" s="120" t="b">
        <f ca="1">Proc[[#This Row],[Requested]]=Proc[[#This Row],[CurrentParent]]</f>
        <v>1</v>
      </c>
      <c r="K2864" s="120" t="str">
        <f ca="1"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37</v>
      </c>
      <c r="R2864" s="115" t="s">
        <v>515</v>
      </c>
      <c r="S2864" s="120"/>
    </row>
    <row r="2865" spans="1:19" hidden="1">
      <c r="A2865" s="121" t="s">
        <v>4855</v>
      </c>
      <c r="B2865" s="138" t="str">
        <f ca="1"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 ca="1">IF(Proc[[#This Row],[type]]="LFF (MDG-F)",MID(Proc[[#This Row],[Obj]],13,10),"")</f>
        <v>ZA50GLE006</v>
      </c>
      <c r="J2865" s="120" t="b">
        <f ca="1">Proc[[#This Row],[Requested]]=Proc[[#This Row],[CurrentParent]]</f>
        <v>1</v>
      </c>
      <c r="K2865" s="120" t="str">
        <f ca="1"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37</v>
      </c>
      <c r="R2865" s="115" t="s">
        <v>515</v>
      </c>
      <c r="S2865" s="120"/>
    </row>
    <row r="2866" spans="1:19" hidden="1">
      <c r="A2866" s="121" t="s">
        <v>4855</v>
      </c>
      <c r="B2866" s="138" t="str">
        <f ca="1"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 ca="1">IF(Proc[[#This Row],[type]]="LFF (MDG-F)",MID(Proc[[#This Row],[Obj]],13,10),"")</f>
        <v/>
      </c>
      <c r="J2866" s="120" t="b">
        <f ca="1">Proc[[#This Row],[Requested]]=Proc[[#This Row],[CurrentParent]]</f>
        <v>1</v>
      </c>
      <c r="K2866" s="120" t="str">
        <f ca="1"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37</v>
      </c>
      <c r="R2866" s="115" t="s">
        <v>515</v>
      </c>
      <c r="S2866" s="120"/>
    </row>
    <row r="2867" spans="1:19" hidden="1">
      <c r="A2867" s="121" t="s">
        <v>4855</v>
      </c>
      <c r="B2867" s="138" t="str">
        <f ca="1"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 ca="1">IF(Proc[[#This Row],[type]]="LFF (MDG-F)",MID(Proc[[#This Row],[Obj]],13,10),"")</f>
        <v/>
      </c>
      <c r="J2867" s="120" t="b">
        <f ca="1">Proc[[#This Row],[Requested]]=Proc[[#This Row],[CurrentParent]]</f>
        <v>1</v>
      </c>
      <c r="K2867" s="120" t="str">
        <f ca="1"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37</v>
      </c>
      <c r="R2867" s="115" t="s">
        <v>515</v>
      </c>
      <c r="S2867" s="120"/>
    </row>
    <row r="2868" spans="1:19" hidden="1">
      <c r="A2868" t="s">
        <v>4856</v>
      </c>
      <c r="B2868" s="138" t="str">
        <f ca="1"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 ca="1">IF(Proc[[#This Row],[type]]="LFF (MDG-F)",MID(Proc[[#This Row],[Obj]],13,10),"")</f>
        <v/>
      </c>
      <c r="J2868" s="120" t="b">
        <f ca="1">Proc[[#This Row],[Requested]]=Proc[[#This Row],[CurrentParent]]</f>
        <v>1</v>
      </c>
      <c r="K2868" s="120" t="str">
        <f ca="1"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37</v>
      </c>
      <c r="R2868" s="115" t="s">
        <v>415</v>
      </c>
      <c r="S2868" s="120"/>
    </row>
    <row r="2869" spans="1:19" hidden="1">
      <c r="A2869" t="s">
        <v>4859</v>
      </c>
      <c r="B2869" s="138" t="str">
        <f ca="1"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 ca="1">IF(Proc[[#This Row],[type]]="LFF (MDG-F)",MID(Proc[[#This Row],[Obj]],13,10),"")</f>
        <v/>
      </c>
      <c r="J2869" s="123" t="b">
        <f ca="1">Proc[[#This Row],[Requested]]=Proc[[#This Row],[CurrentParent]]</f>
        <v>1</v>
      </c>
      <c r="K2869" s="123" t="str">
        <f ca="1"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37</v>
      </c>
      <c r="R2869" s="115" t="s">
        <v>410</v>
      </c>
      <c r="S2869" s="123"/>
    </row>
    <row r="2870" spans="1:19" hidden="1">
      <c r="A2870" t="s">
        <v>4860</v>
      </c>
      <c r="B2870" s="138" t="str">
        <f ca="1"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 ca="1">IF(Proc[[#This Row],[type]]="LFF (MDG-F)",MID(Proc[[#This Row],[Obj]],13,10),"")</f>
        <v/>
      </c>
      <c r="J2870" s="125" t="b">
        <f ca="1">Proc[[#This Row],[Requested]]=Proc[[#This Row],[CurrentParent]]</f>
        <v>1</v>
      </c>
      <c r="K2870" s="125" t="str">
        <f ca="1"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37</v>
      </c>
      <c r="R2870" s="115" t="s">
        <v>856</v>
      </c>
      <c r="S2870" s="125"/>
    </row>
    <row r="2871" spans="1:19" hidden="1">
      <c r="A2871" t="s">
        <v>4864</v>
      </c>
      <c r="B2871" s="138" t="str">
        <f ca="1"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 ca="1">IF(Proc[[#This Row],[type]]="LFF (MDG-F)",MID(Proc[[#This Row],[Obj]],13,10),"")</f>
        <v/>
      </c>
      <c r="J2871" s="125" t="b">
        <f ca="1">Proc[[#This Row],[Requested]]=Proc[[#This Row],[CurrentParent]]</f>
        <v>1</v>
      </c>
      <c r="K2871" s="125" t="str">
        <f ca="1"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34</v>
      </c>
      <c r="R2871" s="115" t="s">
        <v>415</v>
      </c>
      <c r="S2871" s="125"/>
    </row>
    <row r="2872" spans="1:19" hidden="1">
      <c r="A2872" t="s">
        <v>4868</v>
      </c>
      <c r="B2872" s="138" t="str">
        <f ca="1"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 ca="1">IF(Proc[[#This Row],[type]]="LFF (MDG-F)",MID(Proc[[#This Row],[Obj]],13,10),"")</f>
        <v>DE73GPS030</v>
      </c>
      <c r="J2872" s="125" t="b">
        <f ca="1">Proc[[#This Row],[Requested]]=Proc[[#This Row],[CurrentParent]]</f>
        <v>1</v>
      </c>
      <c r="K2872" s="125" t="str">
        <f ca="1"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34</v>
      </c>
      <c r="R2872" s="115" t="s">
        <v>515</v>
      </c>
      <c r="S2872" s="125"/>
    </row>
    <row r="2873" spans="1:19" hidden="1">
      <c r="A2873" s="124" t="s">
        <v>4868</v>
      </c>
      <c r="B2873" s="138" t="str">
        <f ca="1"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 ca="1">IF(Proc[[#This Row],[type]]="LFF (MDG-F)",MID(Proc[[#This Row],[Obj]],13,10),"")</f>
        <v>DE73GPS031</v>
      </c>
      <c r="J2873" s="125" t="b">
        <f ca="1">Proc[[#This Row],[Requested]]=Proc[[#This Row],[CurrentParent]]</f>
        <v>1</v>
      </c>
      <c r="K2873" s="125" t="str">
        <f ca="1"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34</v>
      </c>
      <c r="R2873" s="115" t="s">
        <v>515</v>
      </c>
      <c r="S2873" s="125"/>
    </row>
    <row r="2874" spans="1:19" hidden="1">
      <c r="A2874" s="124" t="s">
        <v>4868</v>
      </c>
      <c r="B2874" s="138" t="str">
        <f ca="1"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 ca="1">IF(Proc[[#This Row],[type]]="LFF (MDG-F)",MID(Proc[[#This Row],[Obj]],13,10),"")</f>
        <v>DE73GPS032</v>
      </c>
      <c r="J2874" s="125" t="b">
        <f ca="1">Proc[[#This Row],[Requested]]=Proc[[#This Row],[CurrentParent]]</f>
        <v>1</v>
      </c>
      <c r="K2874" s="125" t="str">
        <f ca="1"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34</v>
      </c>
      <c r="R2874" s="115" t="s">
        <v>515</v>
      </c>
      <c r="S2874" s="125"/>
    </row>
    <row r="2875" spans="1:19" hidden="1">
      <c r="A2875" s="124" t="s">
        <v>4868</v>
      </c>
      <c r="B2875" s="138" t="str">
        <f ca="1"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 ca="1">IF(Proc[[#This Row],[type]]="LFF (MDG-F)",MID(Proc[[#This Row],[Obj]],13,10),"")</f>
        <v>DE73GPS033</v>
      </c>
      <c r="J2875" s="125" t="b">
        <f ca="1">Proc[[#This Row],[Requested]]=Proc[[#This Row],[CurrentParent]]</f>
        <v>1</v>
      </c>
      <c r="K2875" s="125" t="str">
        <f ca="1"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34</v>
      </c>
      <c r="R2875" s="115" t="s">
        <v>515</v>
      </c>
      <c r="S2875" s="125"/>
    </row>
    <row r="2876" spans="1:19" hidden="1">
      <c r="A2876" s="124" t="s">
        <v>4868</v>
      </c>
      <c r="B2876" s="138" t="str">
        <f ca="1"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 ca="1">IF(Proc[[#This Row],[type]]="LFF (MDG-F)",MID(Proc[[#This Row],[Obj]],13,10),"")</f>
        <v>DE73GPS034</v>
      </c>
      <c r="J2876" s="125" t="b">
        <f ca="1">Proc[[#This Row],[Requested]]=Proc[[#This Row],[CurrentParent]]</f>
        <v>1</v>
      </c>
      <c r="K2876" s="125" t="str">
        <f ca="1"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34</v>
      </c>
      <c r="R2876" s="115" t="s">
        <v>515</v>
      </c>
      <c r="S2876" s="125"/>
    </row>
    <row r="2877" spans="1:19" hidden="1">
      <c r="A2877" s="124" t="s">
        <v>4868</v>
      </c>
      <c r="B2877" s="138" t="str">
        <f ca="1"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 ca="1">IF(Proc[[#This Row],[type]]="LFF (MDG-F)",MID(Proc[[#This Row],[Obj]],13,10),"")</f>
        <v>DE73GPS035</v>
      </c>
      <c r="J2877" s="125" t="b">
        <f ca="1">Proc[[#This Row],[Requested]]=Proc[[#This Row],[CurrentParent]]</f>
        <v>1</v>
      </c>
      <c r="K2877" s="125" t="str">
        <f ca="1"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34</v>
      </c>
      <c r="R2877" s="115" t="s">
        <v>515</v>
      </c>
      <c r="S2877" s="125"/>
    </row>
    <row r="2878" spans="1:19" hidden="1">
      <c r="A2878" s="124" t="s">
        <v>4868</v>
      </c>
      <c r="B2878" s="138" t="str">
        <f ca="1"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 ca="1">IF(Proc[[#This Row],[type]]="LFF (MDG-F)",MID(Proc[[#This Row],[Obj]],13,10),"")</f>
        <v>DE73GPS036</v>
      </c>
      <c r="J2878" s="125" t="b">
        <f ca="1">Proc[[#This Row],[Requested]]=Proc[[#This Row],[CurrentParent]]</f>
        <v>1</v>
      </c>
      <c r="K2878" s="125" t="str">
        <f ca="1"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34</v>
      </c>
      <c r="R2878" s="115" t="s">
        <v>515</v>
      </c>
      <c r="S2878" s="125"/>
    </row>
    <row r="2879" spans="1:19" hidden="1">
      <c r="A2879" s="124" t="s">
        <v>4868</v>
      </c>
      <c r="B2879" s="138" t="str">
        <f ca="1"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 ca="1">IF(Proc[[#This Row],[type]]="LFF (MDG-F)",MID(Proc[[#This Row],[Obj]],13,10),"")</f>
        <v>DE73GPS037</v>
      </c>
      <c r="J2879" s="125" t="b">
        <f ca="1">Proc[[#This Row],[Requested]]=Proc[[#This Row],[CurrentParent]]</f>
        <v>1</v>
      </c>
      <c r="K2879" s="125" t="str">
        <f ca="1"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34</v>
      </c>
      <c r="R2879" s="115" t="s">
        <v>515</v>
      </c>
      <c r="S2879" s="125"/>
    </row>
    <row r="2880" spans="1:19" hidden="1">
      <c r="A2880" s="124" t="s">
        <v>4868</v>
      </c>
      <c r="B2880" s="138" t="str">
        <f ca="1"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 ca="1">IF(Proc[[#This Row],[type]]="LFF (MDG-F)",MID(Proc[[#This Row],[Obj]],13,10),"")</f>
        <v>DE73GPS038</v>
      </c>
      <c r="J2880" s="125" t="b">
        <f ca="1">Proc[[#This Row],[Requested]]=Proc[[#This Row],[CurrentParent]]</f>
        <v>1</v>
      </c>
      <c r="K2880" s="125" t="str">
        <f ca="1"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34</v>
      </c>
      <c r="R2880" s="115" t="s">
        <v>515</v>
      </c>
      <c r="S2880" s="125"/>
    </row>
    <row r="2881" spans="1:19" hidden="1">
      <c r="A2881" s="124" t="s">
        <v>4868</v>
      </c>
      <c r="B2881" s="138" t="str">
        <f ca="1"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 ca="1">IF(Proc[[#This Row],[type]]="LFF (MDG-F)",MID(Proc[[#This Row],[Obj]],13,10),"")</f>
        <v>DE73GPS039</v>
      </c>
      <c r="J2881" s="125" t="b">
        <f ca="1">Proc[[#This Row],[Requested]]=Proc[[#This Row],[CurrentParent]]</f>
        <v>1</v>
      </c>
      <c r="K2881" s="125" t="str">
        <f ca="1"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34</v>
      </c>
      <c r="R2881" s="115" t="s">
        <v>515</v>
      </c>
      <c r="S2881" s="125"/>
    </row>
    <row r="2882" spans="1:19" hidden="1">
      <c r="A2882" s="124" t="s">
        <v>4868</v>
      </c>
      <c r="B2882" s="138" t="str">
        <f ca="1"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 ca="1">IF(Proc[[#This Row],[type]]="LFF (MDG-F)",MID(Proc[[#This Row],[Obj]],13,10),"")</f>
        <v>DE73GPS040</v>
      </c>
      <c r="J2882" s="125" t="b">
        <f ca="1">Proc[[#This Row],[Requested]]=Proc[[#This Row],[CurrentParent]]</f>
        <v>1</v>
      </c>
      <c r="K2882" s="125" t="str">
        <f ca="1"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34</v>
      </c>
      <c r="R2882" s="115" t="s">
        <v>515</v>
      </c>
      <c r="S2882" s="125"/>
    </row>
    <row r="2883" spans="1:19" hidden="1">
      <c r="A2883" s="124" t="s">
        <v>4868</v>
      </c>
      <c r="B2883" s="138" t="str">
        <f ca="1"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 ca="1">IF(Proc[[#This Row],[type]]="LFF (MDG-F)",MID(Proc[[#This Row],[Obj]],13,10),"")</f>
        <v>CH65GPS030</v>
      </c>
      <c r="J2883" s="125" t="b">
        <f ca="1">Proc[[#This Row],[Requested]]=Proc[[#This Row],[CurrentParent]]</f>
        <v>1</v>
      </c>
      <c r="K2883" s="125" t="str">
        <f ca="1"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34</v>
      </c>
      <c r="R2883" s="115" t="s">
        <v>515</v>
      </c>
      <c r="S2883" s="125"/>
    </row>
    <row r="2884" spans="1:19" hidden="1">
      <c r="A2884" s="124" t="s">
        <v>4868</v>
      </c>
      <c r="B2884" s="138" t="str">
        <f ca="1"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 ca="1">IF(Proc[[#This Row],[type]]="LFF (MDG-F)",MID(Proc[[#This Row],[Obj]],13,10),"")</f>
        <v>CH65GPS031</v>
      </c>
      <c r="J2884" s="125" t="b">
        <f ca="1">Proc[[#This Row],[Requested]]=Proc[[#This Row],[CurrentParent]]</f>
        <v>1</v>
      </c>
      <c r="K2884" s="125" t="str">
        <f ca="1"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34</v>
      </c>
      <c r="R2884" s="115" t="s">
        <v>515</v>
      </c>
      <c r="S2884" s="125"/>
    </row>
    <row r="2885" spans="1:19" hidden="1">
      <c r="A2885" s="124" t="s">
        <v>4868</v>
      </c>
      <c r="B2885" s="138" t="str">
        <f ca="1"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 ca="1">IF(Proc[[#This Row],[type]]="LFF (MDG-F)",MID(Proc[[#This Row],[Obj]],13,10),"")</f>
        <v>CH65GPS032</v>
      </c>
      <c r="J2885" s="125" t="b">
        <f ca="1">Proc[[#This Row],[Requested]]=Proc[[#This Row],[CurrentParent]]</f>
        <v>1</v>
      </c>
      <c r="K2885" s="125" t="str">
        <f ca="1"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34</v>
      </c>
      <c r="R2885" s="115" t="s">
        <v>515</v>
      </c>
      <c r="S2885" s="125"/>
    </row>
    <row r="2886" spans="1:19" hidden="1">
      <c r="A2886" s="124" t="s">
        <v>4868</v>
      </c>
      <c r="B2886" s="138" t="str">
        <f ca="1"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 ca="1">IF(Proc[[#This Row],[type]]="LFF (MDG-F)",MID(Proc[[#This Row],[Obj]],13,10),"")</f>
        <v>CH65GPS033</v>
      </c>
      <c r="J2886" s="125" t="b">
        <f ca="1">Proc[[#This Row],[Requested]]=Proc[[#This Row],[CurrentParent]]</f>
        <v>1</v>
      </c>
      <c r="K2886" s="125" t="str">
        <f ca="1"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34</v>
      </c>
      <c r="R2886" s="115" t="s">
        <v>515</v>
      </c>
      <c r="S2886" s="125"/>
    </row>
    <row r="2887" spans="1:19" hidden="1">
      <c r="A2887" s="124" t="s">
        <v>4868</v>
      </c>
      <c r="B2887" s="138" t="str">
        <f ca="1"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 ca="1">IF(Proc[[#This Row],[type]]="LFF (MDG-F)",MID(Proc[[#This Row],[Obj]],13,10),"")</f>
        <v>CH65GPS034</v>
      </c>
      <c r="J2887" s="125" t="b">
        <f ca="1">Proc[[#This Row],[Requested]]=Proc[[#This Row],[CurrentParent]]</f>
        <v>1</v>
      </c>
      <c r="K2887" s="125" t="str">
        <f ca="1"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34</v>
      </c>
      <c r="R2887" s="115" t="s">
        <v>515</v>
      </c>
      <c r="S2887" s="125"/>
    </row>
    <row r="2888" spans="1:19" hidden="1">
      <c r="A2888" s="124" t="s">
        <v>4868</v>
      </c>
      <c r="B2888" s="138" t="str">
        <f ca="1"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 ca="1">IF(Proc[[#This Row],[type]]="LFF (MDG-F)",MID(Proc[[#This Row],[Obj]],13,10),"")</f>
        <v>CH65GPS035</v>
      </c>
      <c r="J2888" s="125" t="b">
        <f ca="1">Proc[[#This Row],[Requested]]=Proc[[#This Row],[CurrentParent]]</f>
        <v>1</v>
      </c>
      <c r="K2888" s="125" t="str">
        <f ca="1"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34</v>
      </c>
      <c r="R2888" s="115" t="s">
        <v>515</v>
      </c>
      <c r="S2888" s="125"/>
    </row>
    <row r="2889" spans="1:19" hidden="1">
      <c r="A2889" s="124" t="s">
        <v>4868</v>
      </c>
      <c r="B2889" s="138" t="str">
        <f ca="1"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 ca="1">IF(Proc[[#This Row],[type]]="LFF (MDG-F)",MID(Proc[[#This Row],[Obj]],13,10),"")</f>
        <v>CH65GPS036</v>
      </c>
      <c r="J2889" s="125" t="b">
        <f ca="1">Proc[[#This Row],[Requested]]=Proc[[#This Row],[CurrentParent]]</f>
        <v>1</v>
      </c>
      <c r="K2889" s="125" t="str">
        <f ca="1"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34</v>
      </c>
      <c r="R2889" s="115" t="s">
        <v>515</v>
      </c>
      <c r="S2889" s="125"/>
    </row>
    <row r="2890" spans="1:19" hidden="1">
      <c r="A2890" t="s">
        <v>4894</v>
      </c>
      <c r="B2890" s="138" t="str">
        <f ca="1"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 ca="1">IF(Proc[[#This Row],[type]]="LFF (MDG-F)",MID(Proc[[#This Row],[Obj]],13,10),"")</f>
        <v>2102TASR00</v>
      </c>
      <c r="J2890" s="125" t="b">
        <f ca="1">Proc[[#This Row],[Requested]]=Proc[[#This Row],[CurrentParent]]</f>
        <v>1</v>
      </c>
      <c r="K2890" s="125" t="str">
        <f ca="1"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34</v>
      </c>
      <c r="R2890" s="115" t="s">
        <v>489</v>
      </c>
      <c r="S2890" s="125"/>
    </row>
    <row r="2891" spans="1:19" hidden="1">
      <c r="A2891" s="124" t="s">
        <v>4894</v>
      </c>
      <c r="B2891" s="138" t="str">
        <f ca="1"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 ca="1">IF(Proc[[#This Row],[type]]="LFF (MDG-F)",MID(Proc[[#This Row],[Obj]],13,10),"")</f>
        <v/>
      </c>
      <c r="J2891" s="125" t="b">
        <f ca="1">Proc[[#This Row],[Requested]]=Proc[[#This Row],[CurrentParent]]</f>
        <v>1</v>
      </c>
      <c r="K2891" s="125" t="str">
        <f ca="1"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34</v>
      </c>
      <c r="R2891" s="115" t="s">
        <v>489</v>
      </c>
      <c r="S2891" s="125"/>
    </row>
    <row r="2892" spans="1:19" hidden="1">
      <c r="A2892" s="124" t="s">
        <v>4894</v>
      </c>
      <c r="B2892" s="138" t="str">
        <f ca="1"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 ca="1">IF(Proc[[#This Row],[type]]="LFF (MDG-F)",MID(Proc[[#This Row],[Obj]],13,10),"")</f>
        <v/>
      </c>
      <c r="I2892" s="124"/>
      <c r="J2892" s="125" t="b">
        <f ca="1">Proc[[#This Row],[Requested]]=Proc[[#This Row],[CurrentParent]]</f>
        <v>1</v>
      </c>
      <c r="K2892" s="125" t="str">
        <f ca="1"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34</v>
      </c>
      <c r="R2892" s="115" t="s">
        <v>489</v>
      </c>
      <c r="S2892" s="125"/>
    </row>
    <row r="2893" spans="1:19" hidden="1">
      <c r="A2893" s="124" t="s">
        <v>4894</v>
      </c>
      <c r="B2893" s="138" t="str">
        <f ca="1"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 ca="1">IF(Proc[[#This Row],[type]]="LFF (MDG-F)",MID(Proc[[#This Row],[Obj]],13,10),"")</f>
        <v/>
      </c>
      <c r="I2893" s="124"/>
      <c r="J2893" s="125" t="b">
        <f ca="1">Proc[[#This Row],[Requested]]=Proc[[#This Row],[CurrentParent]]</f>
        <v>1</v>
      </c>
      <c r="K2893" s="125" t="str">
        <f ca="1"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34</v>
      </c>
      <c r="R2893" s="115" t="s">
        <v>489</v>
      </c>
      <c r="S2893" s="125"/>
    </row>
    <row r="2894" spans="1:19" hidden="1">
      <c r="A2894" s="124" t="s">
        <v>4894</v>
      </c>
      <c r="B2894" s="138" t="str">
        <f ca="1"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 ca="1">IF(Proc[[#This Row],[type]]="LFF (MDG-F)",MID(Proc[[#This Row],[Obj]],13,10),"")</f>
        <v/>
      </c>
      <c r="I2894" s="124"/>
      <c r="J2894" s="125" t="b">
        <f ca="1">Proc[[#This Row],[Requested]]=Proc[[#This Row],[CurrentParent]]</f>
        <v>1</v>
      </c>
      <c r="K2894" s="125" t="str">
        <f ca="1"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34</v>
      </c>
      <c r="R2894" s="115" t="s">
        <v>489</v>
      </c>
      <c r="S2894" s="125"/>
    </row>
    <row r="2895" spans="1:19" hidden="1">
      <c r="A2895" s="124" t="s">
        <v>4894</v>
      </c>
      <c r="B2895" s="138" t="str">
        <f ca="1"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 ca="1">IF(Proc[[#This Row],[type]]="LFF (MDG-F)",MID(Proc[[#This Row],[Obj]],13,10),"")</f>
        <v/>
      </c>
      <c r="I2895" s="124"/>
      <c r="J2895" s="125" t="b">
        <f ca="1">Proc[[#This Row],[Requested]]=Proc[[#This Row],[CurrentParent]]</f>
        <v>1</v>
      </c>
      <c r="K2895" s="125" t="str">
        <f ca="1"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34</v>
      </c>
      <c r="R2895" s="115" t="s">
        <v>489</v>
      </c>
      <c r="S2895" s="125"/>
    </row>
    <row r="2896" spans="1:19" hidden="1">
      <c r="A2896" s="124" t="s">
        <v>4894</v>
      </c>
      <c r="B2896" s="138" t="str">
        <f ca="1"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 ca="1">IF(Proc[[#This Row],[type]]="LFF (MDG-F)",MID(Proc[[#This Row],[Obj]],13,10),"")</f>
        <v/>
      </c>
      <c r="I2896" s="124"/>
      <c r="J2896" s="125" t="b">
        <f ca="1">Proc[[#This Row],[Requested]]=Proc[[#This Row],[CurrentParent]]</f>
        <v>1</v>
      </c>
      <c r="K2896" s="125" t="str">
        <f ca="1"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34</v>
      </c>
      <c r="R2896" s="115" t="s">
        <v>489</v>
      </c>
      <c r="S2896" s="125"/>
    </row>
    <row r="2897" spans="1:19" hidden="1">
      <c r="A2897" t="s">
        <v>4897</v>
      </c>
      <c r="B2897" s="138" t="str">
        <f ca="1"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 ca="1">IF(Proc[[#This Row],[type]]="LFF (MDG-F)",MID(Proc[[#This Row],[Obj]],13,10),"")</f>
        <v/>
      </c>
      <c r="J2897" s="125" t="b">
        <f ca="1">Proc[[#This Row],[Requested]]=Proc[[#This Row],[CurrentParent]]</f>
        <v>1</v>
      </c>
      <c r="K2897" s="125" t="str">
        <f ca="1"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34</v>
      </c>
      <c r="R2897" s="115" t="s">
        <v>972</v>
      </c>
      <c r="S2897" s="125"/>
    </row>
    <row r="2898" spans="1:19" hidden="1">
      <c r="A2898" s="124" t="s">
        <v>4897</v>
      </c>
      <c r="B2898" s="138" t="str">
        <f ca="1"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 ca="1">IF(Proc[[#This Row],[type]]="LFF (MDG-F)",MID(Proc[[#This Row],[Obj]],13,10),"")</f>
        <v/>
      </c>
      <c r="J2898" s="125" t="b">
        <f ca="1">Proc[[#This Row],[Requested]]=Proc[[#This Row],[CurrentParent]]</f>
        <v>1</v>
      </c>
      <c r="K2898" s="125" t="str">
        <f ca="1"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34</v>
      </c>
      <c r="R2898" s="115" t="s">
        <v>972</v>
      </c>
      <c r="S2898" s="125"/>
    </row>
    <row r="2899" spans="1:19" hidden="1">
      <c r="A2899" s="124" t="s">
        <v>4897</v>
      </c>
      <c r="B2899" s="138" t="str">
        <f ca="1"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 ca="1">IF(Proc[[#This Row],[type]]="LFF (MDG-F)",MID(Proc[[#This Row],[Obj]],13,10),"")</f>
        <v/>
      </c>
      <c r="J2899" s="125" t="b">
        <f ca="1">Proc[[#This Row],[Requested]]=Proc[[#This Row],[CurrentParent]]</f>
        <v>1</v>
      </c>
      <c r="K2899" s="125" t="str">
        <f ca="1"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34</v>
      </c>
      <c r="R2899" s="115" t="s">
        <v>972</v>
      </c>
      <c r="S2899" s="125"/>
    </row>
    <row r="2900" spans="1:19" hidden="1">
      <c r="A2900" t="s">
        <v>4904</v>
      </c>
      <c r="B2900" s="138" t="str">
        <f ca="1"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 ca="1">IF(Proc[[#This Row],[type]]="LFF (MDG-F)",MID(Proc[[#This Row],[Obj]],13,10),"")</f>
        <v/>
      </c>
      <c r="I2900" t="s">
        <v>4912</v>
      </c>
      <c r="J2900" s="125" t="b">
        <f ca="1">Proc[[#This Row],[Requested]]=Proc[[#This Row],[CurrentParent]]</f>
        <v>1</v>
      </c>
      <c r="K2900" s="125" t="str">
        <f ca="1"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33</v>
      </c>
      <c r="R2900" s="115" t="s">
        <v>515</v>
      </c>
      <c r="S2900" s="125"/>
    </row>
    <row r="2901" spans="1:19" hidden="1">
      <c r="A2901" t="s">
        <v>4904</v>
      </c>
      <c r="B2901" s="138" t="str">
        <f ca="1"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 ca="1">IF(Proc[[#This Row],[type]]="LFF (MDG-F)",MID(Proc[[#This Row],[Obj]],13,10),"")</f>
        <v/>
      </c>
      <c r="I2901" s="124" t="s">
        <v>4912</v>
      </c>
      <c r="J2901" s="125" t="b">
        <f ca="1">Proc[[#This Row],[Requested]]=Proc[[#This Row],[CurrentParent]]</f>
        <v>1</v>
      </c>
      <c r="K2901" s="125" t="str">
        <f ca="1"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33</v>
      </c>
      <c r="R2901" s="115" t="s">
        <v>515</v>
      </c>
      <c r="S2901" s="125"/>
    </row>
    <row r="2902" spans="1:19" hidden="1">
      <c r="A2902" t="s">
        <v>4905</v>
      </c>
      <c r="B2902" s="138" t="str">
        <f ca="1"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 ca="1">IF(Proc[[#This Row],[type]]="LFF (MDG-F)",MID(Proc[[#This Row],[Obj]],13,10),"")</f>
        <v/>
      </c>
      <c r="J2902" s="125" t="b">
        <f ca="1">Proc[[#This Row],[Requested]]=Proc[[#This Row],[CurrentParent]]</f>
        <v>1</v>
      </c>
      <c r="K2902" s="125" t="str">
        <f ca="1"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31</v>
      </c>
      <c r="R2902" s="115" t="s">
        <v>515</v>
      </c>
      <c r="S2902" s="125"/>
    </row>
    <row r="2903" spans="1:19" hidden="1">
      <c r="A2903" s="124" t="s">
        <v>4905</v>
      </c>
      <c r="B2903" s="138" t="str">
        <f ca="1"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 ca="1">IF(Proc[[#This Row],[type]]="LFF (MDG-F)",MID(Proc[[#This Row],[Obj]],13,10),"")</f>
        <v/>
      </c>
      <c r="J2903" s="125" t="b">
        <f ca="1">Proc[[#This Row],[Requested]]=Proc[[#This Row],[CurrentParent]]</f>
        <v>1</v>
      </c>
      <c r="K2903" s="125" t="str">
        <f ca="1"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31</v>
      </c>
      <c r="R2903" s="115" t="s">
        <v>515</v>
      </c>
      <c r="S2903" s="125"/>
    </row>
    <row r="2904" spans="1:19" hidden="1">
      <c r="A2904" s="124" t="s">
        <v>4905</v>
      </c>
      <c r="B2904" s="138" t="str">
        <f ca="1"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 ca="1">IF(Proc[[#This Row],[type]]="LFF (MDG-F)",MID(Proc[[#This Row],[Obj]],13,10),"")</f>
        <v/>
      </c>
      <c r="J2904" s="125" t="b">
        <f ca="1">Proc[[#This Row],[Requested]]=Proc[[#This Row],[CurrentParent]]</f>
        <v>1</v>
      </c>
      <c r="K2904" s="125" t="str">
        <f ca="1"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31</v>
      </c>
      <c r="R2904" s="115" t="s">
        <v>515</v>
      </c>
      <c r="S2904" s="125"/>
    </row>
    <row r="2905" spans="1:19" hidden="1">
      <c r="A2905" t="s">
        <v>4908</v>
      </c>
      <c r="B2905" s="138" t="str">
        <f ca="1"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 ca="1">IF(Proc[[#This Row],[type]]="LFF (MDG-F)",MID(Proc[[#This Row],[Obj]],13,10),"")</f>
        <v/>
      </c>
      <c r="J2905" s="125" t="b">
        <f ca="1">Proc[[#This Row],[Requested]]=Proc[[#This Row],[CurrentParent]]</f>
        <v>1</v>
      </c>
      <c r="K2905" s="125" t="str">
        <f ca="1"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31</v>
      </c>
      <c r="R2905" s="115" t="s">
        <v>489</v>
      </c>
      <c r="S2905" s="125"/>
    </row>
    <row r="2906" spans="1:19" hidden="1">
      <c r="A2906" s="124" t="s">
        <v>4908</v>
      </c>
      <c r="B2906" s="138" t="str">
        <f ca="1"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 ca="1">IF(Proc[[#This Row],[type]]="LFF (MDG-F)",MID(Proc[[#This Row],[Obj]],13,10),"")</f>
        <v/>
      </c>
      <c r="J2906" s="125" t="b">
        <f ca="1">Proc[[#This Row],[Requested]]=Proc[[#This Row],[CurrentParent]]</f>
        <v>1</v>
      </c>
      <c r="K2906" s="125" t="str">
        <f ca="1"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31</v>
      </c>
      <c r="R2906" s="115" t="s">
        <v>489</v>
      </c>
      <c r="S2906" s="125"/>
    </row>
    <row r="2907" spans="1:19" hidden="1">
      <c r="A2907" t="s">
        <v>4909</v>
      </c>
      <c r="B2907" s="138" t="str">
        <f ca="1"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 ca="1">IF(Proc[[#This Row],[type]]="LFF (MDG-F)",MID(Proc[[#This Row],[Obj]],13,10),"")</f>
        <v/>
      </c>
      <c r="J2907" s="125" t="b">
        <f ca="1">Proc[[#This Row],[Requested]]=Proc[[#This Row],[CurrentParent]]</f>
        <v>1</v>
      </c>
      <c r="K2907" s="125" t="str">
        <f ca="1"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31</v>
      </c>
      <c r="R2907" s="115" t="s">
        <v>972</v>
      </c>
      <c r="S2907" s="125"/>
    </row>
    <row r="2908" spans="1:19" hidden="1">
      <c r="A2908" t="s">
        <v>4919</v>
      </c>
      <c r="B2908" s="138" t="str">
        <f ca="1"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 ca="1">IF(Proc[[#This Row],[type]]="LFF (MDG-F)",MID(Proc[[#This Row],[Obj]],13,10),"")</f>
        <v>NO50R00005</v>
      </c>
      <c r="J2908" s="125" t="b">
        <f ca="1">Proc[[#This Row],[Requested]]=Proc[[#This Row],[CurrentParent]]</f>
        <v>1</v>
      </c>
      <c r="K2908" s="125" t="str">
        <f ca="1"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31</v>
      </c>
      <c r="R2908" s="115" t="s">
        <v>764</v>
      </c>
      <c r="S2908" s="125"/>
    </row>
    <row r="2909" spans="1:19" hidden="1">
      <c r="A2909" s="124" t="s">
        <v>4919</v>
      </c>
      <c r="B2909" s="138" t="str">
        <f ca="1"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 ca="1">IF(Proc[[#This Row],[type]]="LFF (MDG-F)",MID(Proc[[#This Row],[Obj]],13,10),"")</f>
        <v>CH75L70000</v>
      </c>
      <c r="J2909" s="125" t="b">
        <f ca="1">Proc[[#This Row],[Requested]]=Proc[[#This Row],[CurrentParent]]</f>
        <v>1</v>
      </c>
      <c r="K2909" s="125" t="str">
        <f ca="1"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31</v>
      </c>
      <c r="R2909" s="115" t="s">
        <v>764</v>
      </c>
      <c r="S2909" s="125"/>
    </row>
    <row r="2910" spans="1:19" hidden="1">
      <c r="A2910" s="124" t="s">
        <v>4919</v>
      </c>
      <c r="B2910" s="138" t="str">
        <f ca="1"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 ca="1">IF(Proc[[#This Row],[type]]="LFF (MDG-F)",MID(Proc[[#This Row],[Obj]],13,10),"")</f>
        <v>DE50R06355</v>
      </c>
      <c r="J2910" s="125" t="b">
        <f ca="1">Proc[[#This Row],[Requested]]=Proc[[#This Row],[CurrentParent]]</f>
        <v>1</v>
      </c>
      <c r="K2910" s="125" t="str">
        <f ca="1"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31</v>
      </c>
      <c r="R2910" s="115" t="s">
        <v>764</v>
      </c>
      <c r="S2910" s="125"/>
    </row>
    <row r="2911" spans="1:19" hidden="1">
      <c r="A2911" t="s">
        <v>4921</v>
      </c>
      <c r="B2911" s="138" t="str">
        <f ca="1"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 ca="1">IF(Proc[[#This Row],[type]]="LFF (MDG-F)",MID(Proc[[#This Row],[Obj]],13,10),"")</f>
        <v/>
      </c>
      <c r="J2911" s="125" t="b">
        <f ca="1">Proc[[#This Row],[Requested]]=Proc[[#This Row],[CurrentParent]]</f>
        <v>1</v>
      </c>
      <c r="K2911" s="125" t="str">
        <f ca="1"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31</v>
      </c>
      <c r="R2911" s="115" t="s">
        <v>410</v>
      </c>
      <c r="S2911" s="125"/>
    </row>
    <row r="2912" spans="1:19" hidden="1">
      <c r="A2912" t="s">
        <v>4935</v>
      </c>
      <c r="B2912" s="138" t="str">
        <f ca="1"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 ca="1">IF(Proc[[#This Row],[type]]="LFF (MDG-F)",MID(Proc[[#This Row],[Obj]],13,10),"")</f>
        <v/>
      </c>
      <c r="J2912" s="125" t="b">
        <f ca="1">Proc[[#This Row],[Requested]]=Proc[[#This Row],[CurrentParent]]</f>
        <v>1</v>
      </c>
      <c r="K2912" s="125" t="str">
        <f ca="1"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29</v>
      </c>
      <c r="R2912" s="115" t="s">
        <v>972</v>
      </c>
      <c r="S2912" s="125"/>
    </row>
    <row r="2913" spans="1:19" hidden="1">
      <c r="A2913" s="124" t="s">
        <v>4935</v>
      </c>
      <c r="B2913" s="138" t="str">
        <f ca="1"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 ca="1">IF(Proc[[#This Row],[type]]="LFF (MDG-F)",MID(Proc[[#This Row],[Obj]],13,10),"")</f>
        <v/>
      </c>
      <c r="J2913" s="125" t="b">
        <f ca="1">Proc[[#This Row],[Requested]]=Proc[[#This Row],[CurrentParent]]</f>
        <v>1</v>
      </c>
      <c r="K2913" s="125" t="str">
        <f ca="1"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29</v>
      </c>
      <c r="R2913" s="115" t="s">
        <v>972</v>
      </c>
      <c r="S2913" s="125"/>
    </row>
    <row r="2914" spans="1:19" hidden="1">
      <c r="A2914" s="124" t="s">
        <v>4935</v>
      </c>
      <c r="B2914" s="138" t="str">
        <f ca="1"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 ca="1">IF(Proc[[#This Row],[type]]="LFF (MDG-F)",MID(Proc[[#This Row],[Obj]],13,10),"")</f>
        <v/>
      </c>
      <c r="J2914" s="125" t="b">
        <f ca="1">Proc[[#This Row],[Requested]]=Proc[[#This Row],[CurrentParent]]</f>
        <v>1</v>
      </c>
      <c r="K2914" s="125" t="str">
        <f ca="1"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29</v>
      </c>
      <c r="R2914" s="115" t="s">
        <v>972</v>
      </c>
      <c r="S2914" s="125"/>
    </row>
    <row r="2915" spans="1:19" hidden="1">
      <c r="A2915" s="124" t="s">
        <v>4935</v>
      </c>
      <c r="B2915" s="138" t="str">
        <f ca="1"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 ca="1">IF(Proc[[#This Row],[type]]="LFF (MDG-F)",MID(Proc[[#This Row],[Obj]],13,10),"")</f>
        <v/>
      </c>
      <c r="J2915" s="125" t="b">
        <f ca="1">Proc[[#This Row],[Requested]]=Proc[[#This Row],[CurrentParent]]</f>
        <v>1</v>
      </c>
      <c r="K2915" s="125" t="str">
        <f ca="1"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29</v>
      </c>
      <c r="R2915" s="115" t="s">
        <v>972</v>
      </c>
      <c r="S2915" s="125"/>
    </row>
    <row r="2916" spans="1:19" hidden="1">
      <c r="A2916" s="124" t="s">
        <v>4935</v>
      </c>
      <c r="B2916" s="138" t="str">
        <f ca="1"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 ca="1">IF(Proc[[#This Row],[type]]="LFF (MDG-F)",MID(Proc[[#This Row],[Obj]],13,10),"")</f>
        <v/>
      </c>
      <c r="J2916" s="125" t="b">
        <f ca="1">Proc[[#This Row],[Requested]]=Proc[[#This Row],[CurrentParent]]</f>
        <v>1</v>
      </c>
      <c r="K2916" s="125" t="str">
        <f ca="1"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29</v>
      </c>
      <c r="R2916" s="115" t="s">
        <v>972</v>
      </c>
      <c r="S2916" s="125"/>
    </row>
    <row r="2917" spans="1:19" hidden="1">
      <c r="A2917" s="124" t="s">
        <v>4935</v>
      </c>
      <c r="B2917" s="138" t="str">
        <f ca="1"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 ca="1">IF(Proc[[#This Row],[type]]="LFF (MDG-F)",MID(Proc[[#This Row],[Obj]],13,10),"")</f>
        <v/>
      </c>
      <c r="J2917" s="125" t="b">
        <f ca="1">Proc[[#This Row],[Requested]]=Proc[[#This Row],[CurrentParent]]</f>
        <v>1</v>
      </c>
      <c r="K2917" s="125" t="str">
        <f ca="1"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29</v>
      </c>
      <c r="R2917" s="115" t="s">
        <v>972</v>
      </c>
      <c r="S2917" s="125"/>
    </row>
    <row r="2918" spans="1:19" hidden="1">
      <c r="A2918" s="124" t="s">
        <v>4935</v>
      </c>
      <c r="B2918" s="138" t="str">
        <f ca="1"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 ca="1">IF(Proc[[#This Row],[type]]="LFF (MDG-F)",MID(Proc[[#This Row],[Obj]],13,10),"")</f>
        <v/>
      </c>
      <c r="J2918" s="125" t="b">
        <f ca="1">Proc[[#This Row],[Requested]]=Proc[[#This Row],[CurrentParent]]</f>
        <v>1</v>
      </c>
      <c r="K2918" s="125" t="str">
        <f ca="1"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29</v>
      </c>
      <c r="R2918" s="115" t="s">
        <v>972</v>
      </c>
      <c r="S2918" s="125"/>
    </row>
    <row r="2919" spans="1:19" hidden="1">
      <c r="A2919" t="s">
        <v>4936</v>
      </c>
      <c r="B2919" s="138" t="str">
        <f ca="1"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 ca="1">IF(Proc[[#This Row],[type]]="LFF (MDG-F)",MID(Proc[[#This Row],[Obj]],13,10),"")</f>
        <v>DE10GTX000</v>
      </c>
      <c r="J2919" s="125" t="b">
        <f ca="1">Proc[[#This Row],[Requested]]=Proc[[#This Row],[CurrentParent]]</f>
        <v>1</v>
      </c>
      <c r="K2919" s="125" t="str">
        <f ca="1"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29</v>
      </c>
      <c r="R2919" s="115" t="s">
        <v>515</v>
      </c>
      <c r="S2919" s="125"/>
    </row>
    <row r="2920" spans="1:19" hidden="1">
      <c r="A2920" s="124" t="s">
        <v>4936</v>
      </c>
      <c r="B2920" s="138" t="str">
        <f ca="1"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 ca="1">IF(Proc[[#This Row],[type]]="LFF (MDG-F)",MID(Proc[[#This Row],[Obj]],13,10),"")</f>
        <v/>
      </c>
      <c r="J2920" s="125" t="b">
        <f ca="1">Proc[[#This Row],[Requested]]=Proc[[#This Row],[CurrentParent]]</f>
        <v>1</v>
      </c>
      <c r="K2920" s="125" t="str">
        <f ca="1"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28</v>
      </c>
      <c r="R2920" s="115" t="s">
        <v>415</v>
      </c>
      <c r="S2920" s="125"/>
    </row>
    <row r="2921" spans="1:19" hidden="1">
      <c r="A2921" s="124" t="s">
        <v>4936</v>
      </c>
      <c r="B2921" s="138" t="str">
        <f ca="1"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 ca="1">IF(Proc[[#This Row],[type]]="LFF (MDG-F)",MID(Proc[[#This Row],[Obj]],13,10),"")</f>
        <v/>
      </c>
      <c r="J2921" s="125" t="b">
        <f ca="1">Proc[[#This Row],[Requested]]=Proc[[#This Row],[CurrentParent]]</f>
        <v>1</v>
      </c>
      <c r="K2921" s="125" t="str">
        <f ca="1"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28</v>
      </c>
      <c r="R2921" s="115" t="s">
        <v>415</v>
      </c>
      <c r="S2921" s="125"/>
    </row>
    <row r="2922" spans="1:19" hidden="1">
      <c r="A2922" s="124" t="s">
        <v>4936</v>
      </c>
      <c r="B2922" s="138" t="str">
        <f ca="1"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 ca="1">IF(Proc[[#This Row],[type]]="LFF (MDG-F)",MID(Proc[[#This Row],[Obj]],13,10),"")</f>
        <v/>
      </c>
      <c r="J2922" s="125" t="b">
        <f ca="1">Proc[[#This Row],[Requested]]=Proc[[#This Row],[CurrentParent]]</f>
        <v>1</v>
      </c>
      <c r="K2922" s="125" t="str">
        <f ca="1"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28</v>
      </c>
      <c r="R2922" s="115" t="s">
        <v>415</v>
      </c>
      <c r="S2922" s="125"/>
    </row>
    <row r="2923" spans="1:19" hidden="1">
      <c r="A2923" s="124" t="s">
        <v>4936</v>
      </c>
      <c r="B2923" s="138" t="str">
        <f ca="1"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 ca="1">IF(Proc[[#This Row],[type]]="LFF (MDG-F)",MID(Proc[[#This Row],[Obj]],13,10),"")</f>
        <v/>
      </c>
      <c r="J2923" s="125" t="b">
        <f ca="1">Proc[[#This Row],[Requested]]=Proc[[#This Row],[CurrentParent]]</f>
        <v>1</v>
      </c>
      <c r="K2923" s="125" t="str">
        <f ca="1"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28</v>
      </c>
      <c r="R2923" s="115" t="s">
        <v>415</v>
      </c>
      <c r="S2923" s="125"/>
    </row>
    <row r="2924" spans="1:19" hidden="1">
      <c r="A2924" s="124" t="s">
        <v>4936</v>
      </c>
      <c r="B2924" s="138" t="str">
        <f ca="1"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 ca="1">IF(Proc[[#This Row],[type]]="LFF (MDG-F)",MID(Proc[[#This Row],[Obj]],13,10),"")</f>
        <v/>
      </c>
      <c r="J2924" s="125" t="b">
        <f ca="1">Proc[[#This Row],[Requested]]=Proc[[#This Row],[CurrentParent]]</f>
        <v>1</v>
      </c>
      <c r="K2924" s="125" t="str">
        <f ca="1"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28</v>
      </c>
      <c r="R2924" s="115" t="s">
        <v>415</v>
      </c>
      <c r="S2924" s="125"/>
    </row>
    <row r="2925" spans="1:19" hidden="1">
      <c r="A2925" s="124" t="s">
        <v>4936</v>
      </c>
      <c r="B2925" s="138" t="str">
        <f ca="1"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 ca="1">IF(Proc[[#This Row],[type]]="LFF (MDG-F)",MID(Proc[[#This Row],[Obj]],13,10),"")</f>
        <v/>
      </c>
      <c r="J2925" s="125" t="b">
        <f ca="1">Proc[[#This Row],[Requested]]=Proc[[#This Row],[CurrentParent]]</f>
        <v>1</v>
      </c>
      <c r="K2925" s="125" t="str">
        <f ca="1"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28</v>
      </c>
      <c r="R2925" s="115" t="s">
        <v>415</v>
      </c>
      <c r="S2925" s="125"/>
    </row>
    <row r="2926" spans="1:19" hidden="1">
      <c r="A2926" s="124" t="s">
        <v>4936</v>
      </c>
      <c r="B2926" s="138" t="str">
        <f ca="1"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 ca="1">IF(Proc[[#This Row],[type]]="LFF (MDG-F)",MID(Proc[[#This Row],[Obj]],13,10),"")</f>
        <v/>
      </c>
      <c r="J2926" s="125" t="b">
        <f ca="1">Proc[[#This Row],[Requested]]=Proc[[#This Row],[CurrentParent]]</f>
        <v>1</v>
      </c>
      <c r="K2926" s="125" t="str">
        <f ca="1"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28</v>
      </c>
      <c r="R2926" s="115" t="s">
        <v>415</v>
      </c>
      <c r="S2926" s="125"/>
    </row>
    <row r="2927" spans="1:19" hidden="1">
      <c r="A2927" s="124" t="s">
        <v>4936</v>
      </c>
      <c r="B2927" s="138" t="str">
        <f ca="1"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 ca="1">IF(Proc[[#This Row],[type]]="LFF (MDG-F)",MID(Proc[[#This Row],[Obj]],13,10),"")</f>
        <v/>
      </c>
      <c r="J2927" s="125" t="b">
        <f ca="1">Proc[[#This Row],[Requested]]=Proc[[#This Row],[CurrentParent]]</f>
        <v>1</v>
      </c>
      <c r="K2927" s="125" t="str">
        <f ca="1"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28</v>
      </c>
      <c r="R2927" s="115" t="s">
        <v>415</v>
      </c>
      <c r="S2927" s="125"/>
    </row>
    <row r="2928" spans="1:19" hidden="1">
      <c r="A2928" s="124" t="s">
        <v>4936</v>
      </c>
      <c r="B2928" s="138" t="str">
        <f ca="1"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 ca="1">IF(Proc[[#This Row],[type]]="LFF (MDG-F)",MID(Proc[[#This Row],[Obj]],13,10),"")</f>
        <v/>
      </c>
      <c r="J2928" s="125" t="b">
        <f ca="1">Proc[[#This Row],[Requested]]=Proc[[#This Row],[CurrentParent]]</f>
        <v>1</v>
      </c>
      <c r="K2928" s="125" t="str">
        <f ca="1"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28</v>
      </c>
      <c r="R2928" s="115" t="s">
        <v>415</v>
      </c>
      <c r="S2928" s="125"/>
    </row>
    <row r="2929" spans="1:19" hidden="1">
      <c r="A2929" s="124" t="s">
        <v>4936</v>
      </c>
      <c r="B2929" s="138" t="str">
        <f ca="1"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 ca="1">IF(Proc[[#This Row],[type]]="LFF (MDG-F)",MID(Proc[[#This Row],[Obj]],13,10),"")</f>
        <v/>
      </c>
      <c r="J2929" s="125" t="b">
        <f ca="1">Proc[[#This Row],[Requested]]=Proc[[#This Row],[CurrentParent]]</f>
        <v>1</v>
      </c>
      <c r="K2929" s="125" t="str">
        <f ca="1"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28</v>
      </c>
      <c r="R2929" s="115" t="s">
        <v>415</v>
      </c>
      <c r="S2929" s="125"/>
    </row>
    <row r="2930" spans="1:19" hidden="1">
      <c r="A2930" s="124" t="s">
        <v>4936</v>
      </c>
      <c r="B2930" s="138" t="str">
        <f ca="1"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 ca="1">IF(Proc[[#This Row],[type]]="LFF (MDG-F)",MID(Proc[[#This Row],[Obj]],13,10),"")</f>
        <v/>
      </c>
      <c r="J2930" s="125" t="b">
        <f ca="1">Proc[[#This Row],[Requested]]=Proc[[#This Row],[CurrentParent]]</f>
        <v>1</v>
      </c>
      <c r="K2930" s="125" t="str">
        <f ca="1"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28</v>
      </c>
      <c r="R2930" s="115" t="s">
        <v>415</v>
      </c>
      <c r="S2930" s="125"/>
    </row>
    <row r="2931" spans="1:19" hidden="1">
      <c r="A2931" s="124" t="s">
        <v>4936</v>
      </c>
      <c r="B2931" s="138" t="str">
        <f ca="1"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 ca="1">IF(Proc[[#This Row],[type]]="LFF (MDG-F)",MID(Proc[[#This Row],[Obj]],13,10),"")</f>
        <v/>
      </c>
      <c r="J2931" s="125" t="b">
        <f ca="1">Proc[[#This Row],[Requested]]=Proc[[#This Row],[CurrentParent]]</f>
        <v>1</v>
      </c>
      <c r="K2931" s="125" t="str">
        <f ca="1"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28</v>
      </c>
      <c r="R2931" s="115" t="s">
        <v>415</v>
      </c>
      <c r="S2931" s="125"/>
    </row>
    <row r="2932" spans="1:19" hidden="1">
      <c r="A2932" s="124" t="s">
        <v>4936</v>
      </c>
      <c r="B2932" s="138" t="str">
        <f ca="1"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 ca="1">IF(Proc[[#This Row],[type]]="LFF (MDG-F)",MID(Proc[[#This Row],[Obj]],13,10),"")</f>
        <v/>
      </c>
      <c r="J2932" s="125" t="b">
        <f ca="1">Proc[[#This Row],[Requested]]=Proc[[#This Row],[CurrentParent]]</f>
        <v>1</v>
      </c>
      <c r="K2932" s="125" t="str">
        <f ca="1"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28</v>
      </c>
      <c r="R2932" s="115" t="s">
        <v>415</v>
      </c>
      <c r="S2932" s="125"/>
    </row>
    <row r="2933" spans="1:19" hidden="1">
      <c r="A2933" s="124" t="s">
        <v>4936</v>
      </c>
      <c r="B2933" s="138" t="str">
        <f ca="1"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 ca="1">IF(Proc[[#This Row],[type]]="LFF (MDG-F)",MID(Proc[[#This Row],[Obj]],13,10),"")</f>
        <v/>
      </c>
      <c r="J2933" s="125" t="b">
        <f ca="1">Proc[[#This Row],[Requested]]=Proc[[#This Row],[CurrentParent]]</f>
        <v>1</v>
      </c>
      <c r="K2933" s="125" t="str">
        <f ca="1"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28</v>
      </c>
      <c r="R2933" s="115" t="s">
        <v>415</v>
      </c>
      <c r="S2933" s="125"/>
    </row>
    <row r="2934" spans="1:19" hidden="1">
      <c r="A2934" s="124" t="s">
        <v>4936</v>
      </c>
      <c r="B2934" s="138" t="str">
        <f ca="1"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 ca="1">IF(Proc[[#This Row],[type]]="LFF (MDG-F)",MID(Proc[[#This Row],[Obj]],13,10),"")</f>
        <v/>
      </c>
      <c r="J2934" s="125" t="b">
        <f ca="1">Proc[[#This Row],[Requested]]=Proc[[#This Row],[CurrentParent]]</f>
        <v>1</v>
      </c>
      <c r="K2934" s="125" t="str">
        <f ca="1"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28</v>
      </c>
      <c r="R2934" s="115" t="s">
        <v>415</v>
      </c>
      <c r="S2934" s="125"/>
    </row>
    <row r="2935" spans="1:19" hidden="1">
      <c r="A2935" s="124" t="s">
        <v>4936</v>
      </c>
      <c r="B2935" s="138" t="str">
        <f ca="1"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 ca="1">IF(Proc[[#This Row],[type]]="LFF (MDG-F)",MID(Proc[[#This Row],[Obj]],13,10),"")</f>
        <v/>
      </c>
      <c r="J2935" s="125" t="b">
        <f ca="1">Proc[[#This Row],[Requested]]=Proc[[#This Row],[CurrentParent]]</f>
        <v>1</v>
      </c>
      <c r="K2935" s="125" t="str">
        <f ca="1"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28</v>
      </c>
      <c r="R2935" s="115" t="s">
        <v>415</v>
      </c>
      <c r="S2935" s="125"/>
    </row>
    <row r="2936" spans="1:19" hidden="1">
      <c r="A2936" s="124" t="s">
        <v>4936</v>
      </c>
      <c r="B2936" s="138" t="str">
        <f ca="1"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 ca="1">IF(Proc[[#This Row],[type]]="LFF (MDG-F)",MID(Proc[[#This Row],[Obj]],13,10),"")</f>
        <v/>
      </c>
      <c r="J2936" s="125" t="b">
        <f ca="1">Proc[[#This Row],[Requested]]=Proc[[#This Row],[CurrentParent]]</f>
        <v>1</v>
      </c>
      <c r="K2936" s="125" t="str">
        <f ca="1"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28</v>
      </c>
      <c r="R2936" s="115" t="s">
        <v>415</v>
      </c>
      <c r="S2936" s="125"/>
    </row>
    <row r="2937" spans="1:19" hidden="1">
      <c r="A2937" t="s">
        <v>5260</v>
      </c>
      <c r="B2937" s="138" t="str">
        <f ca="1"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 ca="1">IF(Proc[[#This Row],[type]]="LFF (MDG-F)",MID(Proc[[#This Row],[Obj]],13,10),"")</f>
        <v/>
      </c>
      <c r="J2937" s="125" t="b">
        <f ca="1">Proc[[#This Row],[Requested]]=Proc[[#This Row],[CurrentParent]]</f>
        <v>1</v>
      </c>
      <c r="K2937" s="125" t="str">
        <f ca="1"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26</v>
      </c>
      <c r="R2937" s="115" t="s">
        <v>1013</v>
      </c>
      <c r="S2937" s="125"/>
    </row>
    <row r="2938" spans="1:19" hidden="1">
      <c r="A2938" s="124" t="s">
        <v>5260</v>
      </c>
      <c r="B2938" s="138" t="str">
        <f ca="1"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 ca="1">IF(Proc[[#This Row],[type]]="LFF (MDG-F)",MID(Proc[[#This Row],[Obj]],13,10),"")</f>
        <v/>
      </c>
      <c r="J2938" s="125" t="b">
        <f ca="1">Proc[[#This Row],[Requested]]=Proc[[#This Row],[CurrentParent]]</f>
        <v>1</v>
      </c>
      <c r="K2938" s="125" t="str">
        <f ca="1"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26</v>
      </c>
      <c r="R2938" s="115" t="s">
        <v>1013</v>
      </c>
      <c r="S2938" s="125"/>
    </row>
    <row r="2939" spans="1:19" hidden="1">
      <c r="A2939" s="124" t="s">
        <v>5260</v>
      </c>
      <c r="B2939" s="138" t="str">
        <f ca="1"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 ca="1">IF(Proc[[#This Row],[type]]="LFF (MDG-F)",MID(Proc[[#This Row],[Obj]],13,10),"")</f>
        <v/>
      </c>
      <c r="J2939" s="125" t="b">
        <f ca="1">Proc[[#This Row],[Requested]]=Proc[[#This Row],[CurrentParent]]</f>
        <v>1</v>
      </c>
      <c r="K2939" s="125" t="str">
        <f ca="1"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26</v>
      </c>
      <c r="R2939" s="115" t="s">
        <v>1013</v>
      </c>
      <c r="S2939" s="125"/>
    </row>
    <row r="2940" spans="1:19" hidden="1">
      <c r="A2940" s="124" t="s">
        <v>5260</v>
      </c>
      <c r="B2940" s="138" t="str">
        <f ca="1"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 ca="1">IF(Proc[[#This Row],[type]]="LFF (MDG-F)",MID(Proc[[#This Row],[Obj]],13,10),"")</f>
        <v/>
      </c>
      <c r="J2940" s="125" t="b">
        <f ca="1">Proc[[#This Row],[Requested]]=Proc[[#This Row],[CurrentParent]]</f>
        <v>1</v>
      </c>
      <c r="K2940" s="125" t="str">
        <f ca="1"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26</v>
      </c>
      <c r="R2940" s="115" t="s">
        <v>1013</v>
      </c>
      <c r="S2940" s="125"/>
    </row>
    <row r="2941" spans="1:19" hidden="1">
      <c r="A2941" s="124" t="s">
        <v>5260</v>
      </c>
      <c r="B2941" s="138" t="str">
        <f ca="1"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 ca="1">IF(Proc[[#This Row],[type]]="LFF (MDG-F)",MID(Proc[[#This Row],[Obj]],13,10),"")</f>
        <v/>
      </c>
      <c r="J2941" s="125" t="b">
        <f ca="1">Proc[[#This Row],[Requested]]=Proc[[#This Row],[CurrentParent]]</f>
        <v>1</v>
      </c>
      <c r="K2941" s="125" t="str">
        <f ca="1"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26</v>
      </c>
      <c r="R2941" s="115" t="s">
        <v>1013</v>
      </c>
      <c r="S2941" s="125"/>
    </row>
    <row r="2942" spans="1:19" hidden="1">
      <c r="A2942" s="124" t="s">
        <v>5260</v>
      </c>
      <c r="B2942" s="138" t="str">
        <f ca="1"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 ca="1">IF(Proc[[#This Row],[type]]="LFF (MDG-F)",MID(Proc[[#This Row],[Obj]],13,10),"")</f>
        <v/>
      </c>
      <c r="J2942" s="125" t="b">
        <f ca="1">Proc[[#This Row],[Requested]]=Proc[[#This Row],[CurrentParent]]</f>
        <v>1</v>
      </c>
      <c r="K2942" s="125" t="str">
        <f ca="1"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26</v>
      </c>
      <c r="R2942" s="115" t="s">
        <v>1013</v>
      </c>
      <c r="S2942" s="125"/>
    </row>
    <row r="2943" spans="1:19" hidden="1">
      <c r="A2943" s="124" t="s">
        <v>5260</v>
      </c>
      <c r="B2943" s="138" t="str">
        <f ca="1"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 ca="1">IF(Proc[[#This Row],[type]]="LFF (MDG-F)",MID(Proc[[#This Row],[Obj]],13,10),"")</f>
        <v/>
      </c>
      <c r="J2943" s="125" t="b">
        <f ca="1">Proc[[#This Row],[Requested]]=Proc[[#This Row],[CurrentParent]]</f>
        <v>1</v>
      </c>
      <c r="K2943" s="125" t="str">
        <f ca="1"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26</v>
      </c>
      <c r="R2943" s="115" t="s">
        <v>1013</v>
      </c>
      <c r="S2943" s="125"/>
    </row>
    <row r="2944" spans="1:19" hidden="1">
      <c r="A2944" s="124" t="s">
        <v>5260</v>
      </c>
      <c r="B2944" s="138" t="str">
        <f ca="1"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 ca="1">IF(Proc[[#This Row],[type]]="LFF (MDG-F)",MID(Proc[[#This Row],[Obj]],13,10),"")</f>
        <v/>
      </c>
      <c r="J2944" s="125" t="b">
        <f ca="1">Proc[[#This Row],[Requested]]=Proc[[#This Row],[CurrentParent]]</f>
        <v>1</v>
      </c>
      <c r="K2944" s="125" t="str">
        <f ca="1"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26</v>
      </c>
      <c r="R2944" s="115" t="s">
        <v>1013</v>
      </c>
      <c r="S2944" s="125"/>
    </row>
    <row r="2945" spans="1:19" hidden="1">
      <c r="A2945" s="124" t="s">
        <v>5260</v>
      </c>
      <c r="B2945" s="138" t="str">
        <f ca="1"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 ca="1">IF(Proc[[#This Row],[type]]="LFF (MDG-F)",MID(Proc[[#This Row],[Obj]],13,10),"")</f>
        <v/>
      </c>
      <c r="J2945" s="125" t="b">
        <f ca="1">Proc[[#This Row],[Requested]]=Proc[[#This Row],[CurrentParent]]</f>
        <v>1</v>
      </c>
      <c r="K2945" s="125" t="str">
        <f ca="1"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26</v>
      </c>
      <c r="R2945" s="115" t="s">
        <v>1013</v>
      </c>
      <c r="S2945" s="125"/>
    </row>
    <row r="2946" spans="1:19" hidden="1">
      <c r="A2946" s="124" t="s">
        <v>5260</v>
      </c>
      <c r="B2946" s="138" t="str">
        <f ca="1"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 ca="1">IF(Proc[[#This Row],[type]]="LFF (MDG-F)",MID(Proc[[#This Row],[Obj]],13,10),"")</f>
        <v/>
      </c>
      <c r="J2946" s="125" t="b">
        <f ca="1">Proc[[#This Row],[Requested]]=Proc[[#This Row],[CurrentParent]]</f>
        <v>1</v>
      </c>
      <c r="K2946" s="125" t="str">
        <f ca="1"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26</v>
      </c>
      <c r="R2946" s="115" t="s">
        <v>1013</v>
      </c>
      <c r="S2946" s="125"/>
    </row>
    <row r="2947" spans="1:19" hidden="1">
      <c r="A2947" s="124" t="s">
        <v>5260</v>
      </c>
      <c r="B2947" s="138" t="str">
        <f ca="1"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 ca="1">IF(Proc[[#This Row],[type]]="LFF (MDG-F)",MID(Proc[[#This Row],[Obj]],13,10),"")</f>
        <v/>
      </c>
      <c r="J2947" s="125" t="b">
        <f ca="1">Proc[[#This Row],[Requested]]=Proc[[#This Row],[CurrentParent]]</f>
        <v>1</v>
      </c>
      <c r="K2947" s="125" t="str">
        <f ca="1"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26</v>
      </c>
      <c r="R2947" s="115" t="s">
        <v>1013</v>
      </c>
      <c r="S2947" s="125"/>
    </row>
    <row r="2948" spans="1:19" hidden="1">
      <c r="A2948" s="124" t="s">
        <v>5260</v>
      </c>
      <c r="B2948" s="138" t="str">
        <f ca="1"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 ca="1">IF(Proc[[#This Row],[type]]="LFF (MDG-F)",MID(Proc[[#This Row],[Obj]],13,10),"")</f>
        <v/>
      </c>
      <c r="J2948" s="125" t="b">
        <f ca="1">Proc[[#This Row],[Requested]]=Proc[[#This Row],[CurrentParent]]</f>
        <v>1</v>
      </c>
      <c r="K2948" s="125" t="str">
        <f ca="1"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26</v>
      </c>
      <c r="R2948" s="115" t="s">
        <v>1013</v>
      </c>
      <c r="S2948" s="125"/>
    </row>
    <row r="2949" spans="1:19" hidden="1">
      <c r="A2949" s="124" t="s">
        <v>5260</v>
      </c>
      <c r="B2949" s="138" t="str">
        <f ca="1"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 ca="1">IF(Proc[[#This Row],[type]]="LFF (MDG-F)",MID(Proc[[#This Row],[Obj]],13,10),"")</f>
        <v/>
      </c>
      <c r="J2949" s="125" t="b">
        <f ca="1">Proc[[#This Row],[Requested]]=Proc[[#This Row],[CurrentParent]]</f>
        <v>1</v>
      </c>
      <c r="K2949" s="125" t="str">
        <f ca="1"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26</v>
      </c>
      <c r="R2949" s="115" t="s">
        <v>1013</v>
      </c>
      <c r="S2949" s="125"/>
    </row>
    <row r="2950" spans="1:19" hidden="1">
      <c r="A2950" s="124" t="s">
        <v>5260</v>
      </c>
      <c r="B2950" s="138" t="str">
        <f ca="1"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 ca="1">IF(Proc[[#This Row],[type]]="LFF (MDG-F)",MID(Proc[[#This Row],[Obj]],13,10),"")</f>
        <v/>
      </c>
      <c r="J2950" s="125" t="b">
        <f ca="1">Proc[[#This Row],[Requested]]=Proc[[#This Row],[CurrentParent]]</f>
        <v>1</v>
      </c>
      <c r="K2950" s="125" t="str">
        <f ca="1"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26</v>
      </c>
      <c r="R2950" s="115" t="s">
        <v>1013</v>
      </c>
      <c r="S2950" s="125"/>
    </row>
    <row r="2951" spans="1:19" hidden="1">
      <c r="A2951" s="124" t="s">
        <v>5260</v>
      </c>
      <c r="B2951" s="138" t="str">
        <f ca="1"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 ca="1">IF(Proc[[#This Row],[type]]="LFF (MDG-F)",MID(Proc[[#This Row],[Obj]],13,10),"")</f>
        <v/>
      </c>
      <c r="J2951" s="125" t="b">
        <f ca="1">Proc[[#This Row],[Requested]]=Proc[[#This Row],[CurrentParent]]</f>
        <v>1</v>
      </c>
      <c r="K2951" s="125" t="str">
        <f ca="1"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26</v>
      </c>
      <c r="R2951" s="115" t="s">
        <v>1013</v>
      </c>
      <c r="S2951" s="125"/>
    </row>
    <row r="2952" spans="1:19" hidden="1">
      <c r="A2952" s="124" t="s">
        <v>5260</v>
      </c>
      <c r="B2952" s="138" t="str">
        <f ca="1"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 ca="1">IF(Proc[[#This Row],[type]]="LFF (MDG-F)",MID(Proc[[#This Row],[Obj]],13,10),"")</f>
        <v/>
      </c>
      <c r="J2952" s="125" t="b">
        <f ca="1">Proc[[#This Row],[Requested]]=Proc[[#This Row],[CurrentParent]]</f>
        <v>1</v>
      </c>
      <c r="K2952" s="125" t="str">
        <f ca="1"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26</v>
      </c>
      <c r="R2952" s="115" t="s">
        <v>1013</v>
      </c>
      <c r="S2952" s="125"/>
    </row>
    <row r="2953" spans="1:19" hidden="1">
      <c r="A2953" s="124" t="s">
        <v>5260</v>
      </c>
      <c r="B2953" s="138" t="str">
        <f ca="1"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 ca="1">IF(Proc[[#This Row],[type]]="LFF (MDG-F)",MID(Proc[[#This Row],[Obj]],13,10),"")</f>
        <v/>
      </c>
      <c r="J2953" s="125" t="b">
        <f ca="1">Proc[[#This Row],[Requested]]=Proc[[#This Row],[CurrentParent]]</f>
        <v>1</v>
      </c>
      <c r="K2953" s="125" t="str">
        <f ca="1"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26</v>
      </c>
      <c r="R2953" s="115" t="s">
        <v>1013</v>
      </c>
      <c r="S2953" s="125"/>
    </row>
    <row r="2954" spans="1:19" hidden="1">
      <c r="A2954" s="124" t="s">
        <v>5260</v>
      </c>
      <c r="B2954" s="138" t="str">
        <f ca="1"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 ca="1">IF(Proc[[#This Row],[type]]="LFF (MDG-F)",MID(Proc[[#This Row],[Obj]],13,10),"")</f>
        <v/>
      </c>
      <c r="J2954" s="125" t="b">
        <f ca="1">Proc[[#This Row],[Requested]]=Proc[[#This Row],[CurrentParent]]</f>
        <v>1</v>
      </c>
      <c r="K2954" s="125" t="str">
        <f ca="1"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26</v>
      </c>
      <c r="R2954" s="115" t="s">
        <v>1013</v>
      </c>
      <c r="S2954" s="125"/>
    </row>
    <row r="2955" spans="1:19" hidden="1">
      <c r="A2955" s="124" t="s">
        <v>5260</v>
      </c>
      <c r="B2955" s="138" t="str">
        <f ca="1"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 ca="1">IF(Proc[[#This Row],[type]]="LFF (MDG-F)",MID(Proc[[#This Row],[Obj]],13,10),"")</f>
        <v/>
      </c>
      <c r="J2955" s="125" t="b">
        <f ca="1">Proc[[#This Row],[Requested]]=Proc[[#This Row],[CurrentParent]]</f>
        <v>1</v>
      </c>
      <c r="K2955" s="125" t="str">
        <f ca="1"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26</v>
      </c>
      <c r="R2955" s="115" t="s">
        <v>1013</v>
      </c>
      <c r="S2955" s="125"/>
    </row>
    <row r="2956" spans="1:19" hidden="1">
      <c r="A2956" s="124" t="s">
        <v>5260</v>
      </c>
      <c r="B2956" s="138" t="str">
        <f ca="1"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 ca="1">IF(Proc[[#This Row],[type]]="LFF (MDG-F)",MID(Proc[[#This Row],[Obj]],13,10),"")</f>
        <v/>
      </c>
      <c r="J2956" s="125" t="b">
        <f ca="1">Proc[[#This Row],[Requested]]=Proc[[#This Row],[CurrentParent]]</f>
        <v>1</v>
      </c>
      <c r="K2956" s="125" t="str">
        <f ca="1"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26</v>
      </c>
      <c r="R2956" s="115" t="s">
        <v>1013</v>
      </c>
      <c r="S2956" s="125"/>
    </row>
    <row r="2957" spans="1:19" hidden="1">
      <c r="A2957" s="124" t="s">
        <v>5260</v>
      </c>
      <c r="B2957" s="138" t="str">
        <f ca="1"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 ca="1">IF(Proc[[#This Row],[type]]="LFF (MDG-F)",MID(Proc[[#This Row],[Obj]],13,10),"")</f>
        <v/>
      </c>
      <c r="J2957" s="125" t="b">
        <f ca="1">Proc[[#This Row],[Requested]]=Proc[[#This Row],[CurrentParent]]</f>
        <v>1</v>
      </c>
      <c r="K2957" s="125" t="str">
        <f ca="1"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26</v>
      </c>
      <c r="R2957" s="115" t="s">
        <v>1013</v>
      </c>
      <c r="S2957" s="125"/>
    </row>
    <row r="2958" spans="1:19" hidden="1">
      <c r="A2958" s="124" t="s">
        <v>5260</v>
      </c>
      <c r="B2958" s="138" t="str">
        <f ca="1"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 ca="1">IF(Proc[[#This Row],[type]]="LFF (MDG-F)",MID(Proc[[#This Row],[Obj]],13,10),"")</f>
        <v/>
      </c>
      <c r="J2958" s="125" t="b">
        <f ca="1">Proc[[#This Row],[Requested]]=Proc[[#This Row],[CurrentParent]]</f>
        <v>1</v>
      </c>
      <c r="K2958" s="125" t="str">
        <f ca="1"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26</v>
      </c>
      <c r="R2958" s="115" t="s">
        <v>1013</v>
      </c>
      <c r="S2958" s="125"/>
    </row>
    <row r="2959" spans="1:19" hidden="1">
      <c r="A2959" s="124" t="s">
        <v>5260</v>
      </c>
      <c r="B2959" s="138" t="str">
        <f ca="1"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 ca="1">IF(Proc[[#This Row],[type]]="LFF (MDG-F)",MID(Proc[[#This Row],[Obj]],13,10),"")</f>
        <v/>
      </c>
      <c r="J2959" s="125" t="b">
        <f ca="1">Proc[[#This Row],[Requested]]=Proc[[#This Row],[CurrentParent]]</f>
        <v>1</v>
      </c>
      <c r="K2959" s="125" t="str">
        <f ca="1"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26</v>
      </c>
      <c r="R2959" s="115" t="s">
        <v>1013</v>
      </c>
      <c r="S2959" s="125"/>
    </row>
    <row r="2960" spans="1:19" hidden="1">
      <c r="A2960" s="124" t="s">
        <v>5260</v>
      </c>
      <c r="B2960" s="138" t="str">
        <f ca="1"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 ca="1">IF(Proc[[#This Row],[type]]="LFF (MDG-F)",MID(Proc[[#This Row],[Obj]],13,10),"")</f>
        <v/>
      </c>
      <c r="J2960" s="125" t="b">
        <f ca="1">Proc[[#This Row],[Requested]]=Proc[[#This Row],[CurrentParent]]</f>
        <v>1</v>
      </c>
      <c r="K2960" s="125" t="str">
        <f ca="1"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26</v>
      </c>
      <c r="R2960" s="115" t="s">
        <v>1013</v>
      </c>
      <c r="S2960" s="125"/>
    </row>
    <row r="2961" spans="1:19" hidden="1">
      <c r="A2961" s="124" t="s">
        <v>5260</v>
      </c>
      <c r="B2961" s="138" t="str">
        <f ca="1"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 ca="1">IF(Proc[[#This Row],[type]]="LFF (MDG-F)",MID(Proc[[#This Row],[Obj]],13,10),"")</f>
        <v/>
      </c>
      <c r="J2961" s="125" t="b">
        <f ca="1">Proc[[#This Row],[Requested]]=Proc[[#This Row],[CurrentParent]]</f>
        <v>1</v>
      </c>
      <c r="K2961" s="125" t="str">
        <f ca="1"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26</v>
      </c>
      <c r="R2961" s="115" t="s">
        <v>1013</v>
      </c>
      <c r="S2961" s="125"/>
    </row>
    <row r="2962" spans="1:19" hidden="1">
      <c r="A2962" s="124" t="s">
        <v>5260</v>
      </c>
      <c r="B2962" s="138" t="str">
        <f ca="1"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 ca="1">IF(Proc[[#This Row],[type]]="LFF (MDG-F)",MID(Proc[[#This Row],[Obj]],13,10),"")</f>
        <v/>
      </c>
      <c r="J2962" s="125" t="b">
        <f ca="1">Proc[[#This Row],[Requested]]=Proc[[#This Row],[CurrentParent]]</f>
        <v>1</v>
      </c>
      <c r="K2962" s="125" t="str">
        <f ca="1"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26</v>
      </c>
      <c r="R2962" s="115" t="s">
        <v>1013</v>
      </c>
      <c r="S2962" s="125"/>
    </row>
    <row r="2963" spans="1:19" hidden="1">
      <c r="A2963" s="124" t="s">
        <v>5260</v>
      </c>
      <c r="B2963" s="138" t="str">
        <f ca="1"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 ca="1">IF(Proc[[#This Row],[type]]="LFF (MDG-F)",MID(Proc[[#This Row],[Obj]],13,10),"")</f>
        <v/>
      </c>
      <c r="J2963" s="125" t="b">
        <f ca="1">Proc[[#This Row],[Requested]]=Proc[[#This Row],[CurrentParent]]</f>
        <v>1</v>
      </c>
      <c r="K2963" s="125" t="str">
        <f ca="1"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26</v>
      </c>
      <c r="R2963" s="115" t="s">
        <v>1013</v>
      </c>
      <c r="S2963" s="125"/>
    </row>
    <row r="2964" spans="1:19" hidden="1">
      <c r="A2964" s="124" t="s">
        <v>5260</v>
      </c>
      <c r="B2964" s="138" t="str">
        <f ca="1"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 ca="1">IF(Proc[[#This Row],[type]]="LFF (MDG-F)",MID(Proc[[#This Row],[Obj]],13,10),"")</f>
        <v/>
      </c>
      <c r="J2964" s="125" t="b">
        <f ca="1">Proc[[#This Row],[Requested]]=Proc[[#This Row],[CurrentParent]]</f>
        <v>1</v>
      </c>
      <c r="K2964" s="125" t="str">
        <f ca="1"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26</v>
      </c>
      <c r="R2964" s="115" t="s">
        <v>1013</v>
      </c>
      <c r="S2964" s="125"/>
    </row>
    <row r="2965" spans="1:19" hidden="1">
      <c r="A2965" s="124" t="s">
        <v>5260</v>
      </c>
      <c r="B2965" s="138" t="str">
        <f ca="1"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 ca="1">IF(Proc[[#This Row],[type]]="LFF (MDG-F)",MID(Proc[[#This Row],[Obj]],13,10),"")</f>
        <v/>
      </c>
      <c r="J2965" s="125" t="b">
        <f ca="1">Proc[[#This Row],[Requested]]=Proc[[#This Row],[CurrentParent]]</f>
        <v>1</v>
      </c>
      <c r="K2965" s="125" t="str">
        <f ca="1"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26</v>
      </c>
      <c r="R2965" s="115" t="s">
        <v>1013</v>
      </c>
      <c r="S2965" s="125"/>
    </row>
    <row r="2966" spans="1:19" hidden="1">
      <c r="A2966" s="124" t="s">
        <v>5260</v>
      </c>
      <c r="B2966" s="138" t="str">
        <f ca="1"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 ca="1">IF(Proc[[#This Row],[type]]="LFF (MDG-F)",MID(Proc[[#This Row],[Obj]],13,10),"")</f>
        <v/>
      </c>
      <c r="J2966" s="125" t="b">
        <f ca="1">Proc[[#This Row],[Requested]]=Proc[[#This Row],[CurrentParent]]</f>
        <v>1</v>
      </c>
      <c r="K2966" s="125" t="str">
        <f ca="1"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26</v>
      </c>
      <c r="R2966" s="115" t="s">
        <v>1013</v>
      </c>
      <c r="S2966" s="125"/>
    </row>
    <row r="2967" spans="1:19" hidden="1">
      <c r="A2967" s="124" t="s">
        <v>5260</v>
      </c>
      <c r="B2967" s="138" t="str">
        <f ca="1"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 ca="1">IF(Proc[[#This Row],[type]]="LFF (MDG-F)",MID(Proc[[#This Row],[Obj]],13,10),"")</f>
        <v/>
      </c>
      <c r="J2967" s="125" t="b">
        <f ca="1">Proc[[#This Row],[Requested]]=Proc[[#This Row],[CurrentParent]]</f>
        <v>1</v>
      </c>
      <c r="K2967" s="125" t="str">
        <f ca="1"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26</v>
      </c>
      <c r="R2967" s="115" t="s">
        <v>1013</v>
      </c>
      <c r="S2967" s="125"/>
    </row>
    <row r="2968" spans="1:19" hidden="1">
      <c r="A2968" s="124" t="s">
        <v>5260</v>
      </c>
      <c r="B2968" s="138" t="str">
        <f ca="1"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 ca="1">IF(Proc[[#This Row],[type]]="LFF (MDG-F)",MID(Proc[[#This Row],[Obj]],13,10),"")</f>
        <v/>
      </c>
      <c r="J2968" s="125" t="b">
        <f ca="1">Proc[[#This Row],[Requested]]=Proc[[#This Row],[CurrentParent]]</f>
        <v>1</v>
      </c>
      <c r="K2968" s="125" t="str">
        <f ca="1"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26</v>
      </c>
      <c r="R2968" s="115" t="s">
        <v>1013</v>
      </c>
      <c r="S2968" s="125"/>
    </row>
    <row r="2969" spans="1:19" hidden="1">
      <c r="A2969" s="124" t="s">
        <v>5260</v>
      </c>
      <c r="B2969" s="138" t="str">
        <f ca="1"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 ca="1">IF(Proc[[#This Row],[type]]="LFF (MDG-F)",MID(Proc[[#This Row],[Obj]],13,10),"")</f>
        <v/>
      </c>
      <c r="J2969" s="125" t="b">
        <f ca="1">Proc[[#This Row],[Requested]]=Proc[[#This Row],[CurrentParent]]</f>
        <v>1</v>
      </c>
      <c r="K2969" s="125" t="str">
        <f ca="1"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26</v>
      </c>
      <c r="R2969" s="115" t="s">
        <v>1013</v>
      </c>
      <c r="S2969" s="125"/>
    </row>
    <row r="2970" spans="1:19" hidden="1">
      <c r="A2970" s="124" t="s">
        <v>5260</v>
      </c>
      <c r="B2970" s="138" t="str">
        <f ca="1"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 ca="1">IF(Proc[[#This Row],[type]]="LFF (MDG-F)",MID(Proc[[#This Row],[Obj]],13,10),"")</f>
        <v/>
      </c>
      <c r="J2970" s="125" t="b">
        <f ca="1">Proc[[#This Row],[Requested]]=Proc[[#This Row],[CurrentParent]]</f>
        <v>1</v>
      </c>
      <c r="K2970" s="125" t="str">
        <f ca="1"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26</v>
      </c>
      <c r="R2970" s="115" t="s">
        <v>1013</v>
      </c>
      <c r="S2970" s="125"/>
    </row>
    <row r="2971" spans="1:19" hidden="1">
      <c r="A2971" s="124" t="s">
        <v>5260</v>
      </c>
      <c r="B2971" s="138" t="str">
        <f ca="1"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 ca="1">IF(Proc[[#This Row],[type]]="LFF (MDG-F)",MID(Proc[[#This Row],[Obj]],13,10),"")</f>
        <v/>
      </c>
      <c r="J2971" s="125" t="b">
        <f ca="1">Proc[[#This Row],[Requested]]=Proc[[#This Row],[CurrentParent]]</f>
        <v>1</v>
      </c>
      <c r="K2971" s="125" t="str">
        <f ca="1"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26</v>
      </c>
      <c r="R2971" s="115" t="s">
        <v>1013</v>
      </c>
      <c r="S2971" s="125"/>
    </row>
    <row r="2972" spans="1:19" hidden="1">
      <c r="A2972" s="124" t="s">
        <v>5260</v>
      </c>
      <c r="B2972" s="138" t="str">
        <f ca="1"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 ca="1">IF(Proc[[#This Row],[type]]="LFF (MDG-F)",MID(Proc[[#This Row],[Obj]],13,10),"")</f>
        <v/>
      </c>
      <c r="J2972" s="125" t="b">
        <f ca="1">Proc[[#This Row],[Requested]]=Proc[[#This Row],[CurrentParent]]</f>
        <v>1</v>
      </c>
      <c r="K2972" s="125" t="str">
        <f ca="1"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26</v>
      </c>
      <c r="R2972" s="115" t="s">
        <v>1013</v>
      </c>
      <c r="S2972" s="125"/>
    </row>
    <row r="2973" spans="1:19" hidden="1">
      <c r="A2973" s="124" t="s">
        <v>5260</v>
      </c>
      <c r="B2973" s="138" t="str">
        <f ca="1"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 ca="1">IF(Proc[[#This Row],[type]]="LFF (MDG-F)",MID(Proc[[#This Row],[Obj]],13,10),"")</f>
        <v/>
      </c>
      <c r="J2973" s="125" t="b">
        <f ca="1">Proc[[#This Row],[Requested]]=Proc[[#This Row],[CurrentParent]]</f>
        <v>1</v>
      </c>
      <c r="K2973" s="125" t="str">
        <f ca="1"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26</v>
      </c>
      <c r="R2973" s="115" t="s">
        <v>1013</v>
      </c>
      <c r="S2973" s="125"/>
    </row>
    <row r="2974" spans="1:19" hidden="1">
      <c r="A2974" s="124" t="s">
        <v>5260</v>
      </c>
      <c r="B2974" s="138" t="str">
        <f ca="1"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 ca="1">IF(Proc[[#This Row],[type]]="LFF (MDG-F)",MID(Proc[[#This Row],[Obj]],13,10),"")</f>
        <v/>
      </c>
      <c r="J2974" s="125" t="b">
        <f ca="1">Proc[[#This Row],[Requested]]=Proc[[#This Row],[CurrentParent]]</f>
        <v>1</v>
      </c>
      <c r="K2974" s="125" t="str">
        <f ca="1"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26</v>
      </c>
      <c r="R2974" s="115" t="s">
        <v>1013</v>
      </c>
      <c r="S2974" s="125"/>
    </row>
    <row r="2975" spans="1:19" hidden="1">
      <c r="A2975" s="124" t="s">
        <v>5260</v>
      </c>
      <c r="B2975" s="138" t="str">
        <f ca="1"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 ca="1">IF(Proc[[#This Row],[type]]="LFF (MDG-F)",MID(Proc[[#This Row],[Obj]],13,10),"")</f>
        <v/>
      </c>
      <c r="J2975" s="125" t="b">
        <f ca="1">Proc[[#This Row],[Requested]]=Proc[[#This Row],[CurrentParent]]</f>
        <v>1</v>
      </c>
      <c r="K2975" s="125" t="str">
        <f ca="1"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26</v>
      </c>
      <c r="R2975" s="115" t="s">
        <v>1013</v>
      </c>
      <c r="S2975" s="125"/>
    </row>
    <row r="2976" spans="1:19" hidden="1">
      <c r="A2976" s="124" t="s">
        <v>5260</v>
      </c>
      <c r="B2976" s="138" t="str">
        <f ca="1"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 ca="1">IF(Proc[[#This Row],[type]]="LFF (MDG-F)",MID(Proc[[#This Row],[Obj]],13,10),"")</f>
        <v/>
      </c>
      <c r="J2976" s="125" t="b">
        <f ca="1">Proc[[#This Row],[Requested]]=Proc[[#This Row],[CurrentParent]]</f>
        <v>1</v>
      </c>
      <c r="K2976" s="125" t="str">
        <f ca="1"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26</v>
      </c>
      <c r="R2976" s="115" t="s">
        <v>1013</v>
      </c>
      <c r="S2976" s="125"/>
    </row>
    <row r="2977" spans="1:19" hidden="1">
      <c r="A2977" s="124" t="s">
        <v>5260</v>
      </c>
      <c r="B2977" s="138" t="str">
        <f ca="1"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 ca="1">IF(Proc[[#This Row],[type]]="LFF (MDG-F)",MID(Proc[[#This Row],[Obj]],13,10),"")</f>
        <v/>
      </c>
      <c r="J2977" s="125" t="b">
        <f ca="1">Proc[[#This Row],[Requested]]=Proc[[#This Row],[CurrentParent]]</f>
        <v>1</v>
      </c>
      <c r="K2977" s="125" t="str">
        <f ca="1"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26</v>
      </c>
      <c r="R2977" s="115" t="s">
        <v>1013</v>
      </c>
      <c r="S2977" s="125"/>
    </row>
    <row r="2978" spans="1:19" hidden="1">
      <c r="A2978" s="124" t="s">
        <v>5260</v>
      </c>
      <c r="B2978" s="138" t="str">
        <f ca="1"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 ca="1">IF(Proc[[#This Row],[type]]="LFF (MDG-F)",MID(Proc[[#This Row],[Obj]],13,10),"")</f>
        <v/>
      </c>
      <c r="J2978" s="125" t="b">
        <f ca="1">Proc[[#This Row],[Requested]]=Proc[[#This Row],[CurrentParent]]</f>
        <v>1</v>
      </c>
      <c r="K2978" s="125" t="str">
        <f ca="1"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26</v>
      </c>
      <c r="R2978" s="115" t="s">
        <v>1013</v>
      </c>
      <c r="S2978" s="125"/>
    </row>
    <row r="2979" spans="1:19" hidden="1">
      <c r="A2979" s="124" t="s">
        <v>5260</v>
      </c>
      <c r="B2979" s="138" t="str">
        <f ca="1"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 ca="1">IF(Proc[[#This Row],[type]]="LFF (MDG-F)",MID(Proc[[#This Row],[Obj]],13,10),"")</f>
        <v/>
      </c>
      <c r="J2979" s="125" t="b">
        <f ca="1">Proc[[#This Row],[Requested]]=Proc[[#This Row],[CurrentParent]]</f>
        <v>1</v>
      </c>
      <c r="K2979" s="125" t="str">
        <f ca="1"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26</v>
      </c>
      <c r="R2979" s="115" t="s">
        <v>1013</v>
      </c>
      <c r="S2979" s="125"/>
    </row>
    <row r="2980" spans="1:19" hidden="1">
      <c r="A2980" s="124" t="s">
        <v>5260</v>
      </c>
      <c r="B2980" s="138" t="str">
        <f ca="1"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 ca="1">IF(Proc[[#This Row],[type]]="LFF (MDG-F)",MID(Proc[[#This Row],[Obj]],13,10),"")</f>
        <v/>
      </c>
      <c r="J2980" s="125" t="b">
        <f ca="1">Proc[[#This Row],[Requested]]=Proc[[#This Row],[CurrentParent]]</f>
        <v>1</v>
      </c>
      <c r="K2980" s="125" t="str">
        <f ca="1"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26</v>
      </c>
      <c r="R2980" s="115" t="s">
        <v>1013</v>
      </c>
      <c r="S2980" s="125"/>
    </row>
    <row r="2981" spans="1:19" hidden="1">
      <c r="A2981" s="124" t="s">
        <v>5260</v>
      </c>
      <c r="B2981" s="138" t="str">
        <f ca="1"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 ca="1">IF(Proc[[#This Row],[type]]="LFF (MDG-F)",MID(Proc[[#This Row],[Obj]],13,10),"")</f>
        <v/>
      </c>
      <c r="J2981" s="125" t="b">
        <f ca="1">Proc[[#This Row],[Requested]]=Proc[[#This Row],[CurrentParent]]</f>
        <v>1</v>
      </c>
      <c r="K2981" s="125" t="str">
        <f ca="1"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26</v>
      </c>
      <c r="R2981" s="115" t="s">
        <v>1013</v>
      </c>
      <c r="S2981" s="125"/>
    </row>
    <row r="2982" spans="1:19" hidden="1">
      <c r="A2982" s="124" t="s">
        <v>5260</v>
      </c>
      <c r="B2982" s="138" t="str">
        <f ca="1"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 ca="1">IF(Proc[[#This Row],[type]]="LFF (MDG-F)",MID(Proc[[#This Row],[Obj]],13,10),"")</f>
        <v/>
      </c>
      <c r="J2982" s="125" t="b">
        <f ca="1">Proc[[#This Row],[Requested]]=Proc[[#This Row],[CurrentParent]]</f>
        <v>1</v>
      </c>
      <c r="K2982" s="125" t="str">
        <f ca="1"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26</v>
      </c>
      <c r="R2982" s="115" t="s">
        <v>1013</v>
      </c>
      <c r="S2982" s="125"/>
    </row>
    <row r="2983" spans="1:19" hidden="1">
      <c r="A2983" s="124" t="s">
        <v>5260</v>
      </c>
      <c r="B2983" s="138" t="str">
        <f ca="1"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 ca="1">IF(Proc[[#This Row],[type]]="LFF (MDG-F)",MID(Proc[[#This Row],[Obj]],13,10),"")</f>
        <v/>
      </c>
      <c r="J2983" s="125" t="b">
        <f ca="1">Proc[[#This Row],[Requested]]=Proc[[#This Row],[CurrentParent]]</f>
        <v>1</v>
      </c>
      <c r="K2983" s="125" t="str">
        <f ca="1"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26</v>
      </c>
      <c r="R2983" s="115" t="s">
        <v>1013</v>
      </c>
      <c r="S2983" s="125"/>
    </row>
    <row r="2984" spans="1:19" hidden="1">
      <c r="A2984" s="124" t="s">
        <v>5260</v>
      </c>
      <c r="B2984" s="138" t="str">
        <f ca="1"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 ca="1">IF(Proc[[#This Row],[type]]="LFF (MDG-F)",MID(Proc[[#This Row],[Obj]],13,10),"")</f>
        <v/>
      </c>
      <c r="J2984" s="125" t="b">
        <f ca="1">Proc[[#This Row],[Requested]]=Proc[[#This Row],[CurrentParent]]</f>
        <v>1</v>
      </c>
      <c r="K2984" s="125" t="str">
        <f ca="1"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26</v>
      </c>
      <c r="R2984" s="115" t="s">
        <v>1013</v>
      </c>
      <c r="S2984" s="125"/>
    </row>
    <row r="2985" spans="1:19" hidden="1">
      <c r="A2985" s="124" t="s">
        <v>5260</v>
      </c>
      <c r="B2985" s="138" t="str">
        <f ca="1"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 ca="1">IF(Proc[[#This Row],[type]]="LFF (MDG-F)",MID(Proc[[#This Row],[Obj]],13,10),"")</f>
        <v/>
      </c>
      <c r="J2985" s="125" t="b">
        <f ca="1">Proc[[#This Row],[Requested]]=Proc[[#This Row],[CurrentParent]]</f>
        <v>1</v>
      </c>
      <c r="K2985" s="125" t="str">
        <f ca="1"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26</v>
      </c>
      <c r="R2985" s="115" t="s">
        <v>1013</v>
      </c>
      <c r="S2985" s="125"/>
    </row>
    <row r="2986" spans="1:19" hidden="1">
      <c r="A2986" s="124" t="s">
        <v>5260</v>
      </c>
      <c r="B2986" s="138" t="str">
        <f ca="1"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 ca="1">IF(Proc[[#This Row],[type]]="LFF (MDG-F)",MID(Proc[[#This Row],[Obj]],13,10),"")</f>
        <v/>
      </c>
      <c r="J2986" s="125" t="b">
        <f ca="1">Proc[[#This Row],[Requested]]=Proc[[#This Row],[CurrentParent]]</f>
        <v>1</v>
      </c>
      <c r="K2986" s="125" t="str">
        <f ca="1"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26</v>
      </c>
      <c r="R2986" s="115" t="s">
        <v>1013</v>
      </c>
      <c r="S2986" s="125"/>
    </row>
    <row r="2987" spans="1:19" hidden="1">
      <c r="A2987" s="124" t="s">
        <v>5260</v>
      </c>
      <c r="B2987" s="138" t="str">
        <f ca="1"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 ca="1">IF(Proc[[#This Row],[type]]="LFF (MDG-F)",MID(Proc[[#This Row],[Obj]],13,10),"")</f>
        <v/>
      </c>
      <c r="J2987" s="125" t="b">
        <f ca="1">Proc[[#This Row],[Requested]]=Proc[[#This Row],[CurrentParent]]</f>
        <v>1</v>
      </c>
      <c r="K2987" s="125" t="str">
        <f ca="1"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26</v>
      </c>
      <c r="R2987" s="115" t="s">
        <v>1013</v>
      </c>
      <c r="S2987" s="125"/>
    </row>
    <row r="2988" spans="1:19" hidden="1">
      <c r="A2988" s="124" t="s">
        <v>5260</v>
      </c>
      <c r="B2988" s="138" t="str">
        <f ca="1"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 ca="1">IF(Proc[[#This Row],[type]]="LFF (MDG-F)",MID(Proc[[#This Row],[Obj]],13,10),"")</f>
        <v/>
      </c>
      <c r="J2988" s="125" t="b">
        <f ca="1">Proc[[#This Row],[Requested]]=Proc[[#This Row],[CurrentParent]]</f>
        <v>1</v>
      </c>
      <c r="K2988" s="125" t="str">
        <f ca="1"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26</v>
      </c>
      <c r="R2988" s="115" t="s">
        <v>1013</v>
      </c>
      <c r="S2988" s="125"/>
    </row>
    <row r="2989" spans="1:19" hidden="1">
      <c r="A2989" s="124" t="s">
        <v>5260</v>
      </c>
      <c r="B2989" s="138" t="str">
        <f ca="1"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 ca="1">IF(Proc[[#This Row],[type]]="LFF (MDG-F)",MID(Proc[[#This Row],[Obj]],13,10),"")</f>
        <v/>
      </c>
      <c r="J2989" s="125" t="b">
        <f ca="1">Proc[[#This Row],[Requested]]=Proc[[#This Row],[CurrentParent]]</f>
        <v>1</v>
      </c>
      <c r="K2989" s="125" t="str">
        <f ca="1"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26</v>
      </c>
      <c r="R2989" s="115" t="s">
        <v>1013</v>
      </c>
      <c r="S2989" s="125"/>
    </row>
    <row r="2990" spans="1:19" hidden="1">
      <c r="A2990" s="124" t="s">
        <v>5260</v>
      </c>
      <c r="B2990" s="138" t="str">
        <f ca="1"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 ca="1">IF(Proc[[#This Row],[type]]="LFF (MDG-F)",MID(Proc[[#This Row],[Obj]],13,10),"")</f>
        <v/>
      </c>
      <c r="J2990" s="125" t="b">
        <f ca="1">Proc[[#This Row],[Requested]]=Proc[[#This Row],[CurrentParent]]</f>
        <v>1</v>
      </c>
      <c r="K2990" s="125" t="str">
        <f ca="1"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26</v>
      </c>
      <c r="R2990" s="115" t="s">
        <v>1013</v>
      </c>
      <c r="S2990" s="125"/>
    </row>
    <row r="2991" spans="1:19" hidden="1">
      <c r="A2991" s="124" t="s">
        <v>5260</v>
      </c>
      <c r="B2991" s="138" t="str">
        <f ca="1"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 ca="1">IF(Proc[[#This Row],[type]]="LFF (MDG-F)",MID(Proc[[#This Row],[Obj]],13,10),"")</f>
        <v/>
      </c>
      <c r="J2991" s="125" t="b">
        <f ca="1">Proc[[#This Row],[Requested]]=Proc[[#This Row],[CurrentParent]]</f>
        <v>1</v>
      </c>
      <c r="K2991" s="125" t="str">
        <f ca="1"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26</v>
      </c>
      <c r="R2991" s="115" t="s">
        <v>1013</v>
      </c>
      <c r="S2991" s="125"/>
    </row>
    <row r="2992" spans="1:19" hidden="1">
      <c r="A2992" s="124" t="s">
        <v>5260</v>
      </c>
      <c r="B2992" s="138" t="str">
        <f ca="1"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 ca="1">IF(Proc[[#This Row],[type]]="LFF (MDG-F)",MID(Proc[[#This Row],[Obj]],13,10),"")</f>
        <v/>
      </c>
      <c r="J2992" s="125" t="b">
        <f ca="1">Proc[[#This Row],[Requested]]=Proc[[#This Row],[CurrentParent]]</f>
        <v>1</v>
      </c>
      <c r="K2992" s="125" t="str">
        <f ca="1"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26</v>
      </c>
      <c r="R2992" s="115" t="s">
        <v>1013</v>
      </c>
      <c r="S2992" s="125"/>
    </row>
    <row r="2993" spans="1:19" hidden="1">
      <c r="A2993" s="124" t="s">
        <v>5260</v>
      </c>
      <c r="B2993" s="138" t="str">
        <f ca="1"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 ca="1">IF(Proc[[#This Row],[type]]="LFF (MDG-F)",MID(Proc[[#This Row],[Obj]],13,10),"")</f>
        <v/>
      </c>
      <c r="J2993" s="125" t="b">
        <f ca="1">Proc[[#This Row],[Requested]]=Proc[[#This Row],[CurrentParent]]</f>
        <v>1</v>
      </c>
      <c r="K2993" s="125" t="str">
        <f ca="1"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26</v>
      </c>
      <c r="R2993" s="115" t="s">
        <v>1013</v>
      </c>
      <c r="S2993" s="125"/>
    </row>
    <row r="2994" spans="1:19" hidden="1">
      <c r="A2994" s="124" t="s">
        <v>5260</v>
      </c>
      <c r="B2994" s="138" t="str">
        <f ca="1"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 ca="1">IF(Proc[[#This Row],[type]]="LFF (MDG-F)",MID(Proc[[#This Row],[Obj]],13,10),"")</f>
        <v/>
      </c>
      <c r="J2994" s="125" t="b">
        <f ca="1">Proc[[#This Row],[Requested]]=Proc[[#This Row],[CurrentParent]]</f>
        <v>1</v>
      </c>
      <c r="K2994" s="125" t="str">
        <f ca="1"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26</v>
      </c>
      <c r="R2994" s="115" t="s">
        <v>1013</v>
      </c>
      <c r="S2994" s="125"/>
    </row>
    <row r="2995" spans="1:19" hidden="1">
      <c r="A2995" s="124" t="s">
        <v>5260</v>
      </c>
      <c r="B2995" s="138" t="str">
        <f ca="1"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 ca="1">IF(Proc[[#This Row],[type]]="LFF (MDG-F)",MID(Proc[[#This Row],[Obj]],13,10),"")</f>
        <v/>
      </c>
      <c r="J2995" s="125" t="b">
        <f ca="1">Proc[[#This Row],[Requested]]=Proc[[#This Row],[CurrentParent]]</f>
        <v>1</v>
      </c>
      <c r="K2995" s="125" t="str">
        <f ca="1"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26</v>
      </c>
      <c r="R2995" s="115" t="s">
        <v>1013</v>
      </c>
      <c r="S2995" s="125"/>
    </row>
    <row r="2996" spans="1:19" hidden="1">
      <c r="A2996" s="124" t="s">
        <v>5260</v>
      </c>
      <c r="B2996" s="138" t="str">
        <f ca="1"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 ca="1">IF(Proc[[#This Row],[type]]="LFF (MDG-F)",MID(Proc[[#This Row],[Obj]],13,10),"")</f>
        <v/>
      </c>
      <c r="J2996" s="125" t="b">
        <f ca="1">Proc[[#This Row],[Requested]]=Proc[[#This Row],[CurrentParent]]</f>
        <v>1</v>
      </c>
      <c r="K2996" s="125" t="str">
        <f ca="1"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26</v>
      </c>
      <c r="R2996" s="115" t="s">
        <v>1013</v>
      </c>
      <c r="S2996" s="125"/>
    </row>
    <row r="2997" spans="1:19" hidden="1">
      <c r="A2997" s="124" t="s">
        <v>5260</v>
      </c>
      <c r="B2997" s="138" t="str">
        <f ca="1"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 ca="1">IF(Proc[[#This Row],[type]]="LFF (MDG-F)",MID(Proc[[#This Row],[Obj]],13,10),"")</f>
        <v/>
      </c>
      <c r="J2997" s="125" t="b">
        <f ca="1">Proc[[#This Row],[Requested]]=Proc[[#This Row],[CurrentParent]]</f>
        <v>1</v>
      </c>
      <c r="K2997" s="125" t="str">
        <f ca="1"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26</v>
      </c>
      <c r="R2997" s="115" t="s">
        <v>1013</v>
      </c>
      <c r="S2997" s="125"/>
    </row>
    <row r="2998" spans="1:19" hidden="1">
      <c r="A2998" s="124" t="s">
        <v>5260</v>
      </c>
      <c r="B2998" s="138" t="str">
        <f ca="1"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 ca="1">IF(Proc[[#This Row],[type]]="LFF (MDG-F)",MID(Proc[[#This Row],[Obj]],13,10),"")</f>
        <v/>
      </c>
      <c r="J2998" s="125" t="b">
        <f ca="1">Proc[[#This Row],[Requested]]=Proc[[#This Row],[CurrentParent]]</f>
        <v>1</v>
      </c>
      <c r="K2998" s="125" t="str">
        <f ca="1"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26</v>
      </c>
      <c r="R2998" s="115" t="s">
        <v>1013</v>
      </c>
      <c r="S2998" s="125"/>
    </row>
    <row r="2999" spans="1:19" hidden="1">
      <c r="A2999" s="124" t="s">
        <v>5260</v>
      </c>
      <c r="B2999" s="138" t="str">
        <f ca="1"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 ca="1">IF(Proc[[#This Row],[type]]="LFF (MDG-F)",MID(Proc[[#This Row],[Obj]],13,10),"")</f>
        <v/>
      </c>
      <c r="J2999" s="125" t="b">
        <f ca="1">Proc[[#This Row],[Requested]]=Proc[[#This Row],[CurrentParent]]</f>
        <v>1</v>
      </c>
      <c r="K2999" s="125" t="str">
        <f ca="1"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26</v>
      </c>
      <c r="R2999" s="115" t="s">
        <v>1013</v>
      </c>
      <c r="S2999" s="125"/>
    </row>
    <row r="3000" spans="1:19" hidden="1">
      <c r="A3000" s="124" t="s">
        <v>5260</v>
      </c>
      <c r="B3000" s="138" t="str">
        <f ca="1"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 ca="1">IF(Proc[[#This Row],[type]]="LFF (MDG-F)",MID(Proc[[#This Row],[Obj]],13,10),"")</f>
        <v/>
      </c>
      <c r="J3000" s="125" t="b">
        <f ca="1">Proc[[#This Row],[Requested]]=Proc[[#This Row],[CurrentParent]]</f>
        <v>1</v>
      </c>
      <c r="K3000" s="125" t="str">
        <f ca="1"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26</v>
      </c>
      <c r="R3000" s="115" t="s">
        <v>1013</v>
      </c>
      <c r="S3000" s="125"/>
    </row>
    <row r="3001" spans="1:19" hidden="1">
      <c r="A3001" s="124" t="s">
        <v>5260</v>
      </c>
      <c r="B3001" s="138" t="str">
        <f ca="1"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 ca="1">IF(Proc[[#This Row],[type]]="LFF (MDG-F)",MID(Proc[[#This Row],[Obj]],13,10),"")</f>
        <v/>
      </c>
      <c r="J3001" s="125" t="b">
        <f ca="1">Proc[[#This Row],[Requested]]=Proc[[#This Row],[CurrentParent]]</f>
        <v>1</v>
      </c>
      <c r="K3001" s="125" t="str">
        <f ca="1"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26</v>
      </c>
      <c r="R3001" s="115" t="s">
        <v>1013</v>
      </c>
      <c r="S3001" s="125"/>
    </row>
    <row r="3002" spans="1:19" hidden="1">
      <c r="A3002" s="124" t="s">
        <v>5260</v>
      </c>
      <c r="B3002" s="138" t="str">
        <f ca="1"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 ca="1">IF(Proc[[#This Row],[type]]="LFF (MDG-F)",MID(Proc[[#This Row],[Obj]],13,10),"")</f>
        <v/>
      </c>
      <c r="J3002" s="125" t="b">
        <f ca="1">Proc[[#This Row],[Requested]]=Proc[[#This Row],[CurrentParent]]</f>
        <v>1</v>
      </c>
      <c r="K3002" s="125" t="str">
        <f ca="1"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26</v>
      </c>
      <c r="R3002" s="115" t="s">
        <v>1013</v>
      </c>
      <c r="S3002" s="125"/>
    </row>
    <row r="3003" spans="1:19" hidden="1">
      <c r="A3003" s="124" t="s">
        <v>5260</v>
      </c>
      <c r="B3003" s="138" t="str">
        <f ca="1"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 ca="1">IF(Proc[[#This Row],[type]]="LFF (MDG-F)",MID(Proc[[#This Row],[Obj]],13,10),"")</f>
        <v/>
      </c>
      <c r="J3003" s="125" t="b">
        <f ca="1">Proc[[#This Row],[Requested]]=Proc[[#This Row],[CurrentParent]]</f>
        <v>1</v>
      </c>
      <c r="K3003" s="125" t="str">
        <f ca="1"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26</v>
      </c>
      <c r="R3003" s="115" t="s">
        <v>1013</v>
      </c>
      <c r="S3003" s="125"/>
    </row>
    <row r="3004" spans="1:19" hidden="1">
      <c r="A3004" s="124" t="s">
        <v>5260</v>
      </c>
      <c r="B3004" s="138" t="str">
        <f ca="1"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 ca="1">IF(Proc[[#This Row],[type]]="LFF (MDG-F)",MID(Proc[[#This Row],[Obj]],13,10),"")</f>
        <v/>
      </c>
      <c r="J3004" s="125" t="b">
        <f ca="1">Proc[[#This Row],[Requested]]=Proc[[#This Row],[CurrentParent]]</f>
        <v>1</v>
      </c>
      <c r="K3004" s="125" t="str">
        <f ca="1"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26</v>
      </c>
      <c r="R3004" s="115" t="s">
        <v>1013</v>
      </c>
      <c r="S3004" s="125"/>
    </row>
    <row r="3005" spans="1:19" hidden="1">
      <c r="A3005" s="124" t="s">
        <v>5260</v>
      </c>
      <c r="B3005" s="138" t="str">
        <f ca="1"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 ca="1">IF(Proc[[#This Row],[type]]="LFF (MDG-F)",MID(Proc[[#This Row],[Obj]],13,10),"")</f>
        <v/>
      </c>
      <c r="J3005" s="125" t="b">
        <f ca="1">Proc[[#This Row],[Requested]]=Proc[[#This Row],[CurrentParent]]</f>
        <v>1</v>
      </c>
      <c r="K3005" s="125" t="str">
        <f ca="1"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26</v>
      </c>
      <c r="R3005" s="115" t="s">
        <v>1013</v>
      </c>
      <c r="S3005" s="125"/>
    </row>
    <row r="3006" spans="1:19" hidden="1">
      <c r="A3006" s="124" t="s">
        <v>5260</v>
      </c>
      <c r="B3006" s="138" t="str">
        <f ca="1"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 ca="1">IF(Proc[[#This Row],[type]]="LFF (MDG-F)",MID(Proc[[#This Row],[Obj]],13,10),"")</f>
        <v/>
      </c>
      <c r="J3006" s="125" t="b">
        <f ca="1">Proc[[#This Row],[Requested]]=Proc[[#This Row],[CurrentParent]]</f>
        <v>1</v>
      </c>
      <c r="K3006" s="125" t="str">
        <f ca="1"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26</v>
      </c>
      <c r="R3006" s="115" t="s">
        <v>1013</v>
      </c>
      <c r="S3006" s="125"/>
    </row>
    <row r="3007" spans="1:19" hidden="1">
      <c r="A3007" s="124" t="s">
        <v>5260</v>
      </c>
      <c r="B3007" s="138" t="str">
        <f ca="1"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 ca="1">IF(Proc[[#This Row],[type]]="LFF (MDG-F)",MID(Proc[[#This Row],[Obj]],13,10),"")</f>
        <v/>
      </c>
      <c r="J3007" s="125" t="b">
        <f ca="1">Proc[[#This Row],[Requested]]=Proc[[#This Row],[CurrentParent]]</f>
        <v>1</v>
      </c>
      <c r="K3007" s="125" t="str">
        <f ca="1"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26</v>
      </c>
      <c r="R3007" s="115" t="s">
        <v>1013</v>
      </c>
      <c r="S3007" s="125"/>
    </row>
    <row r="3008" spans="1:19" hidden="1">
      <c r="A3008" s="124" t="s">
        <v>5260</v>
      </c>
      <c r="B3008" s="138" t="str">
        <f ca="1"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 ca="1">IF(Proc[[#This Row],[type]]="LFF (MDG-F)",MID(Proc[[#This Row],[Obj]],13,10),"")</f>
        <v/>
      </c>
      <c r="J3008" s="125" t="b">
        <f ca="1">Proc[[#This Row],[Requested]]=Proc[[#This Row],[CurrentParent]]</f>
        <v>1</v>
      </c>
      <c r="K3008" s="125" t="str">
        <f ca="1"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26</v>
      </c>
      <c r="R3008" s="115" t="s">
        <v>1013</v>
      </c>
      <c r="S3008" s="125"/>
    </row>
    <row r="3009" spans="1:19" hidden="1">
      <c r="A3009" s="124" t="s">
        <v>5260</v>
      </c>
      <c r="B3009" s="138" t="str">
        <f ca="1"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 ca="1">IF(Proc[[#This Row],[type]]="LFF (MDG-F)",MID(Proc[[#This Row],[Obj]],13,10),"")</f>
        <v/>
      </c>
      <c r="J3009" s="125" t="b">
        <f ca="1">Proc[[#This Row],[Requested]]=Proc[[#This Row],[CurrentParent]]</f>
        <v>1</v>
      </c>
      <c r="K3009" s="125" t="str">
        <f ca="1"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26</v>
      </c>
      <c r="R3009" s="115" t="s">
        <v>1013</v>
      </c>
      <c r="S3009" s="125"/>
    </row>
    <row r="3010" spans="1:19" hidden="1">
      <c r="A3010" s="124" t="s">
        <v>5260</v>
      </c>
      <c r="B3010" s="138" t="str">
        <f ca="1"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 ca="1">IF(Proc[[#This Row],[type]]="LFF (MDG-F)",MID(Proc[[#This Row],[Obj]],13,10),"")</f>
        <v/>
      </c>
      <c r="J3010" s="125" t="b">
        <f ca="1">Proc[[#This Row],[Requested]]=Proc[[#This Row],[CurrentParent]]</f>
        <v>1</v>
      </c>
      <c r="K3010" s="125" t="str">
        <f ca="1"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26</v>
      </c>
      <c r="R3010" s="115" t="s">
        <v>1013</v>
      </c>
      <c r="S3010" s="125"/>
    </row>
    <row r="3011" spans="1:19" hidden="1">
      <c r="A3011" s="124" t="s">
        <v>5260</v>
      </c>
      <c r="B3011" s="138" t="str">
        <f ca="1"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 ca="1">IF(Proc[[#This Row],[type]]="LFF (MDG-F)",MID(Proc[[#This Row],[Obj]],13,10),"")</f>
        <v/>
      </c>
      <c r="J3011" s="125" t="b">
        <f ca="1">Proc[[#This Row],[Requested]]=Proc[[#This Row],[CurrentParent]]</f>
        <v>1</v>
      </c>
      <c r="K3011" s="125" t="str">
        <f ca="1"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26</v>
      </c>
      <c r="R3011" s="115" t="s">
        <v>1013</v>
      </c>
      <c r="S3011" s="125"/>
    </row>
    <row r="3012" spans="1:19" hidden="1">
      <c r="A3012" s="124" t="s">
        <v>5260</v>
      </c>
      <c r="B3012" s="138" t="str">
        <f ca="1"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 ca="1">IF(Proc[[#This Row],[type]]="LFF (MDG-F)",MID(Proc[[#This Row],[Obj]],13,10),"")</f>
        <v/>
      </c>
      <c r="J3012" s="125" t="b">
        <f ca="1">Proc[[#This Row],[Requested]]=Proc[[#This Row],[CurrentParent]]</f>
        <v>1</v>
      </c>
      <c r="K3012" s="125" t="str">
        <f ca="1"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26</v>
      </c>
      <c r="R3012" s="115" t="s">
        <v>1013</v>
      </c>
      <c r="S3012" s="125"/>
    </row>
    <row r="3013" spans="1:19" hidden="1">
      <c r="A3013" s="124" t="s">
        <v>5260</v>
      </c>
      <c r="B3013" s="138" t="str">
        <f ca="1"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 ca="1">IF(Proc[[#This Row],[type]]="LFF (MDG-F)",MID(Proc[[#This Row],[Obj]],13,10),"")</f>
        <v/>
      </c>
      <c r="J3013" s="125" t="b">
        <f ca="1">Proc[[#This Row],[Requested]]=Proc[[#This Row],[CurrentParent]]</f>
        <v>1</v>
      </c>
      <c r="K3013" s="125" t="str">
        <f ca="1"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26</v>
      </c>
      <c r="R3013" s="115" t="s">
        <v>1013</v>
      </c>
      <c r="S3013" s="125"/>
    </row>
    <row r="3014" spans="1:19" hidden="1">
      <c r="A3014" s="124" t="s">
        <v>5260</v>
      </c>
      <c r="B3014" s="138" t="str">
        <f ca="1"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 ca="1">IF(Proc[[#This Row],[type]]="LFF (MDG-F)",MID(Proc[[#This Row],[Obj]],13,10),"")</f>
        <v/>
      </c>
      <c r="J3014" s="125" t="b">
        <f ca="1">Proc[[#This Row],[Requested]]=Proc[[#This Row],[CurrentParent]]</f>
        <v>1</v>
      </c>
      <c r="K3014" s="125" t="str">
        <f ca="1"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26</v>
      </c>
      <c r="R3014" s="115" t="s">
        <v>1013</v>
      </c>
      <c r="S3014" s="125"/>
    </row>
    <row r="3015" spans="1:19" hidden="1">
      <c r="A3015" s="124" t="s">
        <v>5260</v>
      </c>
      <c r="B3015" s="138" t="str">
        <f ca="1"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 ca="1">IF(Proc[[#This Row],[type]]="LFF (MDG-F)",MID(Proc[[#This Row],[Obj]],13,10),"")</f>
        <v/>
      </c>
      <c r="J3015" s="125" t="b">
        <f ca="1">Proc[[#This Row],[Requested]]=Proc[[#This Row],[CurrentParent]]</f>
        <v>1</v>
      </c>
      <c r="K3015" s="125" t="str">
        <f ca="1"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26</v>
      </c>
      <c r="R3015" s="115" t="s">
        <v>1013</v>
      </c>
      <c r="S3015" s="125"/>
    </row>
    <row r="3016" spans="1:19" hidden="1">
      <c r="A3016" s="124" t="s">
        <v>5260</v>
      </c>
      <c r="B3016" s="138" t="str">
        <f ca="1"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 ca="1">IF(Proc[[#This Row],[type]]="LFF (MDG-F)",MID(Proc[[#This Row],[Obj]],13,10),"")</f>
        <v/>
      </c>
      <c r="J3016" s="125" t="b">
        <f ca="1">Proc[[#This Row],[Requested]]=Proc[[#This Row],[CurrentParent]]</f>
        <v>1</v>
      </c>
      <c r="K3016" s="125" t="str">
        <f ca="1"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26</v>
      </c>
      <c r="R3016" s="115" t="s">
        <v>1013</v>
      </c>
      <c r="S3016" s="125"/>
    </row>
    <row r="3017" spans="1:19" hidden="1">
      <c r="A3017" s="124" t="s">
        <v>5260</v>
      </c>
      <c r="B3017" s="138" t="str">
        <f ca="1"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 ca="1">IF(Proc[[#This Row],[type]]="LFF (MDG-F)",MID(Proc[[#This Row],[Obj]],13,10),"")</f>
        <v/>
      </c>
      <c r="J3017" s="125" t="b">
        <f ca="1">Proc[[#This Row],[Requested]]=Proc[[#This Row],[CurrentParent]]</f>
        <v>1</v>
      </c>
      <c r="K3017" s="125" t="str">
        <f ca="1"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26</v>
      </c>
      <c r="R3017" s="115" t="s">
        <v>1013</v>
      </c>
      <c r="S3017" s="125"/>
    </row>
    <row r="3018" spans="1:19" hidden="1">
      <c r="A3018" s="124" t="s">
        <v>5260</v>
      </c>
      <c r="B3018" s="138" t="str">
        <f ca="1"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 ca="1">IF(Proc[[#This Row],[type]]="LFF (MDG-F)",MID(Proc[[#This Row],[Obj]],13,10),"")</f>
        <v/>
      </c>
      <c r="J3018" s="125" t="b">
        <f ca="1">Proc[[#This Row],[Requested]]=Proc[[#This Row],[CurrentParent]]</f>
        <v>1</v>
      </c>
      <c r="K3018" s="125" t="str">
        <f ca="1"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26</v>
      </c>
      <c r="R3018" s="115" t="s">
        <v>1013</v>
      </c>
      <c r="S3018" s="125"/>
    </row>
    <row r="3019" spans="1:19" hidden="1">
      <c r="A3019" s="124" t="s">
        <v>5260</v>
      </c>
      <c r="B3019" s="138" t="str">
        <f ca="1"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 ca="1">IF(Proc[[#This Row],[type]]="LFF (MDG-F)",MID(Proc[[#This Row],[Obj]],13,10),"")</f>
        <v/>
      </c>
      <c r="J3019" s="125" t="b">
        <f ca="1">Proc[[#This Row],[Requested]]=Proc[[#This Row],[CurrentParent]]</f>
        <v>1</v>
      </c>
      <c r="K3019" s="125" t="str">
        <f ca="1"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26</v>
      </c>
      <c r="R3019" s="115" t="s">
        <v>1013</v>
      </c>
      <c r="S3019" s="125"/>
    </row>
    <row r="3020" spans="1:19" hidden="1">
      <c r="A3020" s="124" t="s">
        <v>5260</v>
      </c>
      <c r="B3020" s="138" t="str">
        <f ca="1"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 ca="1">IF(Proc[[#This Row],[type]]="LFF (MDG-F)",MID(Proc[[#This Row],[Obj]],13,10),"")</f>
        <v/>
      </c>
      <c r="J3020" s="125" t="b">
        <f ca="1">Proc[[#This Row],[Requested]]=Proc[[#This Row],[CurrentParent]]</f>
        <v>1</v>
      </c>
      <c r="K3020" s="125" t="str">
        <f ca="1"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26</v>
      </c>
      <c r="R3020" s="115" t="s">
        <v>1013</v>
      </c>
      <c r="S3020" s="125"/>
    </row>
    <row r="3021" spans="1:19" hidden="1">
      <c r="A3021" s="124" t="s">
        <v>5260</v>
      </c>
      <c r="B3021" s="138" t="str">
        <f ca="1"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 ca="1">IF(Proc[[#This Row],[type]]="LFF (MDG-F)",MID(Proc[[#This Row],[Obj]],13,10),"")</f>
        <v/>
      </c>
      <c r="J3021" s="125" t="b">
        <f ca="1">Proc[[#This Row],[Requested]]=Proc[[#This Row],[CurrentParent]]</f>
        <v>1</v>
      </c>
      <c r="K3021" s="125" t="str">
        <f ca="1"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26</v>
      </c>
      <c r="R3021" s="115" t="s">
        <v>1013</v>
      </c>
      <c r="S3021" s="125"/>
    </row>
    <row r="3022" spans="1:19" hidden="1">
      <c r="A3022" s="124" t="s">
        <v>5260</v>
      </c>
      <c r="B3022" s="138" t="str">
        <f ca="1"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 ca="1">IF(Proc[[#This Row],[type]]="LFF (MDG-F)",MID(Proc[[#This Row],[Obj]],13,10),"")</f>
        <v/>
      </c>
      <c r="J3022" s="125" t="b">
        <f ca="1">Proc[[#This Row],[Requested]]=Proc[[#This Row],[CurrentParent]]</f>
        <v>1</v>
      </c>
      <c r="K3022" s="125" t="str">
        <f ca="1"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26</v>
      </c>
      <c r="R3022" s="115" t="s">
        <v>1013</v>
      </c>
      <c r="S3022" s="125"/>
    </row>
    <row r="3023" spans="1:19" hidden="1">
      <c r="A3023" s="124" t="s">
        <v>5260</v>
      </c>
      <c r="B3023" s="138" t="str">
        <f ca="1"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 ca="1">IF(Proc[[#This Row],[type]]="LFF (MDG-F)",MID(Proc[[#This Row],[Obj]],13,10),"")</f>
        <v/>
      </c>
      <c r="J3023" s="125" t="b">
        <f ca="1">Proc[[#This Row],[Requested]]=Proc[[#This Row],[CurrentParent]]</f>
        <v>1</v>
      </c>
      <c r="K3023" s="125" t="str">
        <f ca="1"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26</v>
      </c>
      <c r="R3023" s="115" t="s">
        <v>1013</v>
      </c>
      <c r="S3023" s="125"/>
    </row>
    <row r="3024" spans="1:19" hidden="1">
      <c r="A3024" s="124" t="s">
        <v>5260</v>
      </c>
      <c r="B3024" s="138" t="str">
        <f ca="1"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 ca="1">IF(Proc[[#This Row],[type]]="LFF (MDG-F)",MID(Proc[[#This Row],[Obj]],13,10),"")</f>
        <v/>
      </c>
      <c r="J3024" s="125" t="b">
        <f ca="1">Proc[[#This Row],[Requested]]=Proc[[#This Row],[CurrentParent]]</f>
        <v>1</v>
      </c>
      <c r="K3024" s="125" t="str">
        <f ca="1"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26</v>
      </c>
      <c r="R3024" s="115" t="s">
        <v>1013</v>
      </c>
      <c r="S3024" s="125"/>
    </row>
    <row r="3025" spans="1:19" hidden="1">
      <c r="A3025" s="124" t="s">
        <v>5260</v>
      </c>
      <c r="B3025" s="138" t="str">
        <f ca="1"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 ca="1">IF(Proc[[#This Row],[type]]="LFF (MDG-F)",MID(Proc[[#This Row],[Obj]],13,10),"")</f>
        <v/>
      </c>
      <c r="J3025" s="125" t="b">
        <f ca="1">Proc[[#This Row],[Requested]]=Proc[[#This Row],[CurrentParent]]</f>
        <v>1</v>
      </c>
      <c r="K3025" s="125" t="str">
        <f ca="1"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26</v>
      </c>
      <c r="R3025" s="115" t="s">
        <v>1013</v>
      </c>
      <c r="S3025" s="125"/>
    </row>
    <row r="3026" spans="1:19" hidden="1">
      <c r="A3026" s="124" t="s">
        <v>5260</v>
      </c>
      <c r="B3026" s="138" t="str">
        <f ca="1"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 ca="1">IF(Proc[[#This Row],[type]]="LFF (MDG-F)",MID(Proc[[#This Row],[Obj]],13,10),"")</f>
        <v/>
      </c>
      <c r="J3026" s="125" t="b">
        <f ca="1">Proc[[#This Row],[Requested]]=Proc[[#This Row],[CurrentParent]]</f>
        <v>1</v>
      </c>
      <c r="K3026" s="125" t="str">
        <f ca="1"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26</v>
      </c>
      <c r="R3026" s="115" t="s">
        <v>1013</v>
      </c>
      <c r="S3026" s="125"/>
    </row>
    <row r="3027" spans="1:19" hidden="1">
      <c r="A3027" s="124" t="s">
        <v>5260</v>
      </c>
      <c r="B3027" s="138" t="str">
        <f ca="1"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 ca="1">IF(Proc[[#This Row],[type]]="LFF (MDG-F)",MID(Proc[[#This Row],[Obj]],13,10),"")</f>
        <v/>
      </c>
      <c r="J3027" s="125" t="b">
        <f ca="1">Proc[[#This Row],[Requested]]=Proc[[#This Row],[CurrentParent]]</f>
        <v>1</v>
      </c>
      <c r="K3027" s="125" t="str">
        <f ca="1"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26</v>
      </c>
      <c r="R3027" s="115" t="s">
        <v>1013</v>
      </c>
      <c r="S3027" s="125"/>
    </row>
    <row r="3028" spans="1:19" hidden="1">
      <c r="A3028" s="124" t="s">
        <v>5260</v>
      </c>
      <c r="B3028" s="138" t="str">
        <f ca="1"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 ca="1">IF(Proc[[#This Row],[type]]="LFF (MDG-F)",MID(Proc[[#This Row],[Obj]],13,10),"")</f>
        <v/>
      </c>
      <c r="J3028" s="125" t="b">
        <f ca="1">Proc[[#This Row],[Requested]]=Proc[[#This Row],[CurrentParent]]</f>
        <v>1</v>
      </c>
      <c r="K3028" s="125" t="str">
        <f ca="1"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26</v>
      </c>
      <c r="R3028" s="115" t="s">
        <v>1013</v>
      </c>
      <c r="S3028" s="125"/>
    </row>
    <row r="3029" spans="1:19" hidden="1">
      <c r="A3029" s="124" t="s">
        <v>5260</v>
      </c>
      <c r="B3029" s="138" t="str">
        <f ca="1"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 ca="1">IF(Proc[[#This Row],[type]]="LFF (MDG-F)",MID(Proc[[#This Row],[Obj]],13,10),"")</f>
        <v/>
      </c>
      <c r="J3029" s="125" t="b">
        <f ca="1">Proc[[#This Row],[Requested]]=Proc[[#This Row],[CurrentParent]]</f>
        <v>1</v>
      </c>
      <c r="K3029" s="125" t="str">
        <f ca="1"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26</v>
      </c>
      <c r="R3029" s="115" t="s">
        <v>1013</v>
      </c>
      <c r="S3029" s="125"/>
    </row>
    <row r="3030" spans="1:19" hidden="1">
      <c r="A3030" s="124" t="s">
        <v>5260</v>
      </c>
      <c r="B3030" s="138" t="str">
        <f ca="1"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 ca="1">IF(Proc[[#This Row],[type]]="LFF (MDG-F)",MID(Proc[[#This Row],[Obj]],13,10),"")</f>
        <v/>
      </c>
      <c r="J3030" s="125" t="b">
        <f ca="1">Proc[[#This Row],[Requested]]=Proc[[#This Row],[CurrentParent]]</f>
        <v>1</v>
      </c>
      <c r="K3030" s="125" t="str">
        <f ca="1"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26</v>
      </c>
      <c r="R3030" s="115" t="s">
        <v>1013</v>
      </c>
      <c r="S3030" s="125"/>
    </row>
    <row r="3031" spans="1:19" hidden="1">
      <c r="A3031" s="124" t="s">
        <v>5260</v>
      </c>
      <c r="B3031" s="138" t="str">
        <f ca="1"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 ca="1">IF(Proc[[#This Row],[type]]="LFF (MDG-F)",MID(Proc[[#This Row],[Obj]],13,10),"")</f>
        <v/>
      </c>
      <c r="J3031" s="125" t="b">
        <f ca="1">Proc[[#This Row],[Requested]]=Proc[[#This Row],[CurrentParent]]</f>
        <v>1</v>
      </c>
      <c r="K3031" s="125" t="str">
        <f ca="1"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26</v>
      </c>
      <c r="R3031" s="115" t="s">
        <v>1013</v>
      </c>
      <c r="S3031" s="125"/>
    </row>
    <row r="3032" spans="1:19" hidden="1">
      <c r="A3032" s="124" t="s">
        <v>5260</v>
      </c>
      <c r="B3032" s="138" t="str">
        <f ca="1"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 ca="1">IF(Proc[[#This Row],[type]]="LFF (MDG-F)",MID(Proc[[#This Row],[Obj]],13,10),"")</f>
        <v/>
      </c>
      <c r="J3032" s="125" t="b">
        <f ca="1">Proc[[#This Row],[Requested]]=Proc[[#This Row],[CurrentParent]]</f>
        <v>1</v>
      </c>
      <c r="K3032" s="125" t="str">
        <f ca="1"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26</v>
      </c>
      <c r="R3032" s="115" t="s">
        <v>1013</v>
      </c>
      <c r="S3032" s="125"/>
    </row>
    <row r="3033" spans="1:19" hidden="1">
      <c r="A3033" s="124" t="s">
        <v>5260</v>
      </c>
      <c r="B3033" s="138" t="str">
        <f ca="1"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 ca="1">IF(Proc[[#This Row],[type]]="LFF (MDG-F)",MID(Proc[[#This Row],[Obj]],13,10),"")</f>
        <v/>
      </c>
      <c r="J3033" s="125" t="b">
        <f ca="1">Proc[[#This Row],[Requested]]=Proc[[#This Row],[CurrentParent]]</f>
        <v>1</v>
      </c>
      <c r="K3033" s="125" t="str">
        <f ca="1"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26</v>
      </c>
      <c r="R3033" s="115" t="s">
        <v>1013</v>
      </c>
      <c r="S3033" s="125"/>
    </row>
    <row r="3034" spans="1:19" hidden="1">
      <c r="A3034" s="124" t="s">
        <v>5260</v>
      </c>
      <c r="B3034" s="138" t="str">
        <f ca="1"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 ca="1">IF(Proc[[#This Row],[type]]="LFF (MDG-F)",MID(Proc[[#This Row],[Obj]],13,10),"")</f>
        <v/>
      </c>
      <c r="J3034" s="125" t="b">
        <f ca="1">Proc[[#This Row],[Requested]]=Proc[[#This Row],[CurrentParent]]</f>
        <v>1</v>
      </c>
      <c r="K3034" s="125" t="str">
        <f ca="1"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26</v>
      </c>
      <c r="R3034" s="115" t="s">
        <v>1013</v>
      </c>
      <c r="S3034" s="125"/>
    </row>
    <row r="3035" spans="1:19" hidden="1">
      <c r="A3035" s="124" t="s">
        <v>5260</v>
      </c>
      <c r="B3035" s="138" t="str">
        <f ca="1"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 ca="1">IF(Proc[[#This Row],[type]]="LFF (MDG-F)",MID(Proc[[#This Row],[Obj]],13,10),"")</f>
        <v/>
      </c>
      <c r="J3035" s="125" t="b">
        <f ca="1">Proc[[#This Row],[Requested]]=Proc[[#This Row],[CurrentParent]]</f>
        <v>1</v>
      </c>
      <c r="K3035" s="125" t="str">
        <f ca="1"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26</v>
      </c>
      <c r="R3035" s="115" t="s">
        <v>1013</v>
      </c>
      <c r="S3035" s="125"/>
    </row>
    <row r="3036" spans="1:19" hidden="1">
      <c r="A3036" s="124" t="s">
        <v>5260</v>
      </c>
      <c r="B3036" s="138" t="str">
        <f ca="1"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 ca="1">IF(Proc[[#This Row],[type]]="LFF (MDG-F)",MID(Proc[[#This Row],[Obj]],13,10),"")</f>
        <v/>
      </c>
      <c r="J3036" s="125" t="b">
        <f ca="1">Proc[[#This Row],[Requested]]=Proc[[#This Row],[CurrentParent]]</f>
        <v>1</v>
      </c>
      <c r="K3036" s="125" t="str">
        <f ca="1"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26</v>
      </c>
      <c r="R3036" s="115" t="s">
        <v>1013</v>
      </c>
      <c r="S3036" s="125"/>
    </row>
    <row r="3037" spans="1:19" hidden="1">
      <c r="A3037" s="124" t="s">
        <v>5260</v>
      </c>
      <c r="B3037" s="138" t="str">
        <f ca="1"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 ca="1">IF(Proc[[#This Row],[type]]="LFF (MDG-F)",MID(Proc[[#This Row],[Obj]],13,10),"")</f>
        <v/>
      </c>
      <c r="J3037" s="125" t="b">
        <f ca="1">Proc[[#This Row],[Requested]]=Proc[[#This Row],[CurrentParent]]</f>
        <v>1</v>
      </c>
      <c r="K3037" s="125" t="str">
        <f ca="1"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26</v>
      </c>
      <c r="R3037" s="115" t="s">
        <v>1013</v>
      </c>
      <c r="S3037" s="125"/>
    </row>
    <row r="3038" spans="1:19" hidden="1">
      <c r="A3038" s="124" t="s">
        <v>5260</v>
      </c>
      <c r="B3038" s="138" t="str">
        <f ca="1"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 ca="1">IF(Proc[[#This Row],[type]]="LFF (MDG-F)",MID(Proc[[#This Row],[Obj]],13,10),"")</f>
        <v/>
      </c>
      <c r="J3038" s="125" t="b">
        <f ca="1">Proc[[#This Row],[Requested]]=Proc[[#This Row],[CurrentParent]]</f>
        <v>1</v>
      </c>
      <c r="K3038" s="125" t="str">
        <f ca="1"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26</v>
      </c>
      <c r="R3038" s="115" t="s">
        <v>1013</v>
      </c>
      <c r="S3038" s="125"/>
    </row>
    <row r="3039" spans="1:19" hidden="1">
      <c r="A3039" s="124" t="s">
        <v>5260</v>
      </c>
      <c r="B3039" s="138" t="str">
        <f ca="1"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 ca="1">IF(Proc[[#This Row],[type]]="LFF (MDG-F)",MID(Proc[[#This Row],[Obj]],13,10),"")</f>
        <v/>
      </c>
      <c r="J3039" s="125" t="b">
        <f ca="1">Proc[[#This Row],[Requested]]=Proc[[#This Row],[CurrentParent]]</f>
        <v>1</v>
      </c>
      <c r="K3039" s="125" t="str">
        <f ca="1"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26</v>
      </c>
      <c r="R3039" s="115" t="s">
        <v>1013</v>
      </c>
      <c r="S3039" s="125"/>
    </row>
    <row r="3040" spans="1:19" hidden="1">
      <c r="A3040" s="124" t="s">
        <v>5260</v>
      </c>
      <c r="B3040" s="138" t="str">
        <f ca="1"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 ca="1">IF(Proc[[#This Row],[type]]="LFF (MDG-F)",MID(Proc[[#This Row],[Obj]],13,10),"")</f>
        <v/>
      </c>
      <c r="J3040" s="125" t="b">
        <f ca="1">Proc[[#This Row],[Requested]]=Proc[[#This Row],[CurrentParent]]</f>
        <v>1</v>
      </c>
      <c r="K3040" s="125" t="str">
        <f ca="1"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26</v>
      </c>
      <c r="R3040" s="115" t="s">
        <v>1013</v>
      </c>
      <c r="S3040" s="125"/>
    </row>
    <row r="3041" spans="1:19" hidden="1">
      <c r="A3041" s="124" t="s">
        <v>5260</v>
      </c>
      <c r="B3041" s="138" t="str">
        <f ca="1"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 ca="1">IF(Proc[[#This Row],[type]]="LFF (MDG-F)",MID(Proc[[#This Row],[Obj]],13,10),"")</f>
        <v/>
      </c>
      <c r="J3041" s="125" t="b">
        <f ca="1">Proc[[#This Row],[Requested]]=Proc[[#This Row],[CurrentParent]]</f>
        <v>1</v>
      </c>
      <c r="K3041" s="125" t="str">
        <f ca="1"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26</v>
      </c>
      <c r="R3041" s="115" t="s">
        <v>1013</v>
      </c>
      <c r="S3041" s="125"/>
    </row>
    <row r="3042" spans="1:19" hidden="1">
      <c r="A3042" s="124" t="s">
        <v>5260</v>
      </c>
      <c r="B3042" s="138" t="str">
        <f ca="1"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 ca="1">IF(Proc[[#This Row],[type]]="LFF (MDG-F)",MID(Proc[[#This Row],[Obj]],13,10),"")</f>
        <v/>
      </c>
      <c r="J3042" s="125" t="b">
        <f ca="1">Proc[[#This Row],[Requested]]=Proc[[#This Row],[CurrentParent]]</f>
        <v>1</v>
      </c>
      <c r="K3042" s="125" t="str">
        <f ca="1"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26</v>
      </c>
      <c r="R3042" s="115" t="s">
        <v>1013</v>
      </c>
      <c r="S3042" s="125"/>
    </row>
    <row r="3043" spans="1:19" hidden="1">
      <c r="A3043" s="124" t="s">
        <v>5260</v>
      </c>
      <c r="B3043" s="138" t="str">
        <f ca="1"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 ca="1">IF(Proc[[#This Row],[type]]="LFF (MDG-F)",MID(Proc[[#This Row],[Obj]],13,10),"")</f>
        <v/>
      </c>
      <c r="J3043" s="125" t="b">
        <f ca="1">Proc[[#This Row],[Requested]]=Proc[[#This Row],[CurrentParent]]</f>
        <v>1</v>
      </c>
      <c r="K3043" s="125" t="str">
        <f ca="1"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26</v>
      </c>
      <c r="R3043" s="115" t="s">
        <v>1013</v>
      </c>
      <c r="S3043" s="125"/>
    </row>
    <row r="3044" spans="1:19" hidden="1">
      <c r="A3044" s="124" t="s">
        <v>5260</v>
      </c>
      <c r="B3044" s="138" t="str">
        <f ca="1"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 ca="1">IF(Proc[[#This Row],[type]]="LFF (MDG-F)",MID(Proc[[#This Row],[Obj]],13,10),"")</f>
        <v/>
      </c>
      <c r="J3044" s="125" t="b">
        <f ca="1">Proc[[#This Row],[Requested]]=Proc[[#This Row],[CurrentParent]]</f>
        <v>1</v>
      </c>
      <c r="K3044" s="125" t="str">
        <f ca="1"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26</v>
      </c>
      <c r="R3044" s="115" t="s">
        <v>1013</v>
      </c>
      <c r="S3044" s="125"/>
    </row>
    <row r="3045" spans="1:19" hidden="1">
      <c r="A3045" s="124" t="s">
        <v>5260</v>
      </c>
      <c r="B3045" s="138" t="str">
        <f ca="1"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 ca="1">IF(Proc[[#This Row],[type]]="LFF (MDG-F)",MID(Proc[[#This Row],[Obj]],13,10),"")</f>
        <v/>
      </c>
      <c r="J3045" s="125" t="b">
        <f ca="1">Proc[[#This Row],[Requested]]=Proc[[#This Row],[CurrentParent]]</f>
        <v>1</v>
      </c>
      <c r="K3045" s="125" t="str">
        <f ca="1"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26</v>
      </c>
      <c r="R3045" s="115" t="s">
        <v>1013</v>
      </c>
      <c r="S3045" s="125"/>
    </row>
    <row r="3046" spans="1:19" hidden="1">
      <c r="A3046" s="124" t="s">
        <v>5260</v>
      </c>
      <c r="B3046" s="138" t="str">
        <f ca="1"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 ca="1">IF(Proc[[#This Row],[type]]="LFF (MDG-F)",MID(Proc[[#This Row],[Obj]],13,10),"")</f>
        <v/>
      </c>
      <c r="J3046" s="125" t="b">
        <f ca="1">Proc[[#This Row],[Requested]]=Proc[[#This Row],[CurrentParent]]</f>
        <v>1</v>
      </c>
      <c r="K3046" s="125" t="str">
        <f ca="1"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26</v>
      </c>
      <c r="R3046" s="115" t="s">
        <v>1013</v>
      </c>
      <c r="S3046" s="125"/>
    </row>
    <row r="3047" spans="1:19" hidden="1">
      <c r="A3047" s="124" t="s">
        <v>5260</v>
      </c>
      <c r="B3047" s="138" t="str">
        <f ca="1"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 ca="1">IF(Proc[[#This Row],[type]]="LFF (MDG-F)",MID(Proc[[#This Row],[Obj]],13,10),"")</f>
        <v/>
      </c>
      <c r="J3047" s="125" t="b">
        <f ca="1">Proc[[#This Row],[Requested]]=Proc[[#This Row],[CurrentParent]]</f>
        <v>1</v>
      </c>
      <c r="K3047" s="125" t="str">
        <f ca="1"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26</v>
      </c>
      <c r="R3047" s="115" t="s">
        <v>1013</v>
      </c>
      <c r="S3047" s="125"/>
    </row>
    <row r="3048" spans="1:19" hidden="1">
      <c r="A3048" s="124" t="s">
        <v>5260</v>
      </c>
      <c r="B3048" s="138" t="str">
        <f ca="1"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 ca="1">IF(Proc[[#This Row],[type]]="LFF (MDG-F)",MID(Proc[[#This Row],[Obj]],13,10),"")</f>
        <v/>
      </c>
      <c r="J3048" s="125" t="b">
        <f ca="1">Proc[[#This Row],[Requested]]=Proc[[#This Row],[CurrentParent]]</f>
        <v>1</v>
      </c>
      <c r="K3048" s="125" t="str">
        <f ca="1"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26</v>
      </c>
      <c r="R3048" s="115" t="s">
        <v>1013</v>
      </c>
      <c r="S3048" s="125"/>
    </row>
    <row r="3049" spans="1:19" hidden="1">
      <c r="A3049" s="124" t="s">
        <v>5260</v>
      </c>
      <c r="B3049" s="138" t="str">
        <f ca="1"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 ca="1">IF(Proc[[#This Row],[type]]="LFF (MDG-F)",MID(Proc[[#This Row],[Obj]],13,10),"")</f>
        <v/>
      </c>
      <c r="J3049" s="125" t="b">
        <f ca="1">Proc[[#This Row],[Requested]]=Proc[[#This Row],[CurrentParent]]</f>
        <v>1</v>
      </c>
      <c r="K3049" s="125" t="str">
        <f ca="1"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26</v>
      </c>
      <c r="R3049" s="115" t="s">
        <v>1013</v>
      </c>
      <c r="S3049" s="125"/>
    </row>
    <row r="3050" spans="1:19" hidden="1">
      <c r="A3050" s="124" t="s">
        <v>5260</v>
      </c>
      <c r="B3050" s="138" t="str">
        <f ca="1"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 ca="1">IF(Proc[[#This Row],[type]]="LFF (MDG-F)",MID(Proc[[#This Row],[Obj]],13,10),"")</f>
        <v/>
      </c>
      <c r="J3050" s="125" t="b">
        <f ca="1">Proc[[#This Row],[Requested]]=Proc[[#This Row],[CurrentParent]]</f>
        <v>1</v>
      </c>
      <c r="K3050" s="125" t="str">
        <f ca="1"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26</v>
      </c>
      <c r="R3050" s="115" t="s">
        <v>1013</v>
      </c>
      <c r="S3050" s="125"/>
    </row>
    <row r="3051" spans="1:19" hidden="1">
      <c r="A3051" s="124" t="s">
        <v>5260</v>
      </c>
      <c r="B3051" s="138" t="str">
        <f ca="1"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 ca="1">IF(Proc[[#This Row],[type]]="LFF (MDG-F)",MID(Proc[[#This Row],[Obj]],13,10),"")</f>
        <v/>
      </c>
      <c r="J3051" s="125" t="b">
        <f ca="1">Proc[[#This Row],[Requested]]=Proc[[#This Row],[CurrentParent]]</f>
        <v>1</v>
      </c>
      <c r="K3051" s="125" t="str">
        <f ca="1"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26</v>
      </c>
      <c r="R3051" s="115" t="s">
        <v>1013</v>
      </c>
      <c r="S3051" s="125"/>
    </row>
    <row r="3052" spans="1:19" hidden="1">
      <c r="A3052" s="124" t="s">
        <v>5260</v>
      </c>
      <c r="B3052" s="138" t="str">
        <f ca="1"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 ca="1">IF(Proc[[#This Row],[type]]="LFF (MDG-F)",MID(Proc[[#This Row],[Obj]],13,10),"")</f>
        <v/>
      </c>
      <c r="J3052" s="125" t="b">
        <f ca="1">Proc[[#This Row],[Requested]]=Proc[[#This Row],[CurrentParent]]</f>
        <v>1</v>
      </c>
      <c r="K3052" s="125" t="str">
        <f ca="1"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26</v>
      </c>
      <c r="R3052" s="115" t="s">
        <v>1013</v>
      </c>
      <c r="S3052" s="125"/>
    </row>
    <row r="3053" spans="1:19" hidden="1">
      <c r="A3053" s="124" t="s">
        <v>5260</v>
      </c>
      <c r="B3053" s="138" t="str">
        <f ca="1"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 ca="1">IF(Proc[[#This Row],[type]]="LFF (MDG-F)",MID(Proc[[#This Row],[Obj]],13,10),"")</f>
        <v/>
      </c>
      <c r="J3053" s="125" t="b">
        <f ca="1">Proc[[#This Row],[Requested]]=Proc[[#This Row],[CurrentParent]]</f>
        <v>1</v>
      </c>
      <c r="K3053" s="125" t="str">
        <f ca="1"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26</v>
      </c>
      <c r="R3053" s="115" t="s">
        <v>1013</v>
      </c>
      <c r="S3053" s="125"/>
    </row>
    <row r="3054" spans="1:19" hidden="1">
      <c r="A3054" s="124" t="s">
        <v>5260</v>
      </c>
      <c r="B3054" s="138" t="str">
        <f ca="1"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 ca="1">IF(Proc[[#This Row],[type]]="LFF (MDG-F)",MID(Proc[[#This Row],[Obj]],13,10),"")</f>
        <v/>
      </c>
      <c r="J3054" s="125" t="b">
        <f ca="1">Proc[[#This Row],[Requested]]=Proc[[#This Row],[CurrentParent]]</f>
        <v>1</v>
      </c>
      <c r="K3054" s="125" t="str">
        <f ca="1"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26</v>
      </c>
      <c r="R3054" s="115" t="s">
        <v>1013</v>
      </c>
      <c r="S3054" s="125"/>
    </row>
    <row r="3055" spans="1:19" hidden="1">
      <c r="A3055" s="124" t="s">
        <v>5260</v>
      </c>
      <c r="B3055" s="138" t="str">
        <f ca="1"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 ca="1">IF(Proc[[#This Row],[type]]="LFF (MDG-F)",MID(Proc[[#This Row],[Obj]],13,10),"")</f>
        <v/>
      </c>
      <c r="J3055" s="125" t="b">
        <f ca="1">Proc[[#This Row],[Requested]]=Proc[[#This Row],[CurrentParent]]</f>
        <v>1</v>
      </c>
      <c r="K3055" s="125" t="str">
        <f ca="1"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26</v>
      </c>
      <c r="R3055" s="115" t="s">
        <v>1013</v>
      </c>
      <c r="S3055" s="125"/>
    </row>
    <row r="3056" spans="1:19" hidden="1">
      <c r="A3056" s="124" t="s">
        <v>5260</v>
      </c>
      <c r="B3056" s="138" t="str">
        <f ca="1"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 ca="1">IF(Proc[[#This Row],[type]]="LFF (MDG-F)",MID(Proc[[#This Row],[Obj]],13,10),"")</f>
        <v/>
      </c>
      <c r="J3056" s="125" t="b">
        <f ca="1">Proc[[#This Row],[Requested]]=Proc[[#This Row],[CurrentParent]]</f>
        <v>1</v>
      </c>
      <c r="K3056" s="125" t="str">
        <f ca="1"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26</v>
      </c>
      <c r="R3056" s="115" t="s">
        <v>1013</v>
      </c>
      <c r="S3056" s="125"/>
    </row>
    <row r="3057" spans="1:19" hidden="1">
      <c r="A3057" s="124" t="s">
        <v>5260</v>
      </c>
      <c r="B3057" s="138" t="str">
        <f ca="1"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 ca="1">IF(Proc[[#This Row],[type]]="LFF (MDG-F)",MID(Proc[[#This Row],[Obj]],13,10),"")</f>
        <v/>
      </c>
      <c r="J3057" s="125" t="b">
        <f ca="1">Proc[[#This Row],[Requested]]=Proc[[#This Row],[CurrentParent]]</f>
        <v>1</v>
      </c>
      <c r="K3057" s="125" t="str">
        <f ca="1"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26</v>
      </c>
      <c r="R3057" s="115" t="s">
        <v>1013</v>
      </c>
      <c r="S3057" s="125"/>
    </row>
    <row r="3058" spans="1:19" hidden="1">
      <c r="A3058" s="124" t="s">
        <v>5260</v>
      </c>
      <c r="B3058" s="138" t="str">
        <f ca="1"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 ca="1">IF(Proc[[#This Row],[type]]="LFF (MDG-F)",MID(Proc[[#This Row],[Obj]],13,10),"")</f>
        <v/>
      </c>
      <c r="J3058" s="125" t="b">
        <f ca="1">Proc[[#This Row],[Requested]]=Proc[[#This Row],[CurrentParent]]</f>
        <v>1</v>
      </c>
      <c r="K3058" s="125" t="str">
        <f ca="1"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26</v>
      </c>
      <c r="R3058" s="115" t="s">
        <v>1013</v>
      </c>
      <c r="S3058" s="125"/>
    </row>
    <row r="3059" spans="1:19" hidden="1">
      <c r="A3059" s="124" t="s">
        <v>5260</v>
      </c>
      <c r="B3059" s="138" t="str">
        <f ca="1"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 ca="1">IF(Proc[[#This Row],[type]]="LFF (MDG-F)",MID(Proc[[#This Row],[Obj]],13,10),"")</f>
        <v/>
      </c>
      <c r="J3059" s="125" t="b">
        <f ca="1">Proc[[#This Row],[Requested]]=Proc[[#This Row],[CurrentParent]]</f>
        <v>1</v>
      </c>
      <c r="K3059" s="125" t="str">
        <f ca="1"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26</v>
      </c>
      <c r="R3059" s="115" t="s">
        <v>1013</v>
      </c>
      <c r="S3059" s="125"/>
    </row>
    <row r="3060" spans="1:19" hidden="1">
      <c r="A3060" s="124" t="s">
        <v>5260</v>
      </c>
      <c r="B3060" s="138" t="str">
        <f ca="1"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 ca="1">IF(Proc[[#This Row],[type]]="LFF (MDG-F)",MID(Proc[[#This Row],[Obj]],13,10),"")</f>
        <v/>
      </c>
      <c r="J3060" s="125" t="b">
        <f ca="1">Proc[[#This Row],[Requested]]=Proc[[#This Row],[CurrentParent]]</f>
        <v>1</v>
      </c>
      <c r="K3060" s="125" t="str">
        <f ca="1"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26</v>
      </c>
      <c r="R3060" s="115" t="s">
        <v>1013</v>
      </c>
      <c r="S3060" s="125"/>
    </row>
    <row r="3061" spans="1:19" hidden="1">
      <c r="A3061" s="124" t="s">
        <v>5260</v>
      </c>
      <c r="B3061" s="138" t="str">
        <f ca="1"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 ca="1">IF(Proc[[#This Row],[type]]="LFF (MDG-F)",MID(Proc[[#This Row],[Obj]],13,10),"")</f>
        <v/>
      </c>
      <c r="J3061" s="125" t="b">
        <f ca="1">Proc[[#This Row],[Requested]]=Proc[[#This Row],[CurrentParent]]</f>
        <v>1</v>
      </c>
      <c r="K3061" s="125" t="str">
        <f ca="1"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26</v>
      </c>
      <c r="R3061" s="115" t="s">
        <v>1013</v>
      </c>
      <c r="S3061" s="125"/>
    </row>
    <row r="3062" spans="1:19" hidden="1">
      <c r="A3062" s="124" t="s">
        <v>5260</v>
      </c>
      <c r="B3062" s="138" t="str">
        <f ca="1"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 ca="1">IF(Proc[[#This Row],[type]]="LFF (MDG-F)",MID(Proc[[#This Row],[Obj]],13,10),"")</f>
        <v/>
      </c>
      <c r="J3062" s="125" t="b">
        <f ca="1">Proc[[#This Row],[Requested]]=Proc[[#This Row],[CurrentParent]]</f>
        <v>1</v>
      </c>
      <c r="K3062" s="125" t="str">
        <f ca="1"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26</v>
      </c>
      <c r="R3062" s="115" t="s">
        <v>1013</v>
      </c>
      <c r="S3062" s="125"/>
    </row>
    <row r="3063" spans="1:19" hidden="1">
      <c r="A3063" s="124" t="s">
        <v>5260</v>
      </c>
      <c r="B3063" s="138" t="str">
        <f ca="1"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 ca="1">IF(Proc[[#This Row],[type]]="LFF (MDG-F)",MID(Proc[[#This Row],[Obj]],13,10),"")</f>
        <v/>
      </c>
      <c r="J3063" s="125" t="b">
        <f ca="1">Proc[[#This Row],[Requested]]=Proc[[#This Row],[CurrentParent]]</f>
        <v>1</v>
      </c>
      <c r="K3063" s="125" t="str">
        <f ca="1"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26</v>
      </c>
      <c r="R3063" s="115" t="s">
        <v>1013</v>
      </c>
      <c r="S3063" s="125"/>
    </row>
    <row r="3064" spans="1:19" hidden="1">
      <c r="A3064" s="124" t="s">
        <v>5260</v>
      </c>
      <c r="B3064" s="138" t="str">
        <f ca="1"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 ca="1">IF(Proc[[#This Row],[type]]="LFF (MDG-F)",MID(Proc[[#This Row],[Obj]],13,10),"")</f>
        <v/>
      </c>
      <c r="J3064" s="125" t="b">
        <f ca="1">Proc[[#This Row],[Requested]]=Proc[[#This Row],[CurrentParent]]</f>
        <v>1</v>
      </c>
      <c r="K3064" s="125" t="str">
        <f ca="1"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26</v>
      </c>
      <c r="R3064" s="115" t="s">
        <v>1013</v>
      </c>
      <c r="S3064" s="125"/>
    </row>
    <row r="3065" spans="1:19" hidden="1">
      <c r="A3065" s="124" t="s">
        <v>5260</v>
      </c>
      <c r="B3065" s="138" t="str">
        <f ca="1"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 ca="1">IF(Proc[[#This Row],[type]]="LFF (MDG-F)",MID(Proc[[#This Row],[Obj]],13,10),"")</f>
        <v/>
      </c>
      <c r="J3065" s="125" t="b">
        <f ca="1">Proc[[#This Row],[Requested]]=Proc[[#This Row],[CurrentParent]]</f>
        <v>1</v>
      </c>
      <c r="K3065" s="125" t="str">
        <f ca="1"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26</v>
      </c>
      <c r="R3065" s="115" t="s">
        <v>1013</v>
      </c>
      <c r="S3065" s="125"/>
    </row>
    <row r="3066" spans="1:19" hidden="1">
      <c r="A3066" s="124" t="s">
        <v>5260</v>
      </c>
      <c r="B3066" s="138" t="str">
        <f ca="1"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 ca="1">IF(Proc[[#This Row],[type]]="LFF (MDG-F)",MID(Proc[[#This Row],[Obj]],13,10),"")</f>
        <v/>
      </c>
      <c r="J3066" s="125" t="b">
        <f ca="1">Proc[[#This Row],[Requested]]=Proc[[#This Row],[CurrentParent]]</f>
        <v>1</v>
      </c>
      <c r="K3066" s="125" t="str">
        <f ca="1"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26</v>
      </c>
      <c r="R3066" s="115" t="s">
        <v>1013</v>
      </c>
      <c r="S3066" s="125"/>
    </row>
    <row r="3067" spans="1:19" hidden="1">
      <c r="A3067" s="124" t="s">
        <v>5260</v>
      </c>
      <c r="B3067" s="138" t="str">
        <f ca="1"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 ca="1">IF(Proc[[#This Row],[type]]="LFF (MDG-F)",MID(Proc[[#This Row],[Obj]],13,10),"")</f>
        <v/>
      </c>
      <c r="J3067" s="125" t="b">
        <f ca="1">Proc[[#This Row],[Requested]]=Proc[[#This Row],[CurrentParent]]</f>
        <v>1</v>
      </c>
      <c r="K3067" s="125" t="str">
        <f ca="1"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26</v>
      </c>
      <c r="R3067" s="115" t="s">
        <v>1013</v>
      </c>
      <c r="S3067" s="125"/>
    </row>
    <row r="3068" spans="1:19" hidden="1">
      <c r="A3068" s="124" t="s">
        <v>5260</v>
      </c>
      <c r="B3068" s="138" t="str">
        <f ca="1"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 ca="1">IF(Proc[[#This Row],[type]]="LFF (MDG-F)",MID(Proc[[#This Row],[Obj]],13,10),"")</f>
        <v/>
      </c>
      <c r="J3068" s="125" t="b">
        <f ca="1">Proc[[#This Row],[Requested]]=Proc[[#This Row],[CurrentParent]]</f>
        <v>1</v>
      </c>
      <c r="K3068" s="125" t="str">
        <f ca="1"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26</v>
      </c>
      <c r="R3068" s="115" t="s">
        <v>1013</v>
      </c>
      <c r="S3068" s="125"/>
    </row>
    <row r="3069" spans="1:19" hidden="1">
      <c r="A3069" s="124" t="s">
        <v>5260</v>
      </c>
      <c r="B3069" s="138" t="str">
        <f ca="1"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 ca="1">IF(Proc[[#This Row],[type]]="LFF (MDG-F)",MID(Proc[[#This Row],[Obj]],13,10),"")</f>
        <v/>
      </c>
      <c r="J3069" s="125" t="b">
        <f ca="1">Proc[[#This Row],[Requested]]=Proc[[#This Row],[CurrentParent]]</f>
        <v>1</v>
      </c>
      <c r="K3069" s="125" t="str">
        <f ca="1"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26</v>
      </c>
      <c r="R3069" s="115" t="s">
        <v>1013</v>
      </c>
      <c r="S3069" s="125"/>
    </row>
    <row r="3070" spans="1:19" hidden="1">
      <c r="A3070" s="124" t="s">
        <v>5260</v>
      </c>
      <c r="B3070" s="138" t="str">
        <f ca="1"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 ca="1">IF(Proc[[#This Row],[type]]="LFF (MDG-F)",MID(Proc[[#This Row],[Obj]],13,10),"")</f>
        <v/>
      </c>
      <c r="J3070" s="125" t="b">
        <f ca="1">Proc[[#This Row],[Requested]]=Proc[[#This Row],[CurrentParent]]</f>
        <v>1</v>
      </c>
      <c r="K3070" s="125" t="str">
        <f ca="1"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26</v>
      </c>
      <c r="R3070" s="115" t="s">
        <v>1013</v>
      </c>
      <c r="S3070" s="125"/>
    </row>
    <row r="3071" spans="1:19" hidden="1">
      <c r="A3071" s="124" t="s">
        <v>5260</v>
      </c>
      <c r="B3071" s="138" t="str">
        <f ca="1"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 ca="1">IF(Proc[[#This Row],[type]]="LFF (MDG-F)",MID(Proc[[#This Row],[Obj]],13,10),"")</f>
        <v/>
      </c>
      <c r="J3071" s="125" t="b">
        <f ca="1">Proc[[#This Row],[Requested]]=Proc[[#This Row],[CurrentParent]]</f>
        <v>1</v>
      </c>
      <c r="K3071" s="125" t="str">
        <f ca="1"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26</v>
      </c>
      <c r="R3071" s="115" t="s">
        <v>1013</v>
      </c>
      <c r="S3071" s="125"/>
    </row>
    <row r="3072" spans="1:19" hidden="1">
      <c r="A3072" s="124" t="s">
        <v>5260</v>
      </c>
      <c r="B3072" s="138" t="str">
        <f ca="1"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 ca="1">IF(Proc[[#This Row],[type]]="LFF (MDG-F)",MID(Proc[[#This Row],[Obj]],13,10),"")</f>
        <v/>
      </c>
      <c r="J3072" s="125" t="b">
        <f ca="1">Proc[[#This Row],[Requested]]=Proc[[#This Row],[CurrentParent]]</f>
        <v>1</v>
      </c>
      <c r="K3072" s="125" t="str">
        <f ca="1"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26</v>
      </c>
      <c r="R3072" s="115" t="s">
        <v>1013</v>
      </c>
      <c r="S3072" s="125"/>
    </row>
    <row r="3073" spans="1:19" hidden="1">
      <c r="A3073" s="124" t="s">
        <v>5260</v>
      </c>
      <c r="B3073" s="138" t="str">
        <f ca="1"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 ca="1">IF(Proc[[#This Row],[type]]="LFF (MDG-F)",MID(Proc[[#This Row],[Obj]],13,10),"")</f>
        <v/>
      </c>
      <c r="J3073" s="125" t="b">
        <f ca="1">Proc[[#This Row],[Requested]]=Proc[[#This Row],[CurrentParent]]</f>
        <v>1</v>
      </c>
      <c r="K3073" s="125" t="str">
        <f ca="1"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26</v>
      </c>
      <c r="R3073" s="115" t="s">
        <v>1013</v>
      </c>
      <c r="S3073" s="125"/>
    </row>
    <row r="3074" spans="1:19" hidden="1">
      <c r="A3074" s="124" t="s">
        <v>5260</v>
      </c>
      <c r="B3074" s="138" t="str">
        <f ca="1"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 ca="1">IF(Proc[[#This Row],[type]]="LFF (MDG-F)",MID(Proc[[#This Row],[Obj]],13,10),"")</f>
        <v/>
      </c>
      <c r="J3074" s="125" t="b">
        <f ca="1">Proc[[#This Row],[Requested]]=Proc[[#This Row],[CurrentParent]]</f>
        <v>1</v>
      </c>
      <c r="K3074" s="125" t="str">
        <f ca="1"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26</v>
      </c>
      <c r="R3074" s="115" t="s">
        <v>1013</v>
      </c>
      <c r="S3074" s="125"/>
    </row>
    <row r="3075" spans="1:19" hidden="1">
      <c r="A3075" s="124" t="s">
        <v>5260</v>
      </c>
      <c r="B3075" s="138" t="str">
        <f ca="1"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 ca="1">IF(Proc[[#This Row],[type]]="LFF (MDG-F)",MID(Proc[[#This Row],[Obj]],13,10),"")</f>
        <v/>
      </c>
      <c r="J3075" s="125" t="b">
        <f ca="1">Proc[[#This Row],[Requested]]=Proc[[#This Row],[CurrentParent]]</f>
        <v>1</v>
      </c>
      <c r="K3075" s="125" t="str">
        <f ca="1"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26</v>
      </c>
      <c r="R3075" s="115" t="s">
        <v>1013</v>
      </c>
      <c r="S3075" s="125"/>
    </row>
    <row r="3076" spans="1:19" hidden="1">
      <c r="A3076" s="124" t="s">
        <v>5260</v>
      </c>
      <c r="B3076" s="138" t="str">
        <f ca="1"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 ca="1">IF(Proc[[#This Row],[type]]="LFF (MDG-F)",MID(Proc[[#This Row],[Obj]],13,10),"")</f>
        <v/>
      </c>
      <c r="J3076" s="125" t="b">
        <f ca="1">Proc[[#This Row],[Requested]]=Proc[[#This Row],[CurrentParent]]</f>
        <v>1</v>
      </c>
      <c r="K3076" s="125" t="str">
        <f ca="1"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26</v>
      </c>
      <c r="R3076" s="115" t="s">
        <v>1013</v>
      </c>
      <c r="S3076" s="125"/>
    </row>
    <row r="3077" spans="1:19" hidden="1">
      <c r="A3077" s="124" t="s">
        <v>5260</v>
      </c>
      <c r="B3077" s="138" t="str">
        <f ca="1"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 ca="1">IF(Proc[[#This Row],[type]]="LFF (MDG-F)",MID(Proc[[#This Row],[Obj]],13,10),"")</f>
        <v/>
      </c>
      <c r="J3077" s="125" t="b">
        <f ca="1">Proc[[#This Row],[Requested]]=Proc[[#This Row],[CurrentParent]]</f>
        <v>1</v>
      </c>
      <c r="K3077" s="125" t="str">
        <f ca="1"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26</v>
      </c>
      <c r="R3077" s="115" t="s">
        <v>1013</v>
      </c>
      <c r="S3077" s="125"/>
    </row>
    <row r="3078" spans="1:19" hidden="1">
      <c r="A3078" s="124" t="s">
        <v>5260</v>
      </c>
      <c r="B3078" s="138" t="str">
        <f ca="1"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 ca="1">IF(Proc[[#This Row],[type]]="LFF (MDG-F)",MID(Proc[[#This Row],[Obj]],13,10),"")</f>
        <v/>
      </c>
      <c r="J3078" s="125" t="b">
        <f ca="1">Proc[[#This Row],[Requested]]=Proc[[#This Row],[CurrentParent]]</f>
        <v>1</v>
      </c>
      <c r="K3078" s="125" t="str">
        <f ca="1"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26</v>
      </c>
      <c r="R3078" s="115" t="s">
        <v>1013</v>
      </c>
      <c r="S3078" s="125"/>
    </row>
    <row r="3079" spans="1:19" hidden="1">
      <c r="A3079" s="124" t="s">
        <v>5260</v>
      </c>
      <c r="B3079" s="138" t="str">
        <f ca="1"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 ca="1">IF(Proc[[#This Row],[type]]="LFF (MDG-F)",MID(Proc[[#This Row],[Obj]],13,10),"")</f>
        <v/>
      </c>
      <c r="J3079" s="125" t="b">
        <f ca="1">Proc[[#This Row],[Requested]]=Proc[[#This Row],[CurrentParent]]</f>
        <v>1</v>
      </c>
      <c r="K3079" s="125" t="str">
        <f ca="1"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26</v>
      </c>
      <c r="R3079" s="115" t="s">
        <v>1013</v>
      </c>
      <c r="S3079" s="125"/>
    </row>
    <row r="3080" spans="1:19" hidden="1">
      <c r="A3080" s="124" t="s">
        <v>5260</v>
      </c>
      <c r="B3080" s="138" t="str">
        <f ca="1"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 ca="1">IF(Proc[[#This Row],[type]]="LFF (MDG-F)",MID(Proc[[#This Row],[Obj]],13,10),"")</f>
        <v/>
      </c>
      <c r="J3080" s="125" t="b">
        <f ca="1">Proc[[#This Row],[Requested]]=Proc[[#This Row],[CurrentParent]]</f>
        <v>1</v>
      </c>
      <c r="K3080" s="125" t="str">
        <f ca="1"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26</v>
      </c>
      <c r="R3080" s="115" t="s">
        <v>1013</v>
      </c>
      <c r="S3080" s="125"/>
    </row>
    <row r="3081" spans="1:19" hidden="1">
      <c r="A3081" s="124" t="s">
        <v>5260</v>
      </c>
      <c r="B3081" s="138" t="str">
        <f ca="1"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 ca="1">IF(Proc[[#This Row],[type]]="LFF (MDG-F)",MID(Proc[[#This Row],[Obj]],13,10),"")</f>
        <v/>
      </c>
      <c r="J3081" s="125" t="b">
        <f ca="1">Proc[[#This Row],[Requested]]=Proc[[#This Row],[CurrentParent]]</f>
        <v>1</v>
      </c>
      <c r="K3081" s="125" t="str">
        <f ca="1"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26</v>
      </c>
      <c r="R3081" s="115" t="s">
        <v>1013</v>
      </c>
      <c r="S3081" s="125"/>
    </row>
    <row r="3082" spans="1:19" hidden="1">
      <c r="A3082" s="124" t="s">
        <v>5260</v>
      </c>
      <c r="B3082" s="138" t="str">
        <f ca="1"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 ca="1">IF(Proc[[#This Row],[type]]="LFF (MDG-F)",MID(Proc[[#This Row],[Obj]],13,10),"")</f>
        <v/>
      </c>
      <c r="J3082" s="125" t="b">
        <f ca="1">Proc[[#This Row],[Requested]]=Proc[[#This Row],[CurrentParent]]</f>
        <v>1</v>
      </c>
      <c r="K3082" s="125" t="str">
        <f ca="1"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26</v>
      </c>
      <c r="R3082" s="115" t="s">
        <v>1013</v>
      </c>
      <c r="S3082" s="125"/>
    </row>
    <row r="3083" spans="1:19" hidden="1">
      <c r="A3083" s="124" t="s">
        <v>5260</v>
      </c>
      <c r="B3083" s="138" t="str">
        <f ca="1"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 ca="1">IF(Proc[[#This Row],[type]]="LFF (MDG-F)",MID(Proc[[#This Row],[Obj]],13,10),"")</f>
        <v/>
      </c>
      <c r="J3083" s="125" t="b">
        <f ca="1">Proc[[#This Row],[Requested]]=Proc[[#This Row],[CurrentParent]]</f>
        <v>1</v>
      </c>
      <c r="K3083" s="125" t="str">
        <f ca="1"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26</v>
      </c>
      <c r="R3083" s="115" t="s">
        <v>1013</v>
      </c>
      <c r="S3083" s="125"/>
    </row>
    <row r="3084" spans="1:19" hidden="1">
      <c r="A3084" s="124" t="s">
        <v>5260</v>
      </c>
      <c r="B3084" s="138" t="str">
        <f ca="1"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 ca="1">IF(Proc[[#This Row],[type]]="LFF (MDG-F)",MID(Proc[[#This Row],[Obj]],13,10),"")</f>
        <v/>
      </c>
      <c r="J3084" s="125" t="b">
        <f ca="1">Proc[[#This Row],[Requested]]=Proc[[#This Row],[CurrentParent]]</f>
        <v>1</v>
      </c>
      <c r="K3084" s="125" t="str">
        <f ca="1"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26</v>
      </c>
      <c r="R3084" s="115" t="s">
        <v>1013</v>
      </c>
      <c r="S3084" s="125"/>
    </row>
    <row r="3085" spans="1:19" hidden="1">
      <c r="A3085" s="124" t="s">
        <v>5260</v>
      </c>
      <c r="B3085" s="138" t="str">
        <f ca="1"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 ca="1">IF(Proc[[#This Row],[type]]="LFF (MDG-F)",MID(Proc[[#This Row],[Obj]],13,10),"")</f>
        <v/>
      </c>
      <c r="J3085" s="125" t="b">
        <f ca="1">Proc[[#This Row],[Requested]]=Proc[[#This Row],[CurrentParent]]</f>
        <v>1</v>
      </c>
      <c r="K3085" s="125" t="str">
        <f ca="1"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26</v>
      </c>
      <c r="R3085" s="115" t="s">
        <v>1013</v>
      </c>
      <c r="S3085" s="125"/>
    </row>
    <row r="3086" spans="1:19" hidden="1">
      <c r="A3086" s="124" t="s">
        <v>5260</v>
      </c>
      <c r="B3086" s="138" t="str">
        <f ca="1"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 ca="1">IF(Proc[[#This Row],[type]]="LFF (MDG-F)",MID(Proc[[#This Row],[Obj]],13,10),"")</f>
        <v/>
      </c>
      <c r="J3086" s="125" t="b">
        <f ca="1">Proc[[#This Row],[Requested]]=Proc[[#This Row],[CurrentParent]]</f>
        <v>1</v>
      </c>
      <c r="K3086" s="125" t="str">
        <f ca="1"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26</v>
      </c>
      <c r="R3086" s="115" t="s">
        <v>1013</v>
      </c>
      <c r="S3086" s="125"/>
    </row>
    <row r="3087" spans="1:19" hidden="1">
      <c r="A3087" s="124" t="s">
        <v>5260</v>
      </c>
      <c r="B3087" s="138" t="str">
        <f ca="1"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 ca="1">IF(Proc[[#This Row],[type]]="LFF (MDG-F)",MID(Proc[[#This Row],[Obj]],13,10),"")</f>
        <v/>
      </c>
      <c r="J3087" s="125" t="b">
        <f ca="1">Proc[[#This Row],[Requested]]=Proc[[#This Row],[CurrentParent]]</f>
        <v>1</v>
      </c>
      <c r="K3087" s="125" t="str">
        <f ca="1"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26</v>
      </c>
      <c r="R3087" s="115" t="s">
        <v>1013</v>
      </c>
      <c r="S3087" s="125"/>
    </row>
    <row r="3088" spans="1:19" hidden="1">
      <c r="A3088" s="124" t="s">
        <v>5260</v>
      </c>
      <c r="B3088" s="138" t="str">
        <f ca="1"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 ca="1">IF(Proc[[#This Row],[type]]="LFF (MDG-F)",MID(Proc[[#This Row],[Obj]],13,10),"")</f>
        <v/>
      </c>
      <c r="J3088" s="125" t="b">
        <f ca="1">Proc[[#This Row],[Requested]]=Proc[[#This Row],[CurrentParent]]</f>
        <v>1</v>
      </c>
      <c r="K3088" s="125" t="str">
        <f ca="1"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26</v>
      </c>
      <c r="R3088" s="115" t="s">
        <v>1013</v>
      </c>
      <c r="S3088" s="125"/>
    </row>
    <row r="3089" spans="1:19" hidden="1">
      <c r="A3089" s="124" t="s">
        <v>5260</v>
      </c>
      <c r="B3089" s="138" t="str">
        <f ca="1"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 ca="1">IF(Proc[[#This Row],[type]]="LFF (MDG-F)",MID(Proc[[#This Row],[Obj]],13,10),"")</f>
        <v/>
      </c>
      <c r="J3089" s="125" t="b">
        <f ca="1">Proc[[#This Row],[Requested]]=Proc[[#This Row],[CurrentParent]]</f>
        <v>1</v>
      </c>
      <c r="K3089" s="125" t="str">
        <f ca="1"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26</v>
      </c>
      <c r="R3089" s="115" t="s">
        <v>1013</v>
      </c>
      <c r="S3089" s="125"/>
    </row>
    <row r="3090" spans="1:19" hidden="1">
      <c r="A3090" s="124" t="s">
        <v>5260</v>
      </c>
      <c r="B3090" s="138" t="str">
        <f ca="1"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 ca="1">IF(Proc[[#This Row],[type]]="LFF (MDG-F)",MID(Proc[[#This Row],[Obj]],13,10),"")</f>
        <v/>
      </c>
      <c r="J3090" s="125" t="b">
        <f ca="1">Proc[[#This Row],[Requested]]=Proc[[#This Row],[CurrentParent]]</f>
        <v>1</v>
      </c>
      <c r="K3090" s="125" t="str">
        <f ca="1"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26</v>
      </c>
      <c r="R3090" s="115" t="s">
        <v>1013</v>
      </c>
      <c r="S3090" s="125"/>
    </row>
    <row r="3091" spans="1:19" hidden="1">
      <c r="A3091" s="124" t="s">
        <v>5260</v>
      </c>
      <c r="B3091" s="138" t="str">
        <f ca="1"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 ca="1">IF(Proc[[#This Row],[type]]="LFF (MDG-F)",MID(Proc[[#This Row],[Obj]],13,10),"")</f>
        <v/>
      </c>
      <c r="J3091" s="125" t="b">
        <f ca="1">Proc[[#This Row],[Requested]]=Proc[[#This Row],[CurrentParent]]</f>
        <v>1</v>
      </c>
      <c r="K3091" s="125" t="str">
        <f ca="1"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26</v>
      </c>
      <c r="R3091" s="115" t="s">
        <v>1013</v>
      </c>
      <c r="S3091" s="125"/>
    </row>
    <row r="3092" spans="1:19" hidden="1">
      <c r="A3092" s="124" t="s">
        <v>5260</v>
      </c>
      <c r="B3092" s="138" t="str">
        <f ca="1"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 ca="1">IF(Proc[[#This Row],[type]]="LFF (MDG-F)",MID(Proc[[#This Row],[Obj]],13,10),"")</f>
        <v/>
      </c>
      <c r="J3092" s="125" t="b">
        <f ca="1">Proc[[#This Row],[Requested]]=Proc[[#This Row],[CurrentParent]]</f>
        <v>1</v>
      </c>
      <c r="K3092" s="125" t="str">
        <f ca="1"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26</v>
      </c>
      <c r="R3092" s="115" t="s">
        <v>1013</v>
      </c>
      <c r="S3092" s="125"/>
    </row>
    <row r="3093" spans="1:19" hidden="1">
      <c r="A3093" s="124" t="s">
        <v>5260</v>
      </c>
      <c r="B3093" s="138" t="str">
        <f ca="1"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 ca="1">IF(Proc[[#This Row],[type]]="LFF (MDG-F)",MID(Proc[[#This Row],[Obj]],13,10),"")</f>
        <v/>
      </c>
      <c r="J3093" s="125" t="b">
        <f ca="1">Proc[[#This Row],[Requested]]=Proc[[#This Row],[CurrentParent]]</f>
        <v>1</v>
      </c>
      <c r="K3093" s="125" t="str">
        <f ca="1"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26</v>
      </c>
      <c r="R3093" s="115" t="s">
        <v>1013</v>
      </c>
      <c r="S3093" s="125"/>
    </row>
    <row r="3094" spans="1:19" hidden="1">
      <c r="A3094" s="124" t="s">
        <v>5260</v>
      </c>
      <c r="B3094" s="138" t="str">
        <f ca="1"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 ca="1">IF(Proc[[#This Row],[type]]="LFF (MDG-F)",MID(Proc[[#This Row],[Obj]],13,10),"")</f>
        <v/>
      </c>
      <c r="J3094" s="125" t="b">
        <f ca="1">Proc[[#This Row],[Requested]]=Proc[[#This Row],[CurrentParent]]</f>
        <v>1</v>
      </c>
      <c r="K3094" s="125" t="str">
        <f ca="1"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26</v>
      </c>
      <c r="R3094" s="115" t="s">
        <v>1013</v>
      </c>
      <c r="S3094" s="125"/>
    </row>
    <row r="3095" spans="1:19" hidden="1">
      <c r="A3095" s="124" t="s">
        <v>5260</v>
      </c>
      <c r="B3095" s="138" t="str">
        <f ca="1"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 ca="1">IF(Proc[[#This Row],[type]]="LFF (MDG-F)",MID(Proc[[#This Row],[Obj]],13,10),"")</f>
        <v/>
      </c>
      <c r="J3095" s="125" t="b">
        <f ca="1">Proc[[#This Row],[Requested]]=Proc[[#This Row],[CurrentParent]]</f>
        <v>1</v>
      </c>
      <c r="K3095" s="125" t="str">
        <f ca="1"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26</v>
      </c>
      <c r="R3095" s="115" t="s">
        <v>1013</v>
      </c>
      <c r="S3095" s="125"/>
    </row>
    <row r="3096" spans="1:19" hidden="1">
      <c r="A3096" s="124" t="s">
        <v>5260</v>
      </c>
      <c r="B3096" s="138" t="str">
        <f ca="1"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 ca="1">IF(Proc[[#This Row],[type]]="LFF (MDG-F)",MID(Proc[[#This Row],[Obj]],13,10),"")</f>
        <v/>
      </c>
      <c r="J3096" s="125" t="b">
        <f ca="1">Proc[[#This Row],[Requested]]=Proc[[#This Row],[CurrentParent]]</f>
        <v>1</v>
      </c>
      <c r="K3096" s="125" t="str">
        <f ca="1"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26</v>
      </c>
      <c r="R3096" s="115" t="s">
        <v>1013</v>
      </c>
      <c r="S3096" s="125"/>
    </row>
    <row r="3097" spans="1:19" hidden="1">
      <c r="A3097" s="124" t="s">
        <v>5260</v>
      </c>
      <c r="B3097" s="138" t="str">
        <f ca="1"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 ca="1">IF(Proc[[#This Row],[type]]="LFF (MDG-F)",MID(Proc[[#This Row],[Obj]],13,10),"")</f>
        <v/>
      </c>
      <c r="J3097" s="125" t="b">
        <f ca="1">Proc[[#This Row],[Requested]]=Proc[[#This Row],[CurrentParent]]</f>
        <v>1</v>
      </c>
      <c r="K3097" s="125" t="str">
        <f ca="1"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26</v>
      </c>
      <c r="R3097" s="115" t="s">
        <v>1013</v>
      </c>
      <c r="S3097" s="125"/>
    </row>
    <row r="3098" spans="1:19" hidden="1">
      <c r="A3098" s="124" t="s">
        <v>5260</v>
      </c>
      <c r="B3098" s="138" t="str">
        <f ca="1"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 ca="1">IF(Proc[[#This Row],[type]]="LFF (MDG-F)",MID(Proc[[#This Row],[Obj]],13,10),"")</f>
        <v/>
      </c>
      <c r="J3098" s="125" t="b">
        <f ca="1">Proc[[#This Row],[Requested]]=Proc[[#This Row],[CurrentParent]]</f>
        <v>1</v>
      </c>
      <c r="K3098" s="125" t="str">
        <f ca="1"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26</v>
      </c>
      <c r="R3098" s="115" t="s">
        <v>1013</v>
      </c>
      <c r="S3098" s="125"/>
    </row>
    <row r="3099" spans="1:19" hidden="1">
      <c r="A3099" s="124" t="s">
        <v>5260</v>
      </c>
      <c r="B3099" s="138" t="str">
        <f ca="1"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 ca="1">IF(Proc[[#This Row],[type]]="LFF (MDG-F)",MID(Proc[[#This Row],[Obj]],13,10),"")</f>
        <v/>
      </c>
      <c r="J3099" s="125" t="b">
        <f ca="1">Proc[[#This Row],[Requested]]=Proc[[#This Row],[CurrentParent]]</f>
        <v>1</v>
      </c>
      <c r="K3099" s="125" t="str">
        <f ca="1"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26</v>
      </c>
      <c r="R3099" s="115" t="s">
        <v>1013</v>
      </c>
      <c r="S3099" s="125"/>
    </row>
    <row r="3100" spans="1:19" hidden="1">
      <c r="A3100" s="124" t="s">
        <v>5260</v>
      </c>
      <c r="B3100" s="138" t="str">
        <f ca="1"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 ca="1">IF(Proc[[#This Row],[type]]="LFF (MDG-F)",MID(Proc[[#This Row],[Obj]],13,10),"")</f>
        <v/>
      </c>
      <c r="J3100" s="125" t="b">
        <f ca="1">Proc[[#This Row],[Requested]]=Proc[[#This Row],[CurrentParent]]</f>
        <v>1</v>
      </c>
      <c r="K3100" s="125" t="str">
        <f ca="1"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26</v>
      </c>
      <c r="R3100" s="115" t="s">
        <v>1013</v>
      </c>
      <c r="S3100" s="125"/>
    </row>
    <row r="3101" spans="1:19" hidden="1">
      <c r="A3101" s="124" t="s">
        <v>5260</v>
      </c>
      <c r="B3101" s="138" t="str">
        <f ca="1"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 ca="1">IF(Proc[[#This Row],[type]]="LFF (MDG-F)",MID(Proc[[#This Row],[Obj]],13,10),"")</f>
        <v/>
      </c>
      <c r="J3101" s="125" t="b">
        <f ca="1">Proc[[#This Row],[Requested]]=Proc[[#This Row],[CurrentParent]]</f>
        <v>1</v>
      </c>
      <c r="K3101" s="125" t="str">
        <f ca="1"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26</v>
      </c>
      <c r="R3101" s="115" t="s">
        <v>1013</v>
      </c>
      <c r="S3101" s="125"/>
    </row>
    <row r="3102" spans="1:19" hidden="1">
      <c r="A3102" s="124" t="s">
        <v>5260</v>
      </c>
      <c r="B3102" s="138" t="str">
        <f ca="1"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 ca="1">IF(Proc[[#This Row],[type]]="LFF (MDG-F)",MID(Proc[[#This Row],[Obj]],13,10),"")</f>
        <v/>
      </c>
      <c r="J3102" s="125" t="b">
        <f ca="1">Proc[[#This Row],[Requested]]=Proc[[#This Row],[CurrentParent]]</f>
        <v>1</v>
      </c>
      <c r="K3102" s="125" t="str">
        <f ca="1"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26</v>
      </c>
      <c r="R3102" s="115" t="s">
        <v>1013</v>
      </c>
      <c r="S3102" s="125"/>
    </row>
    <row r="3103" spans="1:19" hidden="1">
      <c r="A3103" s="124" t="s">
        <v>5260</v>
      </c>
      <c r="B3103" s="138" t="str">
        <f ca="1"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 ca="1">IF(Proc[[#This Row],[type]]="LFF (MDG-F)",MID(Proc[[#This Row],[Obj]],13,10),"")</f>
        <v/>
      </c>
      <c r="J3103" s="125" t="b">
        <f ca="1">Proc[[#This Row],[Requested]]=Proc[[#This Row],[CurrentParent]]</f>
        <v>1</v>
      </c>
      <c r="K3103" s="125" t="str">
        <f ca="1"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26</v>
      </c>
      <c r="R3103" s="115" t="s">
        <v>1013</v>
      </c>
      <c r="S3103" s="125"/>
    </row>
    <row r="3104" spans="1:19" hidden="1">
      <c r="A3104" s="124" t="s">
        <v>5260</v>
      </c>
      <c r="B3104" s="138" t="str">
        <f ca="1"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 ca="1">IF(Proc[[#This Row],[type]]="LFF (MDG-F)",MID(Proc[[#This Row],[Obj]],13,10),"")</f>
        <v/>
      </c>
      <c r="J3104" s="125" t="b">
        <f ca="1">Proc[[#This Row],[Requested]]=Proc[[#This Row],[CurrentParent]]</f>
        <v>1</v>
      </c>
      <c r="K3104" s="125" t="str">
        <f ca="1"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26</v>
      </c>
      <c r="R3104" s="115" t="s">
        <v>1013</v>
      </c>
      <c r="S3104" s="125"/>
    </row>
    <row r="3105" spans="1:19" hidden="1">
      <c r="A3105" s="124" t="s">
        <v>5260</v>
      </c>
      <c r="B3105" s="138" t="str">
        <f ca="1"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 ca="1">IF(Proc[[#This Row],[type]]="LFF (MDG-F)",MID(Proc[[#This Row],[Obj]],13,10),"")</f>
        <v/>
      </c>
      <c r="J3105" s="125" t="b">
        <f ca="1">Proc[[#This Row],[Requested]]=Proc[[#This Row],[CurrentParent]]</f>
        <v>1</v>
      </c>
      <c r="K3105" s="125" t="str">
        <f ca="1"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26</v>
      </c>
      <c r="R3105" s="115" t="s">
        <v>1013</v>
      </c>
      <c r="S3105" s="125"/>
    </row>
    <row r="3106" spans="1:19" hidden="1">
      <c r="A3106" s="124" t="s">
        <v>5260</v>
      </c>
      <c r="B3106" s="138" t="str">
        <f ca="1"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 ca="1">IF(Proc[[#This Row],[type]]="LFF (MDG-F)",MID(Proc[[#This Row],[Obj]],13,10),"")</f>
        <v/>
      </c>
      <c r="J3106" s="125" t="b">
        <f ca="1">Proc[[#This Row],[Requested]]=Proc[[#This Row],[CurrentParent]]</f>
        <v>1</v>
      </c>
      <c r="K3106" s="125" t="str">
        <f ca="1"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26</v>
      </c>
      <c r="R3106" s="115" t="s">
        <v>1013</v>
      </c>
      <c r="S3106" s="125"/>
    </row>
    <row r="3107" spans="1:19" hidden="1">
      <c r="A3107" s="124" t="s">
        <v>5260</v>
      </c>
      <c r="B3107" s="138" t="str">
        <f ca="1"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 ca="1">IF(Proc[[#This Row],[type]]="LFF (MDG-F)",MID(Proc[[#This Row],[Obj]],13,10),"")</f>
        <v/>
      </c>
      <c r="J3107" s="125" t="b">
        <f ca="1">Proc[[#This Row],[Requested]]=Proc[[#This Row],[CurrentParent]]</f>
        <v>1</v>
      </c>
      <c r="K3107" s="125" t="str">
        <f ca="1"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26</v>
      </c>
      <c r="R3107" s="115" t="s">
        <v>1013</v>
      </c>
      <c r="S3107" s="125"/>
    </row>
    <row r="3108" spans="1:19" hidden="1">
      <c r="A3108" s="124" t="s">
        <v>5260</v>
      </c>
      <c r="B3108" s="138" t="str">
        <f ca="1"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 ca="1">IF(Proc[[#This Row],[type]]="LFF (MDG-F)",MID(Proc[[#This Row],[Obj]],13,10),"")</f>
        <v/>
      </c>
      <c r="J3108" s="125" t="b">
        <f ca="1">Proc[[#This Row],[Requested]]=Proc[[#This Row],[CurrentParent]]</f>
        <v>1</v>
      </c>
      <c r="K3108" s="125" t="str">
        <f ca="1"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26</v>
      </c>
      <c r="R3108" s="115" t="s">
        <v>1013</v>
      </c>
      <c r="S3108" s="125"/>
    </row>
    <row r="3109" spans="1:19" hidden="1">
      <c r="A3109" s="124" t="s">
        <v>5260</v>
      </c>
      <c r="B3109" s="138" t="str">
        <f ca="1"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 ca="1">IF(Proc[[#This Row],[type]]="LFF (MDG-F)",MID(Proc[[#This Row],[Obj]],13,10),"")</f>
        <v/>
      </c>
      <c r="J3109" s="125" t="b">
        <f ca="1">Proc[[#This Row],[Requested]]=Proc[[#This Row],[CurrentParent]]</f>
        <v>1</v>
      </c>
      <c r="K3109" s="125" t="str">
        <f ca="1"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26</v>
      </c>
      <c r="R3109" s="115" t="s">
        <v>1013</v>
      </c>
      <c r="S3109" s="125"/>
    </row>
    <row r="3110" spans="1:19" hidden="1">
      <c r="A3110" s="124" t="s">
        <v>5260</v>
      </c>
      <c r="B3110" s="138" t="str">
        <f ca="1"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 ca="1">IF(Proc[[#This Row],[type]]="LFF (MDG-F)",MID(Proc[[#This Row],[Obj]],13,10),"")</f>
        <v/>
      </c>
      <c r="J3110" s="125" t="b">
        <f ca="1">Proc[[#This Row],[Requested]]=Proc[[#This Row],[CurrentParent]]</f>
        <v>1</v>
      </c>
      <c r="K3110" s="125" t="str">
        <f ca="1"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26</v>
      </c>
      <c r="R3110" s="115" t="s">
        <v>1013</v>
      </c>
      <c r="S3110" s="125"/>
    </row>
    <row r="3111" spans="1:19" hidden="1">
      <c r="A3111" s="124" t="s">
        <v>5260</v>
      </c>
      <c r="B3111" s="138" t="str">
        <f ca="1"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 ca="1">IF(Proc[[#This Row],[type]]="LFF (MDG-F)",MID(Proc[[#This Row],[Obj]],13,10),"")</f>
        <v/>
      </c>
      <c r="J3111" s="125" t="b">
        <f ca="1">Proc[[#This Row],[Requested]]=Proc[[#This Row],[CurrentParent]]</f>
        <v>1</v>
      </c>
      <c r="K3111" s="125" t="str">
        <f ca="1"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26</v>
      </c>
      <c r="R3111" s="115" t="s">
        <v>1013</v>
      </c>
      <c r="S3111" s="125"/>
    </row>
    <row r="3112" spans="1:19" hidden="1">
      <c r="A3112" s="124" t="s">
        <v>5260</v>
      </c>
      <c r="B3112" s="138" t="str">
        <f ca="1"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 ca="1">IF(Proc[[#This Row],[type]]="LFF (MDG-F)",MID(Proc[[#This Row],[Obj]],13,10),"")</f>
        <v/>
      </c>
      <c r="J3112" s="125" t="b">
        <f ca="1">Proc[[#This Row],[Requested]]=Proc[[#This Row],[CurrentParent]]</f>
        <v>1</v>
      </c>
      <c r="K3112" s="125" t="str">
        <f ca="1"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26</v>
      </c>
      <c r="R3112" s="115" t="s">
        <v>1013</v>
      </c>
      <c r="S3112" s="125"/>
    </row>
    <row r="3113" spans="1:19" hidden="1">
      <c r="A3113" s="124" t="s">
        <v>5260</v>
      </c>
      <c r="B3113" s="138" t="str">
        <f ca="1"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 ca="1">IF(Proc[[#This Row],[type]]="LFF (MDG-F)",MID(Proc[[#This Row],[Obj]],13,10),"")</f>
        <v/>
      </c>
      <c r="J3113" s="125" t="b">
        <f ca="1">Proc[[#This Row],[Requested]]=Proc[[#This Row],[CurrentParent]]</f>
        <v>1</v>
      </c>
      <c r="K3113" s="125" t="str">
        <f ca="1"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26</v>
      </c>
      <c r="R3113" s="115" t="s">
        <v>1013</v>
      </c>
      <c r="S3113" s="125"/>
    </row>
    <row r="3114" spans="1:19" hidden="1">
      <c r="A3114" s="124" t="s">
        <v>5260</v>
      </c>
      <c r="B3114" s="138" t="str">
        <f ca="1"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 ca="1">IF(Proc[[#This Row],[type]]="LFF (MDG-F)",MID(Proc[[#This Row],[Obj]],13,10),"")</f>
        <v/>
      </c>
      <c r="J3114" s="125" t="b">
        <f ca="1">Proc[[#This Row],[Requested]]=Proc[[#This Row],[CurrentParent]]</f>
        <v>1</v>
      </c>
      <c r="K3114" s="125" t="str">
        <f ca="1"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26</v>
      </c>
      <c r="R3114" s="115" t="s">
        <v>1013</v>
      </c>
      <c r="S3114" s="125"/>
    </row>
    <row r="3115" spans="1:19" hidden="1">
      <c r="A3115" s="124" t="s">
        <v>5260</v>
      </c>
      <c r="B3115" s="138" t="str">
        <f ca="1"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 ca="1">IF(Proc[[#This Row],[type]]="LFF (MDG-F)",MID(Proc[[#This Row],[Obj]],13,10),"")</f>
        <v/>
      </c>
      <c r="J3115" s="125" t="b">
        <f ca="1">Proc[[#This Row],[Requested]]=Proc[[#This Row],[CurrentParent]]</f>
        <v>1</v>
      </c>
      <c r="K3115" s="125" t="str">
        <f ca="1"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26</v>
      </c>
      <c r="R3115" s="115" t="s">
        <v>1013</v>
      </c>
      <c r="S3115" s="125"/>
    </row>
    <row r="3116" spans="1:19" hidden="1">
      <c r="A3116" s="124" t="s">
        <v>5260</v>
      </c>
      <c r="B3116" s="138" t="str">
        <f ca="1"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 ca="1">IF(Proc[[#This Row],[type]]="LFF (MDG-F)",MID(Proc[[#This Row],[Obj]],13,10),"")</f>
        <v/>
      </c>
      <c r="J3116" s="125" t="b">
        <f ca="1">Proc[[#This Row],[Requested]]=Proc[[#This Row],[CurrentParent]]</f>
        <v>1</v>
      </c>
      <c r="K3116" s="125" t="str">
        <f ca="1"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26</v>
      </c>
      <c r="R3116" s="115" t="s">
        <v>1013</v>
      </c>
      <c r="S3116" s="125"/>
    </row>
    <row r="3117" spans="1:19" hidden="1">
      <c r="A3117" s="124" t="s">
        <v>5260</v>
      </c>
      <c r="B3117" s="138" t="str">
        <f ca="1"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 ca="1">IF(Proc[[#This Row],[type]]="LFF (MDG-F)",MID(Proc[[#This Row],[Obj]],13,10),"")</f>
        <v/>
      </c>
      <c r="J3117" s="125" t="b">
        <f ca="1">Proc[[#This Row],[Requested]]=Proc[[#This Row],[CurrentParent]]</f>
        <v>1</v>
      </c>
      <c r="K3117" s="125" t="str">
        <f ca="1"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26</v>
      </c>
      <c r="R3117" s="115" t="s">
        <v>1013</v>
      </c>
      <c r="S3117" s="125"/>
    </row>
    <row r="3118" spans="1:19" hidden="1">
      <c r="A3118" s="124" t="s">
        <v>5260</v>
      </c>
      <c r="B3118" s="138" t="str">
        <f ca="1"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 ca="1">IF(Proc[[#This Row],[type]]="LFF (MDG-F)",MID(Proc[[#This Row],[Obj]],13,10),"")</f>
        <v/>
      </c>
      <c r="J3118" s="125" t="b">
        <f ca="1">Proc[[#This Row],[Requested]]=Proc[[#This Row],[CurrentParent]]</f>
        <v>1</v>
      </c>
      <c r="K3118" s="125" t="str">
        <f ca="1"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26</v>
      </c>
      <c r="R3118" s="115" t="s">
        <v>1013</v>
      </c>
      <c r="S3118" s="125"/>
    </row>
    <row r="3119" spans="1:19" hidden="1">
      <c r="A3119" s="124" t="s">
        <v>5260</v>
      </c>
      <c r="B3119" s="138" t="str">
        <f ca="1"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 ca="1">IF(Proc[[#This Row],[type]]="LFF (MDG-F)",MID(Proc[[#This Row],[Obj]],13,10),"")</f>
        <v/>
      </c>
      <c r="J3119" s="125" t="b">
        <f ca="1">Proc[[#This Row],[Requested]]=Proc[[#This Row],[CurrentParent]]</f>
        <v>1</v>
      </c>
      <c r="K3119" s="125" t="str">
        <f ca="1"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26</v>
      </c>
      <c r="R3119" s="115" t="s">
        <v>1013</v>
      </c>
      <c r="S3119" s="125"/>
    </row>
    <row r="3120" spans="1:19" hidden="1">
      <c r="A3120" s="124" t="s">
        <v>5260</v>
      </c>
      <c r="B3120" s="138" t="str">
        <f ca="1"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 ca="1">IF(Proc[[#This Row],[type]]="LFF (MDG-F)",MID(Proc[[#This Row],[Obj]],13,10),"")</f>
        <v/>
      </c>
      <c r="J3120" s="125" t="b">
        <f ca="1">Proc[[#This Row],[Requested]]=Proc[[#This Row],[CurrentParent]]</f>
        <v>1</v>
      </c>
      <c r="K3120" s="125" t="str">
        <f ca="1"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26</v>
      </c>
      <c r="R3120" s="115" t="s">
        <v>1013</v>
      </c>
      <c r="S3120" s="125"/>
    </row>
    <row r="3121" spans="1:19" hidden="1">
      <c r="A3121" s="124" t="s">
        <v>5260</v>
      </c>
      <c r="B3121" s="138" t="str">
        <f ca="1"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 ca="1">IF(Proc[[#This Row],[type]]="LFF (MDG-F)",MID(Proc[[#This Row],[Obj]],13,10),"")</f>
        <v/>
      </c>
      <c r="J3121" s="125" t="b">
        <f ca="1">Proc[[#This Row],[Requested]]=Proc[[#This Row],[CurrentParent]]</f>
        <v>1</v>
      </c>
      <c r="K3121" s="125" t="str">
        <f ca="1"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26</v>
      </c>
      <c r="R3121" s="115" t="s">
        <v>1013</v>
      </c>
      <c r="S3121" s="125"/>
    </row>
    <row r="3122" spans="1:19" hidden="1">
      <c r="A3122" s="124" t="s">
        <v>5260</v>
      </c>
      <c r="B3122" s="138" t="str">
        <f ca="1"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 ca="1">IF(Proc[[#This Row],[type]]="LFF (MDG-F)",MID(Proc[[#This Row],[Obj]],13,10),"")</f>
        <v/>
      </c>
      <c r="J3122" s="125" t="b">
        <f ca="1">Proc[[#This Row],[Requested]]=Proc[[#This Row],[CurrentParent]]</f>
        <v>1</v>
      </c>
      <c r="K3122" s="125" t="str">
        <f ca="1"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26</v>
      </c>
      <c r="R3122" s="115" t="s">
        <v>1013</v>
      </c>
      <c r="S3122" s="125"/>
    </row>
    <row r="3123" spans="1:19" hidden="1">
      <c r="A3123" s="124" t="s">
        <v>5260</v>
      </c>
      <c r="B3123" s="138" t="str">
        <f ca="1"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 ca="1">IF(Proc[[#This Row],[type]]="LFF (MDG-F)",MID(Proc[[#This Row],[Obj]],13,10),"")</f>
        <v/>
      </c>
      <c r="J3123" s="125" t="b">
        <f ca="1">Proc[[#This Row],[Requested]]=Proc[[#This Row],[CurrentParent]]</f>
        <v>1</v>
      </c>
      <c r="K3123" s="125" t="str">
        <f ca="1"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26</v>
      </c>
      <c r="R3123" s="115" t="s">
        <v>1013</v>
      </c>
      <c r="S3123" s="125"/>
    </row>
    <row r="3124" spans="1:19" hidden="1">
      <c r="A3124" s="124" t="s">
        <v>5260</v>
      </c>
      <c r="B3124" s="138" t="str">
        <f ca="1"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 ca="1">IF(Proc[[#This Row],[type]]="LFF (MDG-F)",MID(Proc[[#This Row],[Obj]],13,10),"")</f>
        <v/>
      </c>
      <c r="J3124" s="125" t="b">
        <f ca="1">Proc[[#This Row],[Requested]]=Proc[[#This Row],[CurrentParent]]</f>
        <v>1</v>
      </c>
      <c r="K3124" s="125" t="str">
        <f ca="1"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26</v>
      </c>
      <c r="R3124" s="115" t="s">
        <v>1013</v>
      </c>
      <c r="S3124" s="125"/>
    </row>
    <row r="3125" spans="1:19" hidden="1">
      <c r="A3125" s="124" t="s">
        <v>5260</v>
      </c>
      <c r="B3125" s="138" t="str">
        <f ca="1"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 ca="1">IF(Proc[[#This Row],[type]]="LFF (MDG-F)",MID(Proc[[#This Row],[Obj]],13,10),"")</f>
        <v/>
      </c>
      <c r="J3125" s="125" t="b">
        <f ca="1">Proc[[#This Row],[Requested]]=Proc[[#This Row],[CurrentParent]]</f>
        <v>1</v>
      </c>
      <c r="K3125" s="125" t="str">
        <f ca="1"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26</v>
      </c>
      <c r="R3125" s="115" t="s">
        <v>1013</v>
      </c>
      <c r="S3125" s="125"/>
    </row>
    <row r="3126" spans="1:19" hidden="1">
      <c r="A3126" s="124" t="s">
        <v>5260</v>
      </c>
      <c r="B3126" s="138" t="str">
        <f ca="1"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 ca="1">IF(Proc[[#This Row],[type]]="LFF (MDG-F)",MID(Proc[[#This Row],[Obj]],13,10),"")</f>
        <v/>
      </c>
      <c r="J3126" s="125" t="b">
        <f ca="1">Proc[[#This Row],[Requested]]=Proc[[#This Row],[CurrentParent]]</f>
        <v>1</v>
      </c>
      <c r="K3126" s="125" t="str">
        <f ca="1"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26</v>
      </c>
      <c r="R3126" s="115" t="s">
        <v>1013</v>
      </c>
      <c r="S3126" s="125"/>
    </row>
    <row r="3127" spans="1:19" hidden="1">
      <c r="A3127" s="124" t="s">
        <v>5260</v>
      </c>
      <c r="B3127" s="138" t="str">
        <f ca="1"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 ca="1">IF(Proc[[#This Row],[type]]="LFF (MDG-F)",MID(Proc[[#This Row],[Obj]],13,10),"")</f>
        <v/>
      </c>
      <c r="J3127" s="125" t="b">
        <f ca="1">Proc[[#This Row],[Requested]]=Proc[[#This Row],[CurrentParent]]</f>
        <v>1</v>
      </c>
      <c r="K3127" s="125" t="str">
        <f ca="1"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26</v>
      </c>
      <c r="R3127" s="115" t="s">
        <v>1013</v>
      </c>
      <c r="S3127" s="125"/>
    </row>
    <row r="3128" spans="1:19" hidden="1">
      <c r="A3128" s="124" t="s">
        <v>5260</v>
      </c>
      <c r="B3128" s="138" t="str">
        <f ca="1"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 ca="1">IF(Proc[[#This Row],[type]]="LFF (MDG-F)",MID(Proc[[#This Row],[Obj]],13,10),"")</f>
        <v/>
      </c>
      <c r="J3128" s="125" t="b">
        <f ca="1">Proc[[#This Row],[Requested]]=Proc[[#This Row],[CurrentParent]]</f>
        <v>1</v>
      </c>
      <c r="K3128" s="125" t="str">
        <f ca="1"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26</v>
      </c>
      <c r="R3128" s="115" t="s">
        <v>1013</v>
      </c>
      <c r="S3128" s="125"/>
    </row>
    <row r="3129" spans="1:19" hidden="1">
      <c r="A3129" s="124" t="s">
        <v>5260</v>
      </c>
      <c r="B3129" s="138" t="str">
        <f ca="1"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 ca="1">IF(Proc[[#This Row],[type]]="LFF (MDG-F)",MID(Proc[[#This Row],[Obj]],13,10),"")</f>
        <v/>
      </c>
      <c r="J3129" s="125" t="b">
        <f ca="1">Proc[[#This Row],[Requested]]=Proc[[#This Row],[CurrentParent]]</f>
        <v>1</v>
      </c>
      <c r="K3129" s="125" t="str">
        <f ca="1"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26</v>
      </c>
      <c r="R3129" s="115" t="s">
        <v>1013</v>
      </c>
      <c r="S3129" s="125"/>
    </row>
    <row r="3130" spans="1:19" hidden="1">
      <c r="A3130" s="124" t="s">
        <v>5260</v>
      </c>
      <c r="B3130" s="138" t="str">
        <f ca="1"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 ca="1">IF(Proc[[#This Row],[type]]="LFF (MDG-F)",MID(Proc[[#This Row],[Obj]],13,10),"")</f>
        <v/>
      </c>
      <c r="J3130" s="125" t="b">
        <f ca="1">Proc[[#This Row],[Requested]]=Proc[[#This Row],[CurrentParent]]</f>
        <v>1</v>
      </c>
      <c r="K3130" s="125" t="str">
        <f ca="1"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26</v>
      </c>
      <c r="R3130" s="115" t="s">
        <v>1013</v>
      </c>
      <c r="S3130" s="125"/>
    </row>
    <row r="3131" spans="1:19" hidden="1">
      <c r="A3131" s="124" t="s">
        <v>5260</v>
      </c>
      <c r="B3131" s="138" t="str">
        <f ca="1"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 ca="1">IF(Proc[[#This Row],[type]]="LFF (MDG-F)",MID(Proc[[#This Row],[Obj]],13,10),"")</f>
        <v/>
      </c>
      <c r="J3131" s="125" t="b">
        <f ca="1">Proc[[#This Row],[Requested]]=Proc[[#This Row],[CurrentParent]]</f>
        <v>1</v>
      </c>
      <c r="K3131" s="125" t="str">
        <f ca="1"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26</v>
      </c>
      <c r="R3131" s="115" t="s">
        <v>1013</v>
      </c>
      <c r="S3131" s="125"/>
    </row>
    <row r="3132" spans="1:19" hidden="1">
      <c r="A3132" s="124" t="s">
        <v>5260</v>
      </c>
      <c r="B3132" s="138" t="str">
        <f ca="1"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 ca="1">IF(Proc[[#This Row],[type]]="LFF (MDG-F)",MID(Proc[[#This Row],[Obj]],13,10),"")</f>
        <v/>
      </c>
      <c r="J3132" s="125" t="b">
        <f ca="1">Proc[[#This Row],[Requested]]=Proc[[#This Row],[CurrentParent]]</f>
        <v>1</v>
      </c>
      <c r="K3132" s="125" t="str">
        <f ca="1"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26</v>
      </c>
      <c r="R3132" s="115" t="s">
        <v>1013</v>
      </c>
      <c r="S3132" s="125"/>
    </row>
    <row r="3133" spans="1:19" hidden="1">
      <c r="A3133" s="124" t="s">
        <v>5260</v>
      </c>
      <c r="B3133" s="138" t="str">
        <f ca="1"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 ca="1">IF(Proc[[#This Row],[type]]="LFF (MDG-F)",MID(Proc[[#This Row],[Obj]],13,10),"")</f>
        <v/>
      </c>
      <c r="J3133" s="125" t="b">
        <f ca="1">Proc[[#This Row],[Requested]]=Proc[[#This Row],[CurrentParent]]</f>
        <v>1</v>
      </c>
      <c r="K3133" s="125" t="str">
        <f ca="1"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26</v>
      </c>
      <c r="R3133" s="115" t="s">
        <v>1013</v>
      </c>
      <c r="S3133" s="125"/>
    </row>
    <row r="3134" spans="1:19" hidden="1">
      <c r="A3134" s="124" t="s">
        <v>5260</v>
      </c>
      <c r="B3134" s="138" t="str">
        <f ca="1"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 ca="1">IF(Proc[[#This Row],[type]]="LFF (MDG-F)",MID(Proc[[#This Row],[Obj]],13,10),"")</f>
        <v/>
      </c>
      <c r="J3134" s="125" t="b">
        <f ca="1">Proc[[#This Row],[Requested]]=Proc[[#This Row],[CurrentParent]]</f>
        <v>1</v>
      </c>
      <c r="K3134" s="125" t="str">
        <f ca="1"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26</v>
      </c>
      <c r="R3134" s="115" t="s">
        <v>1013</v>
      </c>
      <c r="S3134" s="125"/>
    </row>
    <row r="3135" spans="1:19" hidden="1">
      <c r="A3135" s="124" t="s">
        <v>5260</v>
      </c>
      <c r="B3135" s="138" t="str">
        <f ca="1"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 ca="1">IF(Proc[[#This Row],[type]]="LFF (MDG-F)",MID(Proc[[#This Row],[Obj]],13,10),"")</f>
        <v/>
      </c>
      <c r="J3135" s="125" t="b">
        <f ca="1">Proc[[#This Row],[Requested]]=Proc[[#This Row],[CurrentParent]]</f>
        <v>1</v>
      </c>
      <c r="K3135" s="125" t="str">
        <f ca="1"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26</v>
      </c>
      <c r="R3135" s="115" t="s">
        <v>1013</v>
      </c>
      <c r="S3135" s="125"/>
    </row>
    <row r="3136" spans="1:19" hidden="1">
      <c r="A3136" s="124" t="s">
        <v>5260</v>
      </c>
      <c r="B3136" s="138" t="str">
        <f ca="1"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 ca="1">IF(Proc[[#This Row],[type]]="LFF (MDG-F)",MID(Proc[[#This Row],[Obj]],13,10),"")</f>
        <v/>
      </c>
      <c r="J3136" s="125" t="b">
        <f ca="1">Proc[[#This Row],[Requested]]=Proc[[#This Row],[CurrentParent]]</f>
        <v>1</v>
      </c>
      <c r="K3136" s="125" t="str">
        <f ca="1"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26</v>
      </c>
      <c r="R3136" s="115" t="s">
        <v>1013</v>
      </c>
      <c r="S3136" s="125"/>
    </row>
    <row r="3137" spans="1:19" hidden="1">
      <c r="A3137" s="124" t="s">
        <v>5260</v>
      </c>
      <c r="B3137" s="138" t="str">
        <f ca="1"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 ca="1">IF(Proc[[#This Row],[type]]="LFF (MDG-F)",MID(Proc[[#This Row],[Obj]],13,10),"")</f>
        <v/>
      </c>
      <c r="J3137" s="125" t="b">
        <f ca="1">Proc[[#This Row],[Requested]]=Proc[[#This Row],[CurrentParent]]</f>
        <v>1</v>
      </c>
      <c r="K3137" s="125" t="str">
        <f ca="1"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26</v>
      </c>
      <c r="R3137" s="115" t="s">
        <v>1013</v>
      </c>
      <c r="S3137" s="125"/>
    </row>
    <row r="3138" spans="1:19" hidden="1">
      <c r="A3138" s="124" t="s">
        <v>5260</v>
      </c>
      <c r="B3138" s="138" t="str">
        <f ca="1"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 ca="1">IF(Proc[[#This Row],[type]]="LFF (MDG-F)",MID(Proc[[#This Row],[Obj]],13,10),"")</f>
        <v/>
      </c>
      <c r="J3138" s="125" t="b">
        <f ca="1">Proc[[#This Row],[Requested]]=Proc[[#This Row],[CurrentParent]]</f>
        <v>1</v>
      </c>
      <c r="K3138" s="125" t="str">
        <f ca="1"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26</v>
      </c>
      <c r="R3138" s="115" t="s">
        <v>1013</v>
      </c>
      <c r="S3138" s="125"/>
    </row>
    <row r="3139" spans="1:19" hidden="1">
      <c r="A3139" s="124" t="s">
        <v>5260</v>
      </c>
      <c r="B3139" s="138" t="str">
        <f ca="1"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 ca="1">IF(Proc[[#This Row],[type]]="LFF (MDG-F)",MID(Proc[[#This Row],[Obj]],13,10),"")</f>
        <v/>
      </c>
      <c r="J3139" s="125" t="b">
        <f ca="1">Proc[[#This Row],[Requested]]=Proc[[#This Row],[CurrentParent]]</f>
        <v>1</v>
      </c>
      <c r="K3139" s="125" t="str">
        <f ca="1"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26</v>
      </c>
      <c r="R3139" s="115" t="s">
        <v>1013</v>
      </c>
      <c r="S3139" s="125"/>
    </row>
    <row r="3140" spans="1:19" hidden="1">
      <c r="A3140" s="124" t="s">
        <v>5260</v>
      </c>
      <c r="B3140" s="138" t="str">
        <f ca="1"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 ca="1">IF(Proc[[#This Row],[type]]="LFF (MDG-F)",MID(Proc[[#This Row],[Obj]],13,10),"")</f>
        <v/>
      </c>
      <c r="J3140" s="125" t="b">
        <f ca="1">Proc[[#This Row],[Requested]]=Proc[[#This Row],[CurrentParent]]</f>
        <v>1</v>
      </c>
      <c r="K3140" s="125" t="str">
        <f ca="1"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26</v>
      </c>
      <c r="R3140" s="115" t="s">
        <v>1013</v>
      </c>
      <c r="S3140" s="125"/>
    </row>
    <row r="3141" spans="1:19" hidden="1">
      <c r="A3141" s="124" t="s">
        <v>5260</v>
      </c>
      <c r="B3141" s="138" t="str">
        <f ca="1"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 ca="1">IF(Proc[[#This Row],[type]]="LFF (MDG-F)",MID(Proc[[#This Row],[Obj]],13,10),"")</f>
        <v/>
      </c>
      <c r="J3141" s="125" t="b">
        <f ca="1">Proc[[#This Row],[Requested]]=Proc[[#This Row],[CurrentParent]]</f>
        <v>1</v>
      </c>
      <c r="K3141" s="125" t="str">
        <f ca="1"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26</v>
      </c>
      <c r="R3141" s="115" t="s">
        <v>1013</v>
      </c>
      <c r="S3141" s="125"/>
    </row>
    <row r="3142" spans="1:19" hidden="1">
      <c r="A3142" s="124" t="s">
        <v>5260</v>
      </c>
      <c r="B3142" s="138" t="str">
        <f ca="1"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 ca="1">IF(Proc[[#This Row],[type]]="LFF (MDG-F)",MID(Proc[[#This Row],[Obj]],13,10),"")</f>
        <v/>
      </c>
      <c r="J3142" s="125" t="b">
        <f ca="1">Proc[[#This Row],[Requested]]=Proc[[#This Row],[CurrentParent]]</f>
        <v>1</v>
      </c>
      <c r="K3142" s="125" t="str">
        <f ca="1"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26</v>
      </c>
      <c r="R3142" s="115" t="s">
        <v>1013</v>
      </c>
      <c r="S3142" s="125"/>
    </row>
    <row r="3143" spans="1:19" hidden="1">
      <c r="A3143" s="124" t="s">
        <v>5260</v>
      </c>
      <c r="B3143" s="138" t="str">
        <f ca="1"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 ca="1">IF(Proc[[#This Row],[type]]="LFF (MDG-F)",MID(Proc[[#This Row],[Obj]],13,10),"")</f>
        <v/>
      </c>
      <c r="J3143" s="125" t="b">
        <f ca="1">Proc[[#This Row],[Requested]]=Proc[[#This Row],[CurrentParent]]</f>
        <v>1</v>
      </c>
      <c r="K3143" s="125" t="str">
        <f ca="1"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26</v>
      </c>
      <c r="R3143" s="115" t="s">
        <v>1013</v>
      </c>
      <c r="S3143" s="125"/>
    </row>
    <row r="3144" spans="1:19" hidden="1">
      <c r="A3144" s="124" t="s">
        <v>5260</v>
      </c>
      <c r="B3144" s="138" t="str">
        <f ca="1"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 ca="1">IF(Proc[[#This Row],[type]]="LFF (MDG-F)",MID(Proc[[#This Row],[Obj]],13,10),"")</f>
        <v/>
      </c>
      <c r="J3144" s="125" t="b">
        <f ca="1">Proc[[#This Row],[Requested]]=Proc[[#This Row],[CurrentParent]]</f>
        <v>1</v>
      </c>
      <c r="K3144" s="125" t="str">
        <f ca="1"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26</v>
      </c>
      <c r="R3144" s="115" t="s">
        <v>1013</v>
      </c>
      <c r="S3144" s="125"/>
    </row>
    <row r="3145" spans="1:19" hidden="1">
      <c r="A3145" s="124" t="s">
        <v>5260</v>
      </c>
      <c r="B3145" s="138" t="str">
        <f ca="1"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 ca="1">IF(Proc[[#This Row],[type]]="LFF (MDG-F)",MID(Proc[[#This Row],[Obj]],13,10),"")</f>
        <v/>
      </c>
      <c r="J3145" s="125" t="b">
        <f ca="1">Proc[[#This Row],[Requested]]=Proc[[#This Row],[CurrentParent]]</f>
        <v>1</v>
      </c>
      <c r="K3145" s="125" t="str">
        <f ca="1"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26</v>
      </c>
      <c r="R3145" s="115" t="s">
        <v>1013</v>
      </c>
      <c r="S3145" s="125"/>
    </row>
    <row r="3146" spans="1:19" hidden="1">
      <c r="A3146" s="124" t="s">
        <v>5260</v>
      </c>
      <c r="B3146" s="138" t="str">
        <f ca="1"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 ca="1">IF(Proc[[#This Row],[type]]="LFF (MDG-F)",MID(Proc[[#This Row],[Obj]],13,10),"")</f>
        <v/>
      </c>
      <c r="J3146" s="125" t="b">
        <f ca="1">Proc[[#This Row],[Requested]]=Proc[[#This Row],[CurrentParent]]</f>
        <v>1</v>
      </c>
      <c r="K3146" s="125" t="str">
        <f ca="1"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26</v>
      </c>
      <c r="R3146" s="115" t="s">
        <v>1013</v>
      </c>
      <c r="S3146" s="125"/>
    </row>
    <row r="3147" spans="1:19" hidden="1">
      <c r="A3147" s="124" t="s">
        <v>5260</v>
      </c>
      <c r="B3147" s="138" t="str">
        <f ca="1"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 ca="1">IF(Proc[[#This Row],[type]]="LFF (MDG-F)",MID(Proc[[#This Row],[Obj]],13,10),"")</f>
        <v/>
      </c>
      <c r="J3147" s="125" t="b">
        <f ca="1">Proc[[#This Row],[Requested]]=Proc[[#This Row],[CurrentParent]]</f>
        <v>1</v>
      </c>
      <c r="K3147" s="125" t="str">
        <f ca="1"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26</v>
      </c>
      <c r="R3147" s="115" t="s">
        <v>1013</v>
      </c>
      <c r="S3147" s="125"/>
    </row>
    <row r="3148" spans="1:19" hidden="1">
      <c r="A3148" s="124" t="s">
        <v>5260</v>
      </c>
      <c r="B3148" s="138" t="str">
        <f ca="1"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 ca="1">IF(Proc[[#This Row],[type]]="LFF (MDG-F)",MID(Proc[[#This Row],[Obj]],13,10),"")</f>
        <v/>
      </c>
      <c r="J3148" s="125" t="b">
        <f ca="1">Proc[[#This Row],[Requested]]=Proc[[#This Row],[CurrentParent]]</f>
        <v>1</v>
      </c>
      <c r="K3148" s="125" t="str">
        <f ca="1"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26</v>
      </c>
      <c r="R3148" s="115" t="s">
        <v>1013</v>
      </c>
      <c r="S3148" s="125"/>
    </row>
    <row r="3149" spans="1:19" hidden="1">
      <c r="A3149" s="124" t="s">
        <v>5260</v>
      </c>
      <c r="B3149" s="138" t="str">
        <f ca="1"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 ca="1">IF(Proc[[#This Row],[type]]="LFF (MDG-F)",MID(Proc[[#This Row],[Obj]],13,10),"")</f>
        <v/>
      </c>
      <c r="J3149" s="125" t="b">
        <f ca="1">Proc[[#This Row],[Requested]]=Proc[[#This Row],[CurrentParent]]</f>
        <v>1</v>
      </c>
      <c r="K3149" s="125" t="str">
        <f ca="1"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26</v>
      </c>
      <c r="R3149" s="115" t="s">
        <v>1013</v>
      </c>
      <c r="S3149" s="125"/>
    </row>
    <row r="3150" spans="1:19" hidden="1">
      <c r="A3150" s="124" t="s">
        <v>5260</v>
      </c>
      <c r="B3150" s="138" t="str">
        <f ca="1"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 ca="1">IF(Proc[[#This Row],[type]]="LFF (MDG-F)",MID(Proc[[#This Row],[Obj]],13,10),"")</f>
        <v/>
      </c>
      <c r="J3150" s="125" t="b">
        <f ca="1">Proc[[#This Row],[Requested]]=Proc[[#This Row],[CurrentParent]]</f>
        <v>1</v>
      </c>
      <c r="K3150" s="125" t="str">
        <f ca="1"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26</v>
      </c>
      <c r="R3150" s="115" t="s">
        <v>1013</v>
      </c>
      <c r="S3150" s="125"/>
    </row>
    <row r="3151" spans="1:19" hidden="1">
      <c r="A3151" s="124" t="s">
        <v>5260</v>
      </c>
      <c r="B3151" s="138" t="str">
        <f ca="1"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 ca="1">IF(Proc[[#This Row],[type]]="LFF (MDG-F)",MID(Proc[[#This Row],[Obj]],13,10),"")</f>
        <v/>
      </c>
      <c r="J3151" s="125" t="b">
        <f ca="1">Proc[[#This Row],[Requested]]=Proc[[#This Row],[CurrentParent]]</f>
        <v>1</v>
      </c>
      <c r="K3151" s="125" t="str">
        <f ca="1"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26</v>
      </c>
      <c r="R3151" s="115" t="s">
        <v>1013</v>
      </c>
      <c r="S3151" s="125"/>
    </row>
    <row r="3152" spans="1:19" hidden="1">
      <c r="A3152" s="124" t="s">
        <v>5260</v>
      </c>
      <c r="B3152" s="138" t="str">
        <f ca="1"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 ca="1">IF(Proc[[#This Row],[type]]="LFF (MDG-F)",MID(Proc[[#This Row],[Obj]],13,10),"")</f>
        <v/>
      </c>
      <c r="J3152" s="125" t="b">
        <f ca="1">Proc[[#This Row],[Requested]]=Proc[[#This Row],[CurrentParent]]</f>
        <v>1</v>
      </c>
      <c r="K3152" s="125" t="str">
        <f ca="1"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26</v>
      </c>
      <c r="R3152" s="115" t="s">
        <v>1013</v>
      </c>
      <c r="S3152" s="125"/>
    </row>
    <row r="3153" spans="1:19" hidden="1">
      <c r="A3153" s="124" t="s">
        <v>5260</v>
      </c>
      <c r="B3153" s="138" t="str">
        <f ca="1"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 ca="1">IF(Proc[[#This Row],[type]]="LFF (MDG-F)",MID(Proc[[#This Row],[Obj]],13,10),"")</f>
        <v/>
      </c>
      <c r="J3153" s="125" t="b">
        <f ca="1">Proc[[#This Row],[Requested]]=Proc[[#This Row],[CurrentParent]]</f>
        <v>1</v>
      </c>
      <c r="K3153" s="125" t="str">
        <f ca="1"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26</v>
      </c>
      <c r="R3153" s="115" t="s">
        <v>1013</v>
      </c>
      <c r="S3153" s="125"/>
    </row>
    <row r="3154" spans="1:19" hidden="1">
      <c r="A3154" s="124" t="s">
        <v>5260</v>
      </c>
      <c r="B3154" s="138" t="str">
        <f ca="1"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 ca="1">IF(Proc[[#This Row],[type]]="LFF (MDG-F)",MID(Proc[[#This Row],[Obj]],13,10),"")</f>
        <v/>
      </c>
      <c r="J3154" s="125" t="b">
        <f ca="1">Proc[[#This Row],[Requested]]=Proc[[#This Row],[CurrentParent]]</f>
        <v>1</v>
      </c>
      <c r="K3154" s="125" t="str">
        <f ca="1"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26</v>
      </c>
      <c r="R3154" s="115" t="s">
        <v>1013</v>
      </c>
      <c r="S3154" s="125"/>
    </row>
    <row r="3155" spans="1:19" hidden="1">
      <c r="A3155" s="124" t="s">
        <v>5260</v>
      </c>
      <c r="B3155" s="138" t="str">
        <f ca="1"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 ca="1">IF(Proc[[#This Row],[type]]="LFF (MDG-F)",MID(Proc[[#This Row],[Obj]],13,10),"")</f>
        <v/>
      </c>
      <c r="J3155" s="125" t="b">
        <f ca="1">Proc[[#This Row],[Requested]]=Proc[[#This Row],[CurrentParent]]</f>
        <v>1</v>
      </c>
      <c r="K3155" s="125" t="str">
        <f ca="1"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26</v>
      </c>
      <c r="R3155" s="115" t="s">
        <v>1013</v>
      </c>
      <c r="S3155" s="125"/>
    </row>
    <row r="3156" spans="1:19" hidden="1">
      <c r="A3156" s="124" t="s">
        <v>5260</v>
      </c>
      <c r="B3156" s="138" t="str">
        <f ca="1"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 ca="1">IF(Proc[[#This Row],[type]]="LFF (MDG-F)",MID(Proc[[#This Row],[Obj]],13,10),"")</f>
        <v/>
      </c>
      <c r="J3156" s="125" t="b">
        <f ca="1">Proc[[#This Row],[Requested]]=Proc[[#This Row],[CurrentParent]]</f>
        <v>1</v>
      </c>
      <c r="K3156" s="125" t="str">
        <f ca="1"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26</v>
      </c>
      <c r="R3156" s="115" t="s">
        <v>1013</v>
      </c>
      <c r="S3156" s="125"/>
    </row>
    <row r="3157" spans="1:19" hidden="1">
      <c r="A3157" s="124" t="s">
        <v>5260</v>
      </c>
      <c r="B3157" s="138" t="str">
        <f ca="1"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 ca="1">IF(Proc[[#This Row],[type]]="LFF (MDG-F)",MID(Proc[[#This Row],[Obj]],13,10),"")</f>
        <v/>
      </c>
      <c r="J3157" s="125" t="b">
        <f ca="1">Proc[[#This Row],[Requested]]=Proc[[#This Row],[CurrentParent]]</f>
        <v>1</v>
      </c>
      <c r="K3157" s="125" t="str">
        <f ca="1"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26</v>
      </c>
      <c r="R3157" s="115" t="s">
        <v>1013</v>
      </c>
      <c r="S3157" s="125"/>
    </row>
    <row r="3158" spans="1:19" hidden="1">
      <c r="A3158" s="124" t="s">
        <v>5260</v>
      </c>
      <c r="B3158" s="138" t="str">
        <f ca="1"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 ca="1">IF(Proc[[#This Row],[type]]="LFF (MDG-F)",MID(Proc[[#This Row],[Obj]],13,10),"")</f>
        <v/>
      </c>
      <c r="J3158" s="125" t="b">
        <f ca="1">Proc[[#This Row],[Requested]]=Proc[[#This Row],[CurrentParent]]</f>
        <v>1</v>
      </c>
      <c r="K3158" s="125" t="str">
        <f ca="1"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26</v>
      </c>
      <c r="R3158" s="115" t="s">
        <v>1013</v>
      </c>
      <c r="S3158" s="125"/>
    </row>
    <row r="3159" spans="1:19" hidden="1">
      <c r="A3159" s="124" t="s">
        <v>5260</v>
      </c>
      <c r="B3159" s="138" t="str">
        <f ca="1"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 ca="1">IF(Proc[[#This Row],[type]]="LFF (MDG-F)",MID(Proc[[#This Row],[Obj]],13,10),"")</f>
        <v/>
      </c>
      <c r="J3159" s="125" t="b">
        <f ca="1">Proc[[#This Row],[Requested]]=Proc[[#This Row],[CurrentParent]]</f>
        <v>1</v>
      </c>
      <c r="K3159" s="125" t="str">
        <f ca="1"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26</v>
      </c>
      <c r="R3159" s="115" t="s">
        <v>1013</v>
      </c>
      <c r="S3159" s="125"/>
    </row>
    <row r="3160" spans="1:19" hidden="1">
      <c r="A3160" s="124" t="s">
        <v>5260</v>
      </c>
      <c r="B3160" s="138" t="str">
        <f ca="1"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 ca="1">IF(Proc[[#This Row],[type]]="LFF (MDG-F)",MID(Proc[[#This Row],[Obj]],13,10),"")</f>
        <v/>
      </c>
      <c r="J3160" s="125" t="b">
        <f ca="1">Proc[[#This Row],[Requested]]=Proc[[#This Row],[CurrentParent]]</f>
        <v>1</v>
      </c>
      <c r="K3160" s="125" t="str">
        <f ca="1"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26</v>
      </c>
      <c r="R3160" s="115" t="s">
        <v>1013</v>
      </c>
      <c r="S3160" s="125"/>
    </row>
    <row r="3161" spans="1:19" hidden="1">
      <c r="A3161" s="124" t="s">
        <v>5260</v>
      </c>
      <c r="B3161" s="138" t="str">
        <f ca="1"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 ca="1">IF(Proc[[#This Row],[type]]="LFF (MDG-F)",MID(Proc[[#This Row],[Obj]],13,10),"")</f>
        <v/>
      </c>
      <c r="J3161" s="125" t="b">
        <f ca="1">Proc[[#This Row],[Requested]]=Proc[[#This Row],[CurrentParent]]</f>
        <v>1</v>
      </c>
      <c r="K3161" s="125" t="str">
        <f ca="1"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26</v>
      </c>
      <c r="R3161" s="115" t="s">
        <v>1013</v>
      </c>
      <c r="S3161" s="125"/>
    </row>
    <row r="3162" spans="1:19" hidden="1">
      <c r="A3162" s="124" t="s">
        <v>5260</v>
      </c>
      <c r="B3162" s="138" t="str">
        <f ca="1"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 ca="1">IF(Proc[[#This Row],[type]]="LFF (MDG-F)",MID(Proc[[#This Row],[Obj]],13,10),"")</f>
        <v/>
      </c>
      <c r="J3162" s="125" t="b">
        <f ca="1">Proc[[#This Row],[Requested]]=Proc[[#This Row],[CurrentParent]]</f>
        <v>1</v>
      </c>
      <c r="K3162" s="125" t="str">
        <f ca="1"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26</v>
      </c>
      <c r="R3162" s="115" t="s">
        <v>1013</v>
      </c>
      <c r="S3162" s="125"/>
    </row>
    <row r="3163" spans="1:19" hidden="1">
      <c r="A3163" s="124" t="s">
        <v>5260</v>
      </c>
      <c r="B3163" s="138" t="str">
        <f ca="1"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 ca="1">IF(Proc[[#This Row],[type]]="LFF (MDG-F)",MID(Proc[[#This Row],[Obj]],13,10),"")</f>
        <v/>
      </c>
      <c r="J3163" s="125" t="b">
        <f ca="1">Proc[[#This Row],[Requested]]=Proc[[#This Row],[CurrentParent]]</f>
        <v>1</v>
      </c>
      <c r="K3163" s="125" t="str">
        <f ca="1"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26</v>
      </c>
      <c r="R3163" s="115" t="s">
        <v>1013</v>
      </c>
      <c r="S3163" s="125"/>
    </row>
    <row r="3164" spans="1:19" hidden="1">
      <c r="A3164" s="124" t="s">
        <v>5260</v>
      </c>
      <c r="B3164" s="138" t="str">
        <f ca="1"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 ca="1">IF(Proc[[#This Row],[type]]="LFF (MDG-F)",MID(Proc[[#This Row],[Obj]],13,10),"")</f>
        <v/>
      </c>
      <c r="J3164" s="125" t="b">
        <f ca="1">Proc[[#This Row],[Requested]]=Proc[[#This Row],[CurrentParent]]</f>
        <v>1</v>
      </c>
      <c r="K3164" s="125" t="str">
        <f ca="1"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26</v>
      </c>
      <c r="R3164" s="115" t="s">
        <v>1013</v>
      </c>
      <c r="S3164" s="125"/>
    </row>
    <row r="3165" spans="1:19" hidden="1">
      <c r="A3165" s="124" t="s">
        <v>5260</v>
      </c>
      <c r="B3165" s="138" t="str">
        <f ca="1"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 ca="1">IF(Proc[[#This Row],[type]]="LFF (MDG-F)",MID(Proc[[#This Row],[Obj]],13,10),"")</f>
        <v/>
      </c>
      <c r="J3165" s="125" t="b">
        <f ca="1">Proc[[#This Row],[Requested]]=Proc[[#This Row],[CurrentParent]]</f>
        <v>1</v>
      </c>
      <c r="K3165" s="125" t="str">
        <f ca="1"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26</v>
      </c>
      <c r="R3165" s="115" t="s">
        <v>1013</v>
      </c>
      <c r="S3165" s="125"/>
    </row>
    <row r="3166" spans="1:19" hidden="1">
      <c r="A3166" s="124" t="s">
        <v>5260</v>
      </c>
      <c r="B3166" s="138" t="str">
        <f ca="1"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 ca="1">IF(Proc[[#This Row],[type]]="LFF (MDG-F)",MID(Proc[[#This Row],[Obj]],13,10),"")</f>
        <v/>
      </c>
      <c r="J3166" s="125" t="b">
        <f ca="1">Proc[[#This Row],[Requested]]=Proc[[#This Row],[CurrentParent]]</f>
        <v>1</v>
      </c>
      <c r="K3166" s="125" t="str">
        <f ca="1"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26</v>
      </c>
      <c r="R3166" s="115" t="s">
        <v>1013</v>
      </c>
      <c r="S3166" s="125"/>
    </row>
    <row r="3167" spans="1:19" hidden="1">
      <c r="A3167" s="124" t="s">
        <v>5260</v>
      </c>
      <c r="B3167" s="138" t="str">
        <f ca="1"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 ca="1">IF(Proc[[#This Row],[type]]="LFF (MDG-F)",MID(Proc[[#This Row],[Obj]],13,10),"")</f>
        <v/>
      </c>
      <c r="J3167" s="125" t="b">
        <f ca="1">Proc[[#This Row],[Requested]]=Proc[[#This Row],[CurrentParent]]</f>
        <v>1</v>
      </c>
      <c r="K3167" s="125" t="str">
        <f ca="1"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26</v>
      </c>
      <c r="R3167" s="115" t="s">
        <v>1013</v>
      </c>
      <c r="S3167" s="125"/>
    </row>
    <row r="3168" spans="1:19" hidden="1">
      <c r="A3168" s="124" t="s">
        <v>5260</v>
      </c>
      <c r="B3168" s="138" t="str">
        <f ca="1"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 ca="1">IF(Proc[[#This Row],[type]]="LFF (MDG-F)",MID(Proc[[#This Row],[Obj]],13,10),"")</f>
        <v/>
      </c>
      <c r="J3168" s="125" t="b">
        <f ca="1">Proc[[#This Row],[Requested]]=Proc[[#This Row],[CurrentParent]]</f>
        <v>1</v>
      </c>
      <c r="K3168" s="125" t="str">
        <f ca="1"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26</v>
      </c>
      <c r="R3168" s="115" t="s">
        <v>1013</v>
      </c>
      <c r="S3168" s="125"/>
    </row>
    <row r="3169" spans="1:19" hidden="1">
      <c r="A3169" s="124" t="s">
        <v>5260</v>
      </c>
      <c r="B3169" s="138" t="str">
        <f ca="1"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 ca="1">IF(Proc[[#This Row],[type]]="LFF (MDG-F)",MID(Proc[[#This Row],[Obj]],13,10),"")</f>
        <v/>
      </c>
      <c r="J3169" s="125" t="b">
        <f ca="1">Proc[[#This Row],[Requested]]=Proc[[#This Row],[CurrentParent]]</f>
        <v>1</v>
      </c>
      <c r="K3169" s="125" t="str">
        <f ca="1"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26</v>
      </c>
      <c r="R3169" s="115" t="s">
        <v>1013</v>
      </c>
      <c r="S3169" s="125"/>
    </row>
    <row r="3170" spans="1:19" hidden="1">
      <c r="A3170" s="124" t="s">
        <v>5260</v>
      </c>
      <c r="B3170" s="138" t="str">
        <f ca="1"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 ca="1">IF(Proc[[#This Row],[type]]="LFF (MDG-F)",MID(Proc[[#This Row],[Obj]],13,10),"")</f>
        <v/>
      </c>
      <c r="J3170" s="125" t="b">
        <f ca="1">Proc[[#This Row],[Requested]]=Proc[[#This Row],[CurrentParent]]</f>
        <v>1</v>
      </c>
      <c r="K3170" s="125" t="str">
        <f ca="1"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26</v>
      </c>
      <c r="R3170" s="115" t="s">
        <v>1013</v>
      </c>
      <c r="S3170" s="125"/>
    </row>
    <row r="3171" spans="1:19" hidden="1">
      <c r="A3171" s="124" t="s">
        <v>5260</v>
      </c>
      <c r="B3171" s="138" t="str">
        <f ca="1"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 ca="1">IF(Proc[[#This Row],[type]]="LFF (MDG-F)",MID(Proc[[#This Row],[Obj]],13,10),"")</f>
        <v/>
      </c>
      <c r="J3171" s="125" t="b">
        <f ca="1">Proc[[#This Row],[Requested]]=Proc[[#This Row],[CurrentParent]]</f>
        <v>1</v>
      </c>
      <c r="K3171" s="125" t="str">
        <f ca="1"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26</v>
      </c>
      <c r="R3171" s="115" t="s">
        <v>1013</v>
      </c>
      <c r="S3171" s="125"/>
    </row>
    <row r="3172" spans="1:19" hidden="1">
      <c r="A3172" s="124" t="s">
        <v>5260</v>
      </c>
      <c r="B3172" s="138" t="str">
        <f ca="1"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 ca="1">IF(Proc[[#This Row],[type]]="LFF (MDG-F)",MID(Proc[[#This Row],[Obj]],13,10),"")</f>
        <v/>
      </c>
      <c r="J3172" s="125" t="b">
        <f ca="1">Proc[[#This Row],[Requested]]=Proc[[#This Row],[CurrentParent]]</f>
        <v>1</v>
      </c>
      <c r="K3172" s="125" t="str">
        <f ca="1"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26</v>
      </c>
      <c r="R3172" s="115" t="s">
        <v>1013</v>
      </c>
      <c r="S3172" s="125"/>
    </row>
    <row r="3173" spans="1:19" hidden="1">
      <c r="A3173" s="124" t="s">
        <v>5260</v>
      </c>
      <c r="B3173" s="138" t="str">
        <f ca="1"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 ca="1">IF(Proc[[#This Row],[type]]="LFF (MDG-F)",MID(Proc[[#This Row],[Obj]],13,10),"")</f>
        <v/>
      </c>
      <c r="J3173" s="125" t="b">
        <f ca="1">Proc[[#This Row],[Requested]]=Proc[[#This Row],[CurrentParent]]</f>
        <v>1</v>
      </c>
      <c r="K3173" s="125" t="str">
        <f ca="1"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26</v>
      </c>
      <c r="R3173" s="115" t="s">
        <v>1013</v>
      </c>
      <c r="S3173" s="125"/>
    </row>
    <row r="3174" spans="1:19" hidden="1">
      <c r="A3174" s="124" t="s">
        <v>5260</v>
      </c>
      <c r="B3174" s="138" t="str">
        <f ca="1"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 ca="1">IF(Proc[[#This Row],[type]]="LFF (MDG-F)",MID(Proc[[#This Row],[Obj]],13,10),"")</f>
        <v/>
      </c>
      <c r="J3174" s="125" t="b">
        <f ca="1">Proc[[#This Row],[Requested]]=Proc[[#This Row],[CurrentParent]]</f>
        <v>1</v>
      </c>
      <c r="K3174" s="125" t="str">
        <f ca="1"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26</v>
      </c>
      <c r="R3174" s="115" t="s">
        <v>1013</v>
      </c>
      <c r="S3174" s="125"/>
    </row>
    <row r="3175" spans="1:19" hidden="1">
      <c r="A3175" s="124" t="s">
        <v>5260</v>
      </c>
      <c r="B3175" s="138" t="str">
        <f ca="1"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 ca="1">IF(Proc[[#This Row],[type]]="LFF (MDG-F)",MID(Proc[[#This Row],[Obj]],13,10),"")</f>
        <v/>
      </c>
      <c r="J3175" s="125" t="b">
        <f ca="1">Proc[[#This Row],[Requested]]=Proc[[#This Row],[CurrentParent]]</f>
        <v>1</v>
      </c>
      <c r="K3175" s="125" t="str">
        <f ca="1"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26</v>
      </c>
      <c r="R3175" s="115" t="s">
        <v>1013</v>
      </c>
      <c r="S3175" s="125"/>
    </row>
    <row r="3176" spans="1:19" hidden="1">
      <c r="A3176" s="124" t="s">
        <v>5260</v>
      </c>
      <c r="B3176" s="138" t="str">
        <f ca="1"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 ca="1">IF(Proc[[#This Row],[type]]="LFF (MDG-F)",MID(Proc[[#This Row],[Obj]],13,10),"")</f>
        <v/>
      </c>
      <c r="J3176" s="125" t="b">
        <f ca="1">Proc[[#This Row],[Requested]]=Proc[[#This Row],[CurrentParent]]</f>
        <v>1</v>
      </c>
      <c r="K3176" s="125" t="str">
        <f ca="1"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26</v>
      </c>
      <c r="R3176" s="115" t="s">
        <v>1013</v>
      </c>
      <c r="S3176" s="125"/>
    </row>
    <row r="3177" spans="1:19" hidden="1">
      <c r="A3177" s="124" t="s">
        <v>5260</v>
      </c>
      <c r="B3177" s="138" t="str">
        <f ca="1"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 ca="1">IF(Proc[[#This Row],[type]]="LFF (MDG-F)",MID(Proc[[#This Row],[Obj]],13,10),"")</f>
        <v/>
      </c>
      <c r="J3177" s="125" t="b">
        <f ca="1">Proc[[#This Row],[Requested]]=Proc[[#This Row],[CurrentParent]]</f>
        <v>1</v>
      </c>
      <c r="K3177" s="125" t="str">
        <f ca="1"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26</v>
      </c>
      <c r="R3177" s="115" t="s">
        <v>1013</v>
      </c>
      <c r="S3177" s="125"/>
    </row>
    <row r="3178" spans="1:19" hidden="1">
      <c r="A3178" s="124" t="s">
        <v>5260</v>
      </c>
      <c r="B3178" s="138" t="str">
        <f ca="1"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 ca="1">IF(Proc[[#This Row],[type]]="LFF (MDG-F)",MID(Proc[[#This Row],[Obj]],13,10),"")</f>
        <v/>
      </c>
      <c r="J3178" s="125" t="b">
        <f ca="1">Proc[[#This Row],[Requested]]=Proc[[#This Row],[CurrentParent]]</f>
        <v>1</v>
      </c>
      <c r="K3178" s="125" t="str">
        <f ca="1"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26</v>
      </c>
      <c r="R3178" s="115" t="s">
        <v>1013</v>
      </c>
      <c r="S3178" s="125"/>
    </row>
    <row r="3179" spans="1:19" hidden="1">
      <c r="A3179" s="124" t="s">
        <v>5260</v>
      </c>
      <c r="B3179" s="138" t="str">
        <f ca="1"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 ca="1">IF(Proc[[#This Row],[type]]="LFF (MDG-F)",MID(Proc[[#This Row],[Obj]],13,10),"")</f>
        <v/>
      </c>
      <c r="J3179" s="125" t="b">
        <f ca="1">Proc[[#This Row],[Requested]]=Proc[[#This Row],[CurrentParent]]</f>
        <v>1</v>
      </c>
      <c r="K3179" s="125" t="str">
        <f ca="1"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26</v>
      </c>
      <c r="R3179" s="115" t="s">
        <v>1013</v>
      </c>
      <c r="S3179" s="125"/>
    </row>
    <row r="3180" spans="1:19" hidden="1">
      <c r="A3180" s="124" t="s">
        <v>5260</v>
      </c>
      <c r="B3180" s="138" t="str">
        <f ca="1"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 ca="1">IF(Proc[[#This Row],[type]]="LFF (MDG-F)",MID(Proc[[#This Row],[Obj]],13,10),"")</f>
        <v/>
      </c>
      <c r="J3180" s="125" t="b">
        <f ca="1">Proc[[#This Row],[Requested]]=Proc[[#This Row],[CurrentParent]]</f>
        <v>1</v>
      </c>
      <c r="K3180" s="125" t="str">
        <f ca="1"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26</v>
      </c>
      <c r="R3180" s="115" t="s">
        <v>1013</v>
      </c>
      <c r="S3180" s="125"/>
    </row>
    <row r="3181" spans="1:19" hidden="1">
      <c r="A3181" s="124" t="s">
        <v>5260</v>
      </c>
      <c r="B3181" s="138" t="str">
        <f ca="1"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 ca="1">IF(Proc[[#This Row],[type]]="LFF (MDG-F)",MID(Proc[[#This Row],[Obj]],13,10),"")</f>
        <v/>
      </c>
      <c r="J3181" s="125" t="b">
        <f ca="1">Proc[[#This Row],[Requested]]=Proc[[#This Row],[CurrentParent]]</f>
        <v>1</v>
      </c>
      <c r="K3181" s="125" t="str">
        <f ca="1"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26</v>
      </c>
      <c r="R3181" s="115" t="s">
        <v>1013</v>
      </c>
      <c r="S3181" s="125"/>
    </row>
    <row r="3182" spans="1:19" hidden="1">
      <c r="A3182" s="124" t="s">
        <v>5260</v>
      </c>
      <c r="B3182" s="138" t="str">
        <f ca="1"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 ca="1">IF(Proc[[#This Row],[type]]="LFF (MDG-F)",MID(Proc[[#This Row],[Obj]],13,10),"")</f>
        <v/>
      </c>
      <c r="J3182" s="125" t="b">
        <f ca="1">Proc[[#This Row],[Requested]]=Proc[[#This Row],[CurrentParent]]</f>
        <v>1</v>
      </c>
      <c r="K3182" s="125" t="str">
        <f ca="1"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26</v>
      </c>
      <c r="R3182" s="115" t="s">
        <v>1013</v>
      </c>
      <c r="S3182" s="125"/>
    </row>
    <row r="3183" spans="1:19" hidden="1">
      <c r="A3183" s="124" t="s">
        <v>5260</v>
      </c>
      <c r="B3183" s="138" t="str">
        <f ca="1"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 ca="1">IF(Proc[[#This Row],[type]]="LFF (MDG-F)",MID(Proc[[#This Row],[Obj]],13,10),"")</f>
        <v/>
      </c>
      <c r="J3183" s="125" t="b">
        <f ca="1">Proc[[#This Row],[Requested]]=Proc[[#This Row],[CurrentParent]]</f>
        <v>1</v>
      </c>
      <c r="K3183" s="125" t="str">
        <f ca="1"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26</v>
      </c>
      <c r="R3183" s="115" t="s">
        <v>1013</v>
      </c>
      <c r="S3183" s="125"/>
    </row>
    <row r="3184" spans="1:19" hidden="1">
      <c r="A3184" s="124" t="s">
        <v>5260</v>
      </c>
      <c r="B3184" s="138" t="str">
        <f ca="1"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 ca="1">IF(Proc[[#This Row],[type]]="LFF (MDG-F)",MID(Proc[[#This Row],[Obj]],13,10),"")</f>
        <v/>
      </c>
      <c r="J3184" s="125" t="b">
        <f ca="1">Proc[[#This Row],[Requested]]=Proc[[#This Row],[CurrentParent]]</f>
        <v>1</v>
      </c>
      <c r="K3184" s="125" t="str">
        <f ca="1"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26</v>
      </c>
      <c r="R3184" s="115" t="s">
        <v>1013</v>
      </c>
      <c r="S3184" s="125"/>
    </row>
    <row r="3185" spans="1:19" hidden="1">
      <c r="A3185" s="124" t="s">
        <v>5260</v>
      </c>
      <c r="B3185" s="138" t="str">
        <f ca="1"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 ca="1">IF(Proc[[#This Row],[type]]="LFF (MDG-F)",MID(Proc[[#This Row],[Obj]],13,10),"")</f>
        <v/>
      </c>
      <c r="J3185" s="125" t="b">
        <f ca="1">Proc[[#This Row],[Requested]]=Proc[[#This Row],[CurrentParent]]</f>
        <v>1</v>
      </c>
      <c r="K3185" s="125" t="str">
        <f ca="1"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26</v>
      </c>
      <c r="R3185" s="115" t="s">
        <v>1013</v>
      </c>
      <c r="S3185" s="125"/>
    </row>
    <row r="3186" spans="1:19" hidden="1">
      <c r="A3186" s="124" t="s">
        <v>5260</v>
      </c>
      <c r="B3186" s="138" t="str">
        <f ca="1"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 ca="1">IF(Proc[[#This Row],[type]]="LFF (MDG-F)",MID(Proc[[#This Row],[Obj]],13,10),"")</f>
        <v/>
      </c>
      <c r="J3186" s="125" t="b">
        <f ca="1">Proc[[#This Row],[Requested]]=Proc[[#This Row],[CurrentParent]]</f>
        <v>1</v>
      </c>
      <c r="K3186" s="125" t="str">
        <f ca="1"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26</v>
      </c>
      <c r="R3186" s="115" t="s">
        <v>1013</v>
      </c>
      <c r="S3186" s="125"/>
    </row>
    <row r="3187" spans="1:19" hidden="1">
      <c r="A3187" s="124" t="s">
        <v>5260</v>
      </c>
      <c r="B3187" s="138" t="str">
        <f ca="1"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 ca="1">IF(Proc[[#This Row],[type]]="LFF (MDG-F)",MID(Proc[[#This Row],[Obj]],13,10),"")</f>
        <v/>
      </c>
      <c r="J3187" s="125" t="b">
        <f ca="1">Proc[[#This Row],[Requested]]=Proc[[#This Row],[CurrentParent]]</f>
        <v>1</v>
      </c>
      <c r="K3187" s="125" t="str">
        <f ca="1"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26</v>
      </c>
      <c r="R3187" s="115" t="s">
        <v>1013</v>
      </c>
      <c r="S3187" s="125"/>
    </row>
    <row r="3188" spans="1:19" hidden="1">
      <c r="A3188" s="124" t="s">
        <v>5260</v>
      </c>
      <c r="B3188" s="138" t="str">
        <f ca="1"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 ca="1">IF(Proc[[#This Row],[type]]="LFF (MDG-F)",MID(Proc[[#This Row],[Obj]],13,10),"")</f>
        <v/>
      </c>
      <c r="J3188" s="125" t="b">
        <f ca="1">Proc[[#This Row],[Requested]]=Proc[[#This Row],[CurrentParent]]</f>
        <v>1</v>
      </c>
      <c r="K3188" s="125" t="str">
        <f ca="1"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26</v>
      </c>
      <c r="R3188" s="115" t="s">
        <v>1013</v>
      </c>
      <c r="S3188" s="125"/>
    </row>
    <row r="3189" spans="1:19" hidden="1">
      <c r="A3189" s="124" t="s">
        <v>5260</v>
      </c>
      <c r="B3189" s="138" t="str">
        <f ca="1"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 ca="1">IF(Proc[[#This Row],[type]]="LFF (MDG-F)",MID(Proc[[#This Row],[Obj]],13,10),"")</f>
        <v/>
      </c>
      <c r="J3189" s="125" t="b">
        <f ca="1">Proc[[#This Row],[Requested]]=Proc[[#This Row],[CurrentParent]]</f>
        <v>1</v>
      </c>
      <c r="K3189" s="125" t="str">
        <f ca="1"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26</v>
      </c>
      <c r="R3189" s="115" t="s">
        <v>1013</v>
      </c>
      <c r="S3189" s="125"/>
    </row>
    <row r="3190" spans="1:19" hidden="1">
      <c r="A3190" s="124" t="s">
        <v>5260</v>
      </c>
      <c r="B3190" s="138" t="str">
        <f ca="1"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 ca="1">IF(Proc[[#This Row],[type]]="LFF (MDG-F)",MID(Proc[[#This Row],[Obj]],13,10),"")</f>
        <v/>
      </c>
      <c r="J3190" s="125" t="b">
        <f ca="1">Proc[[#This Row],[Requested]]=Proc[[#This Row],[CurrentParent]]</f>
        <v>1</v>
      </c>
      <c r="K3190" s="125" t="str">
        <f ca="1"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26</v>
      </c>
      <c r="R3190" s="115" t="s">
        <v>1013</v>
      </c>
      <c r="S3190" s="125"/>
    </row>
    <row r="3191" spans="1:19" hidden="1">
      <c r="A3191" s="124" t="s">
        <v>5260</v>
      </c>
      <c r="B3191" s="138" t="str">
        <f ca="1"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 ca="1">IF(Proc[[#This Row],[type]]="LFF (MDG-F)",MID(Proc[[#This Row],[Obj]],13,10),"")</f>
        <v/>
      </c>
      <c r="J3191" s="125" t="b">
        <f ca="1">Proc[[#This Row],[Requested]]=Proc[[#This Row],[CurrentParent]]</f>
        <v>1</v>
      </c>
      <c r="K3191" s="125" t="str">
        <f ca="1"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26</v>
      </c>
      <c r="R3191" s="115" t="s">
        <v>1013</v>
      </c>
      <c r="S3191" s="125"/>
    </row>
    <row r="3192" spans="1:19" hidden="1">
      <c r="A3192" s="124" t="s">
        <v>5260</v>
      </c>
      <c r="B3192" s="138" t="str">
        <f ca="1"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 ca="1">IF(Proc[[#This Row],[type]]="LFF (MDG-F)",MID(Proc[[#This Row],[Obj]],13,10),"")</f>
        <v/>
      </c>
      <c r="J3192" s="125" t="b">
        <f ca="1">Proc[[#This Row],[Requested]]=Proc[[#This Row],[CurrentParent]]</f>
        <v>1</v>
      </c>
      <c r="K3192" s="125" t="str">
        <f ca="1"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26</v>
      </c>
      <c r="R3192" s="115" t="s">
        <v>1013</v>
      </c>
      <c r="S3192" s="125"/>
    </row>
    <row r="3193" spans="1:19" hidden="1">
      <c r="A3193" s="124" t="s">
        <v>5260</v>
      </c>
      <c r="B3193" s="138" t="str">
        <f ca="1"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 ca="1">IF(Proc[[#This Row],[type]]="LFF (MDG-F)",MID(Proc[[#This Row],[Obj]],13,10),"")</f>
        <v/>
      </c>
      <c r="J3193" s="125" t="b">
        <f ca="1">Proc[[#This Row],[Requested]]=Proc[[#This Row],[CurrentParent]]</f>
        <v>1</v>
      </c>
      <c r="K3193" s="125" t="str">
        <f ca="1"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26</v>
      </c>
      <c r="R3193" s="115" t="s">
        <v>1013</v>
      </c>
      <c r="S3193" s="125"/>
    </row>
    <row r="3194" spans="1:19" hidden="1">
      <c r="A3194" s="124" t="s">
        <v>5260</v>
      </c>
      <c r="B3194" s="138" t="str">
        <f ca="1"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 ca="1">IF(Proc[[#This Row],[type]]="LFF (MDG-F)",MID(Proc[[#This Row],[Obj]],13,10),"")</f>
        <v/>
      </c>
      <c r="J3194" s="125" t="b">
        <f ca="1">Proc[[#This Row],[Requested]]=Proc[[#This Row],[CurrentParent]]</f>
        <v>1</v>
      </c>
      <c r="K3194" s="125" t="str">
        <f ca="1"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26</v>
      </c>
      <c r="R3194" s="115" t="s">
        <v>1013</v>
      </c>
      <c r="S3194" s="125"/>
    </row>
    <row r="3195" spans="1:19" hidden="1">
      <c r="A3195" s="124" t="s">
        <v>5260</v>
      </c>
      <c r="B3195" s="138" t="str">
        <f ca="1"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 ca="1">IF(Proc[[#This Row],[type]]="LFF (MDG-F)",MID(Proc[[#This Row],[Obj]],13,10),"")</f>
        <v/>
      </c>
      <c r="J3195" s="125" t="b">
        <f ca="1">Proc[[#This Row],[Requested]]=Proc[[#This Row],[CurrentParent]]</f>
        <v>1</v>
      </c>
      <c r="K3195" s="125" t="str">
        <f ca="1"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26</v>
      </c>
      <c r="R3195" s="115" t="s">
        <v>1013</v>
      </c>
      <c r="S3195" s="125"/>
    </row>
    <row r="3196" spans="1:19" hidden="1">
      <c r="A3196" s="124" t="s">
        <v>5260</v>
      </c>
      <c r="B3196" s="138" t="str">
        <f ca="1"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 ca="1">IF(Proc[[#This Row],[type]]="LFF (MDG-F)",MID(Proc[[#This Row],[Obj]],13,10),"")</f>
        <v/>
      </c>
      <c r="J3196" s="125" t="b">
        <f ca="1">Proc[[#This Row],[Requested]]=Proc[[#This Row],[CurrentParent]]</f>
        <v>1</v>
      </c>
      <c r="K3196" s="125" t="str">
        <f ca="1"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26</v>
      </c>
      <c r="R3196" s="115" t="s">
        <v>1013</v>
      </c>
      <c r="S3196" s="125"/>
    </row>
    <row r="3197" spans="1:19" hidden="1">
      <c r="A3197" s="124" t="s">
        <v>5260</v>
      </c>
      <c r="B3197" s="138" t="str">
        <f ca="1"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 ca="1">IF(Proc[[#This Row],[type]]="LFF (MDG-F)",MID(Proc[[#This Row],[Obj]],13,10),"")</f>
        <v/>
      </c>
      <c r="J3197" s="125" t="b">
        <f ca="1">Proc[[#This Row],[Requested]]=Proc[[#This Row],[CurrentParent]]</f>
        <v>1</v>
      </c>
      <c r="K3197" s="125" t="str">
        <f ca="1"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26</v>
      </c>
      <c r="R3197" s="115" t="s">
        <v>1013</v>
      </c>
      <c r="S3197" s="125"/>
    </row>
    <row r="3198" spans="1:19" hidden="1">
      <c r="A3198" s="124" t="s">
        <v>5260</v>
      </c>
      <c r="B3198" s="138" t="str">
        <f ca="1"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 ca="1">IF(Proc[[#This Row],[type]]="LFF (MDG-F)",MID(Proc[[#This Row],[Obj]],13,10),"")</f>
        <v/>
      </c>
      <c r="J3198" s="125" t="b">
        <f ca="1">Proc[[#This Row],[Requested]]=Proc[[#This Row],[CurrentParent]]</f>
        <v>1</v>
      </c>
      <c r="K3198" s="125" t="str">
        <f ca="1"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26</v>
      </c>
      <c r="R3198" s="115" t="s">
        <v>1013</v>
      </c>
      <c r="S3198" s="125"/>
    </row>
    <row r="3199" spans="1:19" hidden="1">
      <c r="A3199" s="124" t="s">
        <v>5260</v>
      </c>
      <c r="B3199" s="138" t="str">
        <f ca="1"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 ca="1">IF(Proc[[#This Row],[type]]="LFF (MDG-F)",MID(Proc[[#This Row],[Obj]],13,10),"")</f>
        <v/>
      </c>
      <c r="J3199" s="125" t="b">
        <f ca="1">Proc[[#This Row],[Requested]]=Proc[[#This Row],[CurrentParent]]</f>
        <v>1</v>
      </c>
      <c r="K3199" s="125" t="str">
        <f ca="1"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26</v>
      </c>
      <c r="R3199" s="115" t="s">
        <v>1013</v>
      </c>
      <c r="S3199" s="125"/>
    </row>
    <row r="3200" spans="1:19" hidden="1">
      <c r="A3200" s="124" t="s">
        <v>5260</v>
      </c>
      <c r="B3200" s="138" t="str">
        <f ca="1"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 ca="1">IF(Proc[[#This Row],[type]]="LFF (MDG-F)",MID(Proc[[#This Row],[Obj]],13,10),"")</f>
        <v/>
      </c>
      <c r="J3200" s="125" t="b">
        <f ca="1">Proc[[#This Row],[Requested]]=Proc[[#This Row],[CurrentParent]]</f>
        <v>1</v>
      </c>
      <c r="K3200" s="125" t="str">
        <f ca="1"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26</v>
      </c>
      <c r="R3200" s="115" t="s">
        <v>1013</v>
      </c>
      <c r="S3200" s="125"/>
    </row>
    <row r="3201" spans="1:19" hidden="1">
      <c r="A3201" s="124" t="s">
        <v>5260</v>
      </c>
      <c r="B3201" s="138" t="str">
        <f ca="1"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 ca="1">IF(Proc[[#This Row],[type]]="LFF (MDG-F)",MID(Proc[[#This Row],[Obj]],13,10),"")</f>
        <v/>
      </c>
      <c r="J3201" s="125" t="b">
        <f ca="1">Proc[[#This Row],[Requested]]=Proc[[#This Row],[CurrentParent]]</f>
        <v>1</v>
      </c>
      <c r="K3201" s="125" t="str">
        <f ca="1"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26</v>
      </c>
      <c r="R3201" s="115" t="s">
        <v>1013</v>
      </c>
      <c r="S3201" s="125"/>
    </row>
    <row r="3202" spans="1:19" hidden="1">
      <c r="A3202" s="124" t="s">
        <v>5260</v>
      </c>
      <c r="B3202" s="138" t="str">
        <f ca="1"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 ca="1">IF(Proc[[#This Row],[type]]="LFF (MDG-F)",MID(Proc[[#This Row],[Obj]],13,10),"")</f>
        <v/>
      </c>
      <c r="J3202" s="125" t="b">
        <f ca="1">Proc[[#This Row],[Requested]]=Proc[[#This Row],[CurrentParent]]</f>
        <v>1</v>
      </c>
      <c r="K3202" s="125" t="str">
        <f ca="1"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26</v>
      </c>
      <c r="R3202" s="115" t="s">
        <v>1013</v>
      </c>
      <c r="S3202" s="125"/>
    </row>
    <row r="3203" spans="1:19" hidden="1">
      <c r="A3203" s="124" t="s">
        <v>5260</v>
      </c>
      <c r="B3203" s="138" t="str">
        <f ca="1"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 ca="1">IF(Proc[[#This Row],[type]]="LFF (MDG-F)",MID(Proc[[#This Row],[Obj]],13,10),"")</f>
        <v/>
      </c>
      <c r="J3203" s="125" t="b">
        <f ca="1">Proc[[#This Row],[Requested]]=Proc[[#This Row],[CurrentParent]]</f>
        <v>1</v>
      </c>
      <c r="K3203" s="125" t="str">
        <f ca="1"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26</v>
      </c>
      <c r="R3203" s="115" t="s">
        <v>1013</v>
      </c>
      <c r="S3203" s="125"/>
    </row>
    <row r="3204" spans="1:19" hidden="1">
      <c r="A3204" s="124" t="s">
        <v>5260</v>
      </c>
      <c r="B3204" s="138" t="str">
        <f ca="1"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 ca="1">IF(Proc[[#This Row],[type]]="LFF (MDG-F)",MID(Proc[[#This Row],[Obj]],13,10),"")</f>
        <v/>
      </c>
      <c r="J3204" s="125" t="b">
        <f ca="1">Proc[[#This Row],[Requested]]=Proc[[#This Row],[CurrentParent]]</f>
        <v>1</v>
      </c>
      <c r="K3204" s="125" t="str">
        <f ca="1"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26</v>
      </c>
      <c r="R3204" s="115" t="s">
        <v>1013</v>
      </c>
      <c r="S3204" s="125"/>
    </row>
    <row r="3205" spans="1:19" hidden="1">
      <c r="A3205" s="124" t="s">
        <v>5260</v>
      </c>
      <c r="B3205" s="138" t="str">
        <f ca="1"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 ca="1">IF(Proc[[#This Row],[type]]="LFF (MDG-F)",MID(Proc[[#This Row],[Obj]],13,10),"")</f>
        <v/>
      </c>
      <c r="J3205" s="125" t="b">
        <f ca="1">Proc[[#This Row],[Requested]]=Proc[[#This Row],[CurrentParent]]</f>
        <v>1</v>
      </c>
      <c r="K3205" s="125" t="str">
        <f ca="1"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26</v>
      </c>
      <c r="R3205" s="115" t="s">
        <v>1013</v>
      </c>
      <c r="S3205" s="125"/>
    </row>
    <row r="3206" spans="1:19" hidden="1">
      <c r="A3206" s="124" t="s">
        <v>5260</v>
      </c>
      <c r="B3206" s="138" t="str">
        <f ca="1"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 ca="1">IF(Proc[[#This Row],[type]]="LFF (MDG-F)",MID(Proc[[#This Row],[Obj]],13,10),"")</f>
        <v/>
      </c>
      <c r="J3206" s="125" t="b">
        <f ca="1">Proc[[#This Row],[Requested]]=Proc[[#This Row],[CurrentParent]]</f>
        <v>1</v>
      </c>
      <c r="K3206" s="125" t="str">
        <f ca="1"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26</v>
      </c>
      <c r="R3206" s="115" t="s">
        <v>1013</v>
      </c>
      <c r="S3206" s="125"/>
    </row>
    <row r="3207" spans="1:19" hidden="1">
      <c r="A3207" s="124" t="s">
        <v>5260</v>
      </c>
      <c r="B3207" s="138" t="str">
        <f ca="1"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 ca="1">IF(Proc[[#This Row],[type]]="LFF (MDG-F)",MID(Proc[[#This Row],[Obj]],13,10),"")</f>
        <v/>
      </c>
      <c r="J3207" s="125" t="b">
        <f ca="1">Proc[[#This Row],[Requested]]=Proc[[#This Row],[CurrentParent]]</f>
        <v>1</v>
      </c>
      <c r="K3207" s="125" t="str">
        <f ca="1"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26</v>
      </c>
      <c r="R3207" s="115" t="s">
        <v>1013</v>
      </c>
      <c r="S3207" s="125"/>
    </row>
    <row r="3208" spans="1:19" hidden="1">
      <c r="A3208" s="124" t="s">
        <v>5260</v>
      </c>
      <c r="B3208" s="138" t="str">
        <f ca="1"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 ca="1">IF(Proc[[#This Row],[type]]="LFF (MDG-F)",MID(Proc[[#This Row],[Obj]],13,10),"")</f>
        <v/>
      </c>
      <c r="J3208" s="125" t="b">
        <f ca="1">Proc[[#This Row],[Requested]]=Proc[[#This Row],[CurrentParent]]</f>
        <v>1</v>
      </c>
      <c r="K3208" s="125" t="str">
        <f ca="1"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26</v>
      </c>
      <c r="R3208" s="115" t="s">
        <v>1013</v>
      </c>
      <c r="S3208" s="125"/>
    </row>
    <row r="3209" spans="1:19" hidden="1">
      <c r="A3209" s="124" t="s">
        <v>5260</v>
      </c>
      <c r="B3209" s="138" t="str">
        <f ca="1"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 ca="1">IF(Proc[[#This Row],[type]]="LFF (MDG-F)",MID(Proc[[#This Row],[Obj]],13,10),"")</f>
        <v/>
      </c>
      <c r="J3209" s="125" t="b">
        <f ca="1">Proc[[#This Row],[Requested]]=Proc[[#This Row],[CurrentParent]]</f>
        <v>1</v>
      </c>
      <c r="K3209" s="125" t="str">
        <f ca="1"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26</v>
      </c>
      <c r="R3209" s="115" t="s">
        <v>1013</v>
      </c>
      <c r="S3209" s="125"/>
    </row>
    <row r="3210" spans="1:19" hidden="1">
      <c r="A3210" s="124" t="s">
        <v>5260</v>
      </c>
      <c r="B3210" s="138" t="str">
        <f ca="1"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 ca="1">IF(Proc[[#This Row],[type]]="LFF (MDG-F)",MID(Proc[[#This Row],[Obj]],13,10),"")</f>
        <v/>
      </c>
      <c r="J3210" s="125" t="b">
        <f ca="1">Proc[[#This Row],[Requested]]=Proc[[#This Row],[CurrentParent]]</f>
        <v>1</v>
      </c>
      <c r="K3210" s="125" t="str">
        <f ca="1"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26</v>
      </c>
      <c r="R3210" s="115" t="s">
        <v>1013</v>
      </c>
      <c r="S3210" s="125"/>
    </row>
    <row r="3211" spans="1:19" hidden="1">
      <c r="A3211" s="124" t="s">
        <v>5260</v>
      </c>
      <c r="B3211" s="138" t="str">
        <f ca="1"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 ca="1">IF(Proc[[#This Row],[type]]="LFF (MDG-F)",MID(Proc[[#This Row],[Obj]],13,10),"")</f>
        <v/>
      </c>
      <c r="J3211" s="125" t="b">
        <f ca="1">Proc[[#This Row],[Requested]]=Proc[[#This Row],[CurrentParent]]</f>
        <v>1</v>
      </c>
      <c r="K3211" s="125" t="str">
        <f ca="1"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26</v>
      </c>
      <c r="R3211" s="115" t="s">
        <v>1013</v>
      </c>
      <c r="S3211" s="125"/>
    </row>
    <row r="3212" spans="1:19" hidden="1">
      <c r="A3212" s="124" t="s">
        <v>5260</v>
      </c>
      <c r="B3212" s="138" t="str">
        <f ca="1"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 ca="1">IF(Proc[[#This Row],[type]]="LFF (MDG-F)",MID(Proc[[#This Row],[Obj]],13,10),"")</f>
        <v/>
      </c>
      <c r="J3212" s="125" t="b">
        <f ca="1">Proc[[#This Row],[Requested]]=Proc[[#This Row],[CurrentParent]]</f>
        <v>1</v>
      </c>
      <c r="K3212" s="125" t="str">
        <f ca="1"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26</v>
      </c>
      <c r="R3212" s="115" t="s">
        <v>1013</v>
      </c>
      <c r="S3212" s="125"/>
    </row>
    <row r="3213" spans="1:19" hidden="1">
      <c r="A3213" s="124" t="s">
        <v>5260</v>
      </c>
      <c r="B3213" s="138" t="str">
        <f ca="1"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 ca="1">IF(Proc[[#This Row],[type]]="LFF (MDG-F)",MID(Proc[[#This Row],[Obj]],13,10),"")</f>
        <v/>
      </c>
      <c r="J3213" s="125" t="b">
        <f ca="1">Proc[[#This Row],[Requested]]=Proc[[#This Row],[CurrentParent]]</f>
        <v>1</v>
      </c>
      <c r="K3213" s="125" t="str">
        <f ca="1"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26</v>
      </c>
      <c r="R3213" s="115" t="s">
        <v>1013</v>
      </c>
      <c r="S3213" s="125"/>
    </row>
    <row r="3214" spans="1:19" hidden="1">
      <c r="A3214" s="124" t="s">
        <v>5260</v>
      </c>
      <c r="B3214" s="138" t="str">
        <f ca="1"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 ca="1">IF(Proc[[#This Row],[type]]="LFF (MDG-F)",MID(Proc[[#This Row],[Obj]],13,10),"")</f>
        <v/>
      </c>
      <c r="J3214" s="125" t="b">
        <f ca="1">Proc[[#This Row],[Requested]]=Proc[[#This Row],[CurrentParent]]</f>
        <v>1</v>
      </c>
      <c r="K3214" s="125" t="str">
        <f ca="1"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26</v>
      </c>
      <c r="R3214" s="115" t="s">
        <v>1013</v>
      </c>
      <c r="S3214" s="125"/>
    </row>
    <row r="3215" spans="1:19" hidden="1">
      <c r="A3215" s="124" t="s">
        <v>5260</v>
      </c>
      <c r="B3215" s="138" t="str">
        <f ca="1"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 ca="1">IF(Proc[[#This Row],[type]]="LFF (MDG-F)",MID(Proc[[#This Row],[Obj]],13,10),"")</f>
        <v/>
      </c>
      <c r="J3215" s="125" t="b">
        <f ca="1">Proc[[#This Row],[Requested]]=Proc[[#This Row],[CurrentParent]]</f>
        <v>1</v>
      </c>
      <c r="K3215" s="125" t="str">
        <f ca="1"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26</v>
      </c>
      <c r="R3215" s="115" t="s">
        <v>1013</v>
      </c>
      <c r="S3215" s="125"/>
    </row>
    <row r="3216" spans="1:19" hidden="1">
      <c r="A3216" s="124" t="s">
        <v>5260</v>
      </c>
      <c r="B3216" s="138" t="str">
        <f ca="1"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 ca="1">IF(Proc[[#This Row],[type]]="LFF (MDG-F)",MID(Proc[[#This Row],[Obj]],13,10),"")</f>
        <v/>
      </c>
      <c r="J3216" s="125" t="b">
        <f ca="1">Proc[[#This Row],[Requested]]=Proc[[#This Row],[CurrentParent]]</f>
        <v>1</v>
      </c>
      <c r="K3216" s="125" t="str">
        <f ca="1"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26</v>
      </c>
      <c r="R3216" s="115" t="s">
        <v>1013</v>
      </c>
      <c r="S3216" s="125"/>
    </row>
    <row r="3217" spans="1:19" hidden="1">
      <c r="A3217" s="124" t="s">
        <v>5260</v>
      </c>
      <c r="B3217" s="138" t="str">
        <f ca="1"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 ca="1">IF(Proc[[#This Row],[type]]="LFF (MDG-F)",MID(Proc[[#This Row],[Obj]],13,10),"")</f>
        <v/>
      </c>
      <c r="J3217" s="125" t="b">
        <f ca="1">Proc[[#This Row],[Requested]]=Proc[[#This Row],[CurrentParent]]</f>
        <v>1</v>
      </c>
      <c r="K3217" s="125" t="str">
        <f ca="1"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26</v>
      </c>
      <c r="R3217" s="115" t="s">
        <v>1013</v>
      </c>
      <c r="S3217" s="125"/>
    </row>
    <row r="3218" spans="1:19" hidden="1">
      <c r="A3218" s="124" t="s">
        <v>5260</v>
      </c>
      <c r="B3218" s="138" t="str">
        <f ca="1"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 ca="1">IF(Proc[[#This Row],[type]]="LFF (MDG-F)",MID(Proc[[#This Row],[Obj]],13,10),"")</f>
        <v/>
      </c>
      <c r="J3218" s="125" t="b">
        <f ca="1">Proc[[#This Row],[Requested]]=Proc[[#This Row],[CurrentParent]]</f>
        <v>1</v>
      </c>
      <c r="K3218" s="125" t="str">
        <f ca="1"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26</v>
      </c>
      <c r="R3218" s="115" t="s">
        <v>1013</v>
      </c>
      <c r="S3218" s="125"/>
    </row>
    <row r="3219" spans="1:19" hidden="1">
      <c r="A3219" s="124" t="s">
        <v>5260</v>
      </c>
      <c r="B3219" s="138" t="str">
        <f ca="1"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 ca="1">IF(Proc[[#This Row],[type]]="LFF (MDG-F)",MID(Proc[[#This Row],[Obj]],13,10),"")</f>
        <v/>
      </c>
      <c r="J3219" s="125" t="b">
        <f ca="1">Proc[[#This Row],[Requested]]=Proc[[#This Row],[CurrentParent]]</f>
        <v>1</v>
      </c>
      <c r="K3219" s="125" t="str">
        <f ca="1"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26</v>
      </c>
      <c r="R3219" s="115" t="s">
        <v>1013</v>
      </c>
      <c r="S3219" s="125"/>
    </row>
    <row r="3220" spans="1:19" hidden="1">
      <c r="A3220" s="124" t="s">
        <v>5260</v>
      </c>
      <c r="B3220" s="138" t="str">
        <f ca="1"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 ca="1">IF(Proc[[#This Row],[type]]="LFF (MDG-F)",MID(Proc[[#This Row],[Obj]],13,10),"")</f>
        <v/>
      </c>
      <c r="J3220" s="125" t="b">
        <f ca="1">Proc[[#This Row],[Requested]]=Proc[[#This Row],[CurrentParent]]</f>
        <v>1</v>
      </c>
      <c r="K3220" s="125" t="str">
        <f ca="1"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26</v>
      </c>
      <c r="R3220" s="115" t="s">
        <v>1013</v>
      </c>
      <c r="S3220" s="125"/>
    </row>
    <row r="3221" spans="1:19" hidden="1">
      <c r="A3221" s="124" t="s">
        <v>5260</v>
      </c>
      <c r="B3221" s="138" t="str">
        <f ca="1"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 ca="1">IF(Proc[[#This Row],[type]]="LFF (MDG-F)",MID(Proc[[#This Row],[Obj]],13,10),"")</f>
        <v/>
      </c>
      <c r="J3221" s="125" t="b">
        <f ca="1">Proc[[#This Row],[Requested]]=Proc[[#This Row],[CurrentParent]]</f>
        <v>1</v>
      </c>
      <c r="K3221" s="125" t="str">
        <f ca="1"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26</v>
      </c>
      <c r="R3221" s="115" t="s">
        <v>1013</v>
      </c>
      <c r="S3221" s="125"/>
    </row>
    <row r="3222" spans="1:19" hidden="1">
      <c r="A3222" s="124" t="s">
        <v>5260</v>
      </c>
      <c r="B3222" s="138" t="str">
        <f ca="1"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 ca="1">IF(Proc[[#This Row],[type]]="LFF (MDG-F)",MID(Proc[[#This Row],[Obj]],13,10),"")</f>
        <v/>
      </c>
      <c r="J3222" s="125" t="b">
        <f ca="1">Proc[[#This Row],[Requested]]=Proc[[#This Row],[CurrentParent]]</f>
        <v>1</v>
      </c>
      <c r="K3222" s="125" t="str">
        <f ca="1"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26</v>
      </c>
      <c r="R3222" s="115" t="s">
        <v>1013</v>
      </c>
      <c r="S3222" s="125"/>
    </row>
    <row r="3223" spans="1:19" hidden="1">
      <c r="A3223" s="124" t="s">
        <v>5260</v>
      </c>
      <c r="B3223" s="138" t="str">
        <f ca="1"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 ca="1">IF(Proc[[#This Row],[type]]="LFF (MDG-F)",MID(Proc[[#This Row],[Obj]],13,10),"")</f>
        <v/>
      </c>
      <c r="J3223" s="125" t="b">
        <f ca="1">Proc[[#This Row],[Requested]]=Proc[[#This Row],[CurrentParent]]</f>
        <v>1</v>
      </c>
      <c r="K3223" s="125" t="str">
        <f ca="1"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26</v>
      </c>
      <c r="R3223" s="115" t="s">
        <v>1013</v>
      </c>
      <c r="S3223" s="125"/>
    </row>
    <row r="3224" spans="1:19" hidden="1">
      <c r="A3224" s="124" t="s">
        <v>5260</v>
      </c>
      <c r="B3224" s="138" t="str">
        <f ca="1"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 ca="1">IF(Proc[[#This Row],[type]]="LFF (MDG-F)",MID(Proc[[#This Row],[Obj]],13,10),"")</f>
        <v/>
      </c>
      <c r="J3224" s="125" t="b">
        <f ca="1">Proc[[#This Row],[Requested]]=Proc[[#This Row],[CurrentParent]]</f>
        <v>1</v>
      </c>
      <c r="K3224" s="125" t="str">
        <f ca="1"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26</v>
      </c>
      <c r="R3224" s="115" t="s">
        <v>1013</v>
      </c>
      <c r="S3224" s="125"/>
    </row>
    <row r="3225" spans="1:19" hidden="1">
      <c r="A3225" s="124" t="s">
        <v>5260</v>
      </c>
      <c r="B3225" s="138" t="str">
        <f ca="1"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 ca="1">IF(Proc[[#This Row],[type]]="LFF (MDG-F)",MID(Proc[[#This Row],[Obj]],13,10),"")</f>
        <v/>
      </c>
      <c r="J3225" s="125" t="b">
        <f ca="1">Proc[[#This Row],[Requested]]=Proc[[#This Row],[CurrentParent]]</f>
        <v>1</v>
      </c>
      <c r="K3225" s="125" t="str">
        <f ca="1"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26</v>
      </c>
      <c r="R3225" s="115" t="s">
        <v>1013</v>
      </c>
      <c r="S3225" s="125"/>
    </row>
    <row r="3226" spans="1:19" hidden="1">
      <c r="A3226" s="124" t="s">
        <v>5260</v>
      </c>
      <c r="B3226" s="138" t="str">
        <f ca="1"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 ca="1">IF(Proc[[#This Row],[type]]="LFF (MDG-F)",MID(Proc[[#This Row],[Obj]],13,10),"")</f>
        <v/>
      </c>
      <c r="J3226" s="125" t="b">
        <f ca="1">Proc[[#This Row],[Requested]]=Proc[[#This Row],[CurrentParent]]</f>
        <v>1</v>
      </c>
      <c r="K3226" s="125" t="str">
        <f ca="1"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26</v>
      </c>
      <c r="R3226" s="115" t="s">
        <v>1013</v>
      </c>
      <c r="S3226" s="125"/>
    </row>
    <row r="3227" spans="1:19" hidden="1">
      <c r="A3227" s="124" t="s">
        <v>5260</v>
      </c>
      <c r="B3227" s="138" t="str">
        <f ca="1"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 ca="1">IF(Proc[[#This Row],[type]]="LFF (MDG-F)",MID(Proc[[#This Row],[Obj]],13,10),"")</f>
        <v/>
      </c>
      <c r="J3227" s="125" t="b">
        <f ca="1">Proc[[#This Row],[Requested]]=Proc[[#This Row],[CurrentParent]]</f>
        <v>1</v>
      </c>
      <c r="K3227" s="125" t="str">
        <f ca="1"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26</v>
      </c>
      <c r="R3227" s="115" t="s">
        <v>1013</v>
      </c>
      <c r="S3227" s="125"/>
    </row>
    <row r="3228" spans="1:19" hidden="1">
      <c r="A3228" s="124" t="s">
        <v>5260</v>
      </c>
      <c r="B3228" s="138" t="str">
        <f ca="1"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 ca="1">IF(Proc[[#This Row],[type]]="LFF (MDG-F)",MID(Proc[[#This Row],[Obj]],13,10),"")</f>
        <v/>
      </c>
      <c r="J3228" s="125" t="b">
        <f ca="1">Proc[[#This Row],[Requested]]=Proc[[#This Row],[CurrentParent]]</f>
        <v>1</v>
      </c>
      <c r="K3228" s="125" t="str">
        <f ca="1"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26</v>
      </c>
      <c r="R3228" s="115" t="s">
        <v>1013</v>
      </c>
      <c r="S3228" s="125"/>
    </row>
    <row r="3229" spans="1:19" hidden="1">
      <c r="A3229" s="124" t="s">
        <v>5260</v>
      </c>
      <c r="B3229" s="138" t="str">
        <f ca="1"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 ca="1">IF(Proc[[#This Row],[type]]="LFF (MDG-F)",MID(Proc[[#This Row],[Obj]],13,10),"")</f>
        <v/>
      </c>
      <c r="J3229" s="125" t="b">
        <f ca="1">Proc[[#This Row],[Requested]]=Proc[[#This Row],[CurrentParent]]</f>
        <v>1</v>
      </c>
      <c r="K3229" s="125" t="str">
        <f ca="1"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26</v>
      </c>
      <c r="R3229" s="115" t="s">
        <v>1013</v>
      </c>
      <c r="S3229" s="125"/>
    </row>
    <row r="3230" spans="1:19" hidden="1">
      <c r="A3230" s="124" t="s">
        <v>5260</v>
      </c>
      <c r="B3230" s="138" t="str">
        <f ca="1"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 ca="1">IF(Proc[[#This Row],[type]]="LFF (MDG-F)",MID(Proc[[#This Row],[Obj]],13,10),"")</f>
        <v/>
      </c>
      <c r="J3230" s="125" t="b">
        <f ca="1">Proc[[#This Row],[Requested]]=Proc[[#This Row],[CurrentParent]]</f>
        <v>1</v>
      </c>
      <c r="K3230" s="125" t="str">
        <f ca="1"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26</v>
      </c>
      <c r="R3230" s="115" t="s">
        <v>1013</v>
      </c>
      <c r="S3230" s="125"/>
    </row>
    <row r="3231" spans="1:19" hidden="1">
      <c r="A3231" s="124" t="s">
        <v>5260</v>
      </c>
      <c r="B3231" s="138" t="str">
        <f ca="1"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 ca="1">IF(Proc[[#This Row],[type]]="LFF (MDG-F)",MID(Proc[[#This Row],[Obj]],13,10),"")</f>
        <v/>
      </c>
      <c r="J3231" s="125" t="b">
        <f ca="1">Proc[[#This Row],[Requested]]=Proc[[#This Row],[CurrentParent]]</f>
        <v>1</v>
      </c>
      <c r="K3231" s="125" t="str">
        <f ca="1"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26</v>
      </c>
      <c r="R3231" s="115" t="s">
        <v>1013</v>
      </c>
      <c r="S3231" s="125"/>
    </row>
    <row r="3232" spans="1:19" hidden="1">
      <c r="A3232" t="s">
        <v>5273</v>
      </c>
      <c r="B3232" s="138" t="str">
        <f ca="1"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 ca="1">IF(Proc[[#This Row],[type]]="LFF (MDG-F)",MID(Proc[[#This Row],[Obj]],13,10),"")</f>
        <v/>
      </c>
      <c r="J3232" s="125" t="b">
        <f ca="1">Proc[[#This Row],[Requested]]=Proc[[#This Row],[CurrentParent]]</f>
        <v>1</v>
      </c>
      <c r="K3232" s="125" t="str">
        <f ca="1"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25</v>
      </c>
      <c r="R3232" s="115" t="s">
        <v>489</v>
      </c>
      <c r="S3232" s="125"/>
    </row>
    <row r="3233" spans="1:19" hidden="1">
      <c r="A3233" s="124" t="s">
        <v>5273</v>
      </c>
      <c r="B3233" s="138" t="str">
        <f ca="1"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 ca="1">IF(Proc[[#This Row],[type]]="LFF (MDG-F)",MID(Proc[[#This Row],[Obj]],13,10),"")</f>
        <v/>
      </c>
      <c r="J3233" s="125" t="b">
        <f ca="1">Proc[[#This Row],[Requested]]=Proc[[#This Row],[CurrentParent]]</f>
        <v>1</v>
      </c>
      <c r="K3233" s="125" t="str">
        <f ca="1"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25</v>
      </c>
      <c r="R3233" s="115" t="s">
        <v>489</v>
      </c>
      <c r="S3233" s="125"/>
    </row>
    <row r="3234" spans="1:19" hidden="1">
      <c r="A3234" s="124" t="s">
        <v>5273</v>
      </c>
      <c r="B3234" s="138" t="str">
        <f ca="1"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 ca="1">IF(Proc[[#This Row],[type]]="LFF (MDG-F)",MID(Proc[[#This Row],[Obj]],13,10),"")</f>
        <v/>
      </c>
      <c r="J3234" s="125" t="b">
        <f ca="1">Proc[[#This Row],[Requested]]=Proc[[#This Row],[CurrentParent]]</f>
        <v>1</v>
      </c>
      <c r="K3234" s="125" t="str">
        <f ca="1"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25</v>
      </c>
      <c r="R3234" s="115" t="s">
        <v>489</v>
      </c>
      <c r="S3234" s="125"/>
    </row>
    <row r="3235" spans="1:19" hidden="1">
      <c r="A3235" s="124" t="s">
        <v>5273</v>
      </c>
      <c r="B3235" s="138" t="str">
        <f ca="1"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 ca="1">IF(Proc[[#This Row],[type]]="LFF (MDG-F)",MID(Proc[[#This Row],[Obj]],13,10),"")</f>
        <v/>
      </c>
      <c r="J3235" s="125" t="b">
        <f ca="1">Proc[[#This Row],[Requested]]=Proc[[#This Row],[CurrentParent]]</f>
        <v>1</v>
      </c>
      <c r="K3235" s="125" t="str">
        <f ca="1"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25</v>
      </c>
      <c r="R3235" s="115" t="s">
        <v>489</v>
      </c>
      <c r="S3235" s="125"/>
    </row>
    <row r="3236" spans="1:19" hidden="1">
      <c r="A3236" s="124" t="s">
        <v>5273</v>
      </c>
      <c r="B3236" s="138" t="str">
        <f ca="1"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 ca="1">IF(Proc[[#This Row],[type]]="LFF (MDG-F)",MID(Proc[[#This Row],[Obj]],13,10),"")</f>
        <v/>
      </c>
      <c r="J3236" s="125" t="b">
        <f ca="1">Proc[[#This Row],[Requested]]=Proc[[#This Row],[CurrentParent]]</f>
        <v>1</v>
      </c>
      <c r="K3236" s="125" t="str">
        <f ca="1"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25</v>
      </c>
      <c r="R3236" s="115" t="s">
        <v>489</v>
      </c>
      <c r="S3236" s="125"/>
    </row>
    <row r="3237" spans="1:19" hidden="1">
      <c r="A3237" s="124" t="s">
        <v>5273</v>
      </c>
      <c r="B3237" s="138" t="str">
        <f ca="1"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 ca="1">IF(Proc[[#This Row],[type]]="LFF (MDG-F)",MID(Proc[[#This Row],[Obj]],13,10),"")</f>
        <v/>
      </c>
      <c r="J3237" s="125" t="b">
        <f ca="1">Proc[[#This Row],[Requested]]=Proc[[#This Row],[CurrentParent]]</f>
        <v>1</v>
      </c>
      <c r="K3237" s="125" t="str">
        <f ca="1"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25</v>
      </c>
      <c r="R3237" s="115" t="s">
        <v>489</v>
      </c>
      <c r="S3237" s="125"/>
    </row>
    <row r="3238" spans="1:19" hidden="1">
      <c r="A3238" s="124" t="s">
        <v>5273</v>
      </c>
      <c r="B3238" s="138" t="str">
        <f ca="1"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 ca="1">IF(Proc[[#This Row],[type]]="LFF (MDG-F)",MID(Proc[[#This Row],[Obj]],13,10),"")</f>
        <v/>
      </c>
      <c r="J3238" s="125" t="b">
        <f ca="1">Proc[[#This Row],[Requested]]=Proc[[#This Row],[CurrentParent]]</f>
        <v>1</v>
      </c>
      <c r="K3238" s="125" t="str">
        <f ca="1"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25</v>
      </c>
      <c r="R3238" s="115" t="s">
        <v>489</v>
      </c>
      <c r="S3238" s="125"/>
    </row>
    <row r="3239" spans="1:19" hidden="1">
      <c r="A3239" s="124" t="s">
        <v>5273</v>
      </c>
      <c r="B3239" s="138" t="str">
        <f ca="1"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 ca="1">IF(Proc[[#This Row],[type]]="LFF (MDG-F)",MID(Proc[[#This Row],[Obj]],13,10),"")</f>
        <v/>
      </c>
      <c r="J3239" s="125" t="b">
        <f ca="1">Proc[[#This Row],[Requested]]=Proc[[#This Row],[CurrentParent]]</f>
        <v>1</v>
      </c>
      <c r="K3239" s="125" t="str">
        <f ca="1"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25</v>
      </c>
      <c r="R3239" s="115" t="s">
        <v>489</v>
      </c>
      <c r="S3239" s="125"/>
    </row>
    <row r="3240" spans="1:19" hidden="1">
      <c r="A3240" s="124" t="s">
        <v>5273</v>
      </c>
      <c r="B3240" s="138" t="str">
        <f ca="1"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 ca="1">IF(Proc[[#This Row],[type]]="LFF (MDG-F)",MID(Proc[[#This Row],[Obj]],13,10),"")</f>
        <v/>
      </c>
      <c r="J3240" s="125" t="b">
        <f ca="1">Proc[[#This Row],[Requested]]=Proc[[#This Row],[CurrentParent]]</f>
        <v>1</v>
      </c>
      <c r="K3240" s="125" t="str">
        <f ca="1"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25</v>
      </c>
      <c r="R3240" s="115" t="s">
        <v>489</v>
      </c>
      <c r="S3240" s="125"/>
    </row>
    <row r="3241" spans="1:19" hidden="1">
      <c r="A3241" s="124" t="s">
        <v>5273</v>
      </c>
      <c r="B3241" s="138" t="str">
        <f ca="1"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 ca="1">IF(Proc[[#This Row],[type]]="LFF (MDG-F)",MID(Proc[[#This Row],[Obj]],13,10),"")</f>
        <v/>
      </c>
      <c r="J3241" s="125" t="b">
        <f ca="1">Proc[[#This Row],[Requested]]=Proc[[#This Row],[CurrentParent]]</f>
        <v>1</v>
      </c>
      <c r="K3241" s="125" t="str">
        <f ca="1"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25</v>
      </c>
      <c r="R3241" s="115" t="s">
        <v>489</v>
      </c>
      <c r="S3241" s="125"/>
    </row>
    <row r="3242" spans="1:19" hidden="1">
      <c r="A3242" s="124" t="s">
        <v>5273</v>
      </c>
      <c r="B3242" s="138" t="str">
        <f ca="1"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 ca="1">IF(Proc[[#This Row],[type]]="LFF (MDG-F)",MID(Proc[[#This Row],[Obj]],13,10),"")</f>
        <v>1937R09209</v>
      </c>
      <c r="J3242" s="125" t="b">
        <f ca="1">Proc[[#This Row],[Requested]]=Proc[[#This Row],[CurrentParent]]</f>
        <v>1</v>
      </c>
      <c r="K3242" s="125" t="str">
        <f ca="1"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25</v>
      </c>
      <c r="R3242" s="115" t="s">
        <v>489</v>
      </c>
      <c r="S3242" s="125"/>
    </row>
    <row r="3243" spans="1:19" hidden="1">
      <c r="A3243" t="s">
        <v>5480</v>
      </c>
      <c r="B3243" s="138" t="str">
        <f ca="1"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 ca="1">IF(Proc[[#This Row],[type]]="LFF (MDG-F)",MID(Proc[[#This Row],[Obj]],13,10),"")</f>
        <v/>
      </c>
      <c r="J3243" s="125" t="b">
        <f ca="1">Proc[[#This Row],[Requested]]=Proc[[#This Row],[CurrentParent]]</f>
        <v>1</v>
      </c>
      <c r="K3243" s="125" t="str">
        <f ca="1"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25</v>
      </c>
      <c r="R3243" s="115" t="s">
        <v>1459</v>
      </c>
      <c r="S3243" s="125"/>
    </row>
    <row r="3244" spans="1:19" hidden="1">
      <c r="A3244" s="124" t="s">
        <v>5480</v>
      </c>
      <c r="B3244" s="138" t="str">
        <f ca="1"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 ca="1">IF(Proc[[#This Row],[type]]="LFF (MDG-F)",MID(Proc[[#This Row],[Obj]],13,10),"")</f>
        <v>ZA50GIT10E</v>
      </c>
      <c r="J3244" s="125" t="b">
        <f ca="1">Proc[[#This Row],[Requested]]=Proc[[#This Row],[CurrentParent]]</f>
        <v>1</v>
      </c>
      <c r="K3244" s="125" t="str">
        <f ca="1"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25</v>
      </c>
      <c r="R3244" s="115" t="s">
        <v>1459</v>
      </c>
      <c r="S3244" s="125"/>
    </row>
    <row r="3245" spans="1:19" hidden="1">
      <c r="A3245" s="124" t="s">
        <v>5480</v>
      </c>
      <c r="B3245" s="138" t="str">
        <f ca="1"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 ca="1">IF(Proc[[#This Row],[type]]="LFF (MDG-F)",MID(Proc[[#This Row],[Obj]],13,10),"")</f>
        <v/>
      </c>
      <c r="J3245" s="125" t="b">
        <f ca="1">Proc[[#This Row],[Requested]]=Proc[[#This Row],[CurrentParent]]</f>
        <v>1</v>
      </c>
      <c r="K3245" s="125" t="str">
        <f ca="1"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25</v>
      </c>
      <c r="R3245" s="115" t="s">
        <v>1459</v>
      </c>
      <c r="S3245" s="125"/>
    </row>
    <row r="3246" spans="1:19" hidden="1">
      <c r="A3246" s="124" t="s">
        <v>5480</v>
      </c>
      <c r="B3246" s="138" t="str">
        <f ca="1"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 ca="1">IF(Proc[[#This Row],[type]]="LFF (MDG-F)",MID(Proc[[#This Row],[Obj]],13,10),"")</f>
        <v>CN90GIT301</v>
      </c>
      <c r="J3246" s="125" t="b">
        <f ca="1">Proc[[#This Row],[Requested]]=Proc[[#This Row],[CurrentParent]]</f>
        <v>1</v>
      </c>
      <c r="K3246" s="125" t="str">
        <f ca="1"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25</v>
      </c>
      <c r="R3246" s="115" t="s">
        <v>1459</v>
      </c>
      <c r="S3246" s="125"/>
    </row>
    <row r="3247" spans="1:19" hidden="1">
      <c r="A3247" s="124" t="s">
        <v>5480</v>
      </c>
      <c r="B3247" s="138" t="str">
        <f ca="1"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 ca="1">IF(Proc[[#This Row],[type]]="LFF (MDG-F)",MID(Proc[[#This Row],[Obj]],13,10),"")</f>
        <v>CN90GIT306</v>
      </c>
      <c r="J3247" s="125" t="b">
        <f ca="1">Proc[[#This Row],[Requested]]=Proc[[#This Row],[CurrentParent]]</f>
        <v>1</v>
      </c>
      <c r="K3247" s="125" t="str">
        <f ca="1"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25</v>
      </c>
      <c r="R3247" s="115" t="s">
        <v>1459</v>
      </c>
      <c r="S3247" s="125"/>
    </row>
    <row r="3248" spans="1:19" hidden="1">
      <c r="A3248" s="124" t="s">
        <v>5480</v>
      </c>
      <c r="B3248" s="138" t="str">
        <f ca="1"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 ca="1">IF(Proc[[#This Row],[type]]="LFF (MDG-F)",MID(Proc[[#This Row],[Obj]],13,10),"")</f>
        <v>CN90GIT120</v>
      </c>
      <c r="J3248" s="125" t="b">
        <f ca="1">Proc[[#This Row],[Requested]]=Proc[[#This Row],[CurrentParent]]</f>
        <v>1</v>
      </c>
      <c r="K3248" s="125" t="str">
        <f ca="1"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25</v>
      </c>
      <c r="R3248" s="115" t="s">
        <v>1459</v>
      </c>
      <c r="S3248" s="125"/>
    </row>
    <row r="3249" spans="1:19" hidden="1">
      <c r="A3249" s="124" t="s">
        <v>5480</v>
      </c>
      <c r="B3249" s="138" t="str">
        <f ca="1"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 ca="1">IF(Proc[[#This Row],[type]]="LFF (MDG-F)",MID(Proc[[#This Row],[Obj]],13,10),"")</f>
        <v>CN90GM4004</v>
      </c>
      <c r="J3249" s="125" t="b">
        <f ca="1">Proc[[#This Row],[Requested]]=Proc[[#This Row],[CurrentParent]]</f>
        <v>1</v>
      </c>
      <c r="K3249" s="125" t="str">
        <f ca="1"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25</v>
      </c>
      <c r="R3249" s="115" t="s">
        <v>1459</v>
      </c>
      <c r="S3249" s="125"/>
    </row>
    <row r="3250" spans="1:19" hidden="1">
      <c r="A3250" s="124" t="s">
        <v>5480</v>
      </c>
      <c r="B3250" s="138" t="str">
        <f ca="1"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 ca="1">IF(Proc[[#This Row],[type]]="LFF (MDG-F)",MID(Proc[[#This Row],[Obj]],13,10),"")</f>
        <v>CN01GIT01B</v>
      </c>
      <c r="J3250" s="125" t="b">
        <f ca="1">Proc[[#This Row],[Requested]]=Proc[[#This Row],[CurrentParent]]</f>
        <v>1</v>
      </c>
      <c r="K3250" s="125" t="str">
        <f ca="1"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25</v>
      </c>
      <c r="R3250" s="115" t="s">
        <v>1459</v>
      </c>
      <c r="S3250" s="125"/>
    </row>
    <row r="3251" spans="1:19" hidden="1">
      <c r="A3251" s="124" t="s">
        <v>5480</v>
      </c>
      <c r="B3251" s="138" t="str">
        <f ca="1"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 ca="1">IF(Proc[[#This Row],[type]]="LFF (MDG-F)",MID(Proc[[#This Row],[Obj]],13,10),"")</f>
        <v>DE04GIT01B</v>
      </c>
      <c r="J3251" s="125" t="b">
        <f ca="1">Proc[[#This Row],[Requested]]=Proc[[#This Row],[CurrentParent]]</f>
        <v>1</v>
      </c>
      <c r="K3251" s="125" t="str">
        <f ca="1"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25</v>
      </c>
      <c r="R3251" s="115" t="s">
        <v>1459</v>
      </c>
      <c r="S3251" s="125"/>
    </row>
    <row r="3252" spans="1:19" hidden="1">
      <c r="A3252" s="124" t="s">
        <v>5480</v>
      </c>
      <c r="B3252" s="138" t="str">
        <f ca="1"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 ca="1">IF(Proc[[#This Row],[type]]="LFF (MDG-F)",MID(Proc[[#This Row],[Obj]],13,10),"")</f>
        <v/>
      </c>
      <c r="J3252" s="125" t="b">
        <f ca="1">Proc[[#This Row],[Requested]]=Proc[[#This Row],[CurrentParent]]</f>
        <v>1</v>
      </c>
      <c r="K3252" s="125" t="str">
        <f ca="1"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25</v>
      </c>
      <c r="R3252" s="115" t="s">
        <v>1459</v>
      </c>
      <c r="S3252" s="125"/>
    </row>
    <row r="3253" spans="1:19" hidden="1">
      <c r="A3253" s="124" t="s">
        <v>5480</v>
      </c>
      <c r="B3253" s="138" t="str">
        <f ca="1"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 ca="1">IF(Proc[[#This Row],[type]]="LFF (MDG-F)",MID(Proc[[#This Row],[Obj]],13,10),"")</f>
        <v/>
      </c>
      <c r="J3253" s="125" t="b">
        <f ca="1">Proc[[#This Row],[Requested]]=Proc[[#This Row],[CurrentParent]]</f>
        <v>1</v>
      </c>
      <c r="K3253" s="125" t="str">
        <f ca="1"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25</v>
      </c>
      <c r="R3253" s="115" t="s">
        <v>1459</v>
      </c>
      <c r="S3253" s="125"/>
    </row>
    <row r="3254" spans="1:19" hidden="1">
      <c r="A3254" s="124" t="s">
        <v>5480</v>
      </c>
      <c r="B3254" s="138" t="str">
        <f ca="1"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 ca="1">IF(Proc[[#This Row],[type]]="LFF (MDG-F)",MID(Proc[[#This Row],[Obj]],13,10),"")</f>
        <v/>
      </c>
      <c r="J3254" s="125" t="b">
        <f ca="1">Proc[[#This Row],[Requested]]=Proc[[#This Row],[CurrentParent]]</f>
        <v>1</v>
      </c>
      <c r="K3254" s="125" t="str">
        <f ca="1"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25</v>
      </c>
      <c r="R3254" s="115" t="s">
        <v>1459</v>
      </c>
      <c r="S3254" s="125"/>
    </row>
    <row r="3255" spans="1:19" hidden="1">
      <c r="A3255" s="124" t="s">
        <v>5480</v>
      </c>
      <c r="B3255" s="138" t="str">
        <f ca="1"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 ca="1">IF(Proc[[#This Row],[type]]="LFF (MDG-F)",MID(Proc[[#This Row],[Obj]],13,10),"")</f>
        <v/>
      </c>
      <c r="J3255" s="125" t="b">
        <f ca="1">Proc[[#This Row],[Requested]]=Proc[[#This Row],[CurrentParent]]</f>
        <v>1</v>
      </c>
      <c r="K3255" s="125" t="str">
        <f ca="1"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25</v>
      </c>
      <c r="R3255" s="115" t="s">
        <v>1459</v>
      </c>
      <c r="S3255" s="125"/>
    </row>
    <row r="3256" spans="1:19" hidden="1">
      <c r="A3256" s="124" t="s">
        <v>5480</v>
      </c>
      <c r="B3256" s="138" t="str">
        <f ca="1"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 ca="1">IF(Proc[[#This Row],[type]]="LFF (MDG-F)",MID(Proc[[#This Row],[Obj]],13,10),"")</f>
        <v>ES50GIT208</v>
      </c>
      <c r="J3256" s="125" t="b">
        <f ca="1">Proc[[#This Row],[Requested]]=Proc[[#This Row],[CurrentParent]]</f>
        <v>1</v>
      </c>
      <c r="K3256" s="125" t="str">
        <f ca="1"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25</v>
      </c>
      <c r="R3256" s="115" t="s">
        <v>1459</v>
      </c>
      <c r="S3256" s="125"/>
    </row>
    <row r="3257" spans="1:19" hidden="1">
      <c r="A3257" s="124" t="s">
        <v>5480</v>
      </c>
      <c r="B3257" s="138" t="str">
        <f ca="1"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 ca="1">IF(Proc[[#This Row],[type]]="LFF (MDG-F)",MID(Proc[[#This Row],[Obj]],13,10),"")</f>
        <v>ES50GIT220</v>
      </c>
      <c r="J3257" s="125" t="b">
        <f ca="1">Proc[[#This Row],[Requested]]=Proc[[#This Row],[CurrentParent]]</f>
        <v>1</v>
      </c>
      <c r="K3257" s="125" t="str">
        <f ca="1"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25</v>
      </c>
      <c r="R3257" s="115" t="s">
        <v>1459</v>
      </c>
      <c r="S3257" s="125"/>
    </row>
    <row r="3258" spans="1:19" hidden="1">
      <c r="A3258" s="124" t="s">
        <v>5480</v>
      </c>
      <c r="B3258" s="138" t="str">
        <f ca="1"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 ca="1">IF(Proc[[#This Row],[type]]="LFF (MDG-F)",MID(Proc[[#This Row],[Obj]],13,10),"")</f>
        <v>ES50GIT60L</v>
      </c>
      <c r="J3258" s="125" t="b">
        <f ca="1">Proc[[#This Row],[Requested]]=Proc[[#This Row],[CurrentParent]]</f>
        <v>1</v>
      </c>
      <c r="K3258" s="125" t="str">
        <f ca="1"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25</v>
      </c>
      <c r="R3258" s="115" t="s">
        <v>1459</v>
      </c>
      <c r="S3258" s="125"/>
    </row>
    <row r="3259" spans="1:19" hidden="1">
      <c r="A3259" s="124" t="s">
        <v>5480</v>
      </c>
      <c r="B3259" s="138" t="str">
        <f ca="1"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 ca="1">IF(Proc[[#This Row],[type]]="LFF (MDG-F)",MID(Proc[[#This Row],[Obj]],13,10),"")</f>
        <v>NL50GMS010</v>
      </c>
      <c r="J3259" s="125" t="b">
        <f ca="1">Proc[[#This Row],[Requested]]=Proc[[#This Row],[CurrentParent]]</f>
        <v>1</v>
      </c>
      <c r="K3259" s="125" t="str">
        <f ca="1"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25</v>
      </c>
      <c r="R3259" s="115" t="s">
        <v>1459</v>
      </c>
      <c r="S3259" s="125"/>
    </row>
    <row r="3260" spans="1:19" hidden="1">
      <c r="A3260" s="124" t="s">
        <v>5480</v>
      </c>
      <c r="B3260" s="138" t="str">
        <f ca="1"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 ca="1">IF(Proc[[#This Row],[type]]="LFF (MDG-F)",MID(Proc[[#This Row],[Obj]],13,10),"")</f>
        <v/>
      </c>
      <c r="J3260" s="125" t="b">
        <f ca="1">Proc[[#This Row],[Requested]]=Proc[[#This Row],[CurrentParent]]</f>
        <v>1</v>
      </c>
      <c r="K3260" s="125" t="str">
        <f ca="1"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25</v>
      </c>
      <c r="R3260" s="115" t="s">
        <v>1459</v>
      </c>
      <c r="S3260" s="125"/>
    </row>
    <row r="3261" spans="1:19" hidden="1">
      <c r="A3261" s="124" t="s">
        <v>5480</v>
      </c>
      <c r="B3261" s="138" t="str">
        <f ca="1"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 ca="1">IF(Proc[[#This Row],[type]]="LFF (MDG-F)",MID(Proc[[#This Row],[Obj]],13,10),"")</f>
        <v/>
      </c>
      <c r="J3261" s="125" t="b">
        <f ca="1">Proc[[#This Row],[Requested]]=Proc[[#This Row],[CurrentParent]]</f>
        <v>1</v>
      </c>
      <c r="K3261" s="125" t="str">
        <f ca="1"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25</v>
      </c>
      <c r="R3261" s="115" t="s">
        <v>1459</v>
      </c>
      <c r="S3261" s="125"/>
    </row>
    <row r="3262" spans="1:19" hidden="1">
      <c r="A3262" s="124" t="s">
        <v>5480</v>
      </c>
      <c r="B3262" s="138" t="str">
        <f ca="1"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 ca="1">IF(Proc[[#This Row],[type]]="LFF (MDG-F)",MID(Proc[[#This Row],[Obj]],13,10),"")</f>
        <v/>
      </c>
      <c r="J3262" s="125" t="b">
        <f ca="1">Proc[[#This Row],[Requested]]=Proc[[#This Row],[CurrentParent]]</f>
        <v>1</v>
      </c>
      <c r="K3262" s="125" t="str">
        <f ca="1"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25</v>
      </c>
      <c r="R3262" s="115" t="s">
        <v>1459</v>
      </c>
      <c r="S3262" s="125"/>
    </row>
    <row r="3263" spans="1:19" hidden="1">
      <c r="A3263" s="124" t="s">
        <v>5480</v>
      </c>
      <c r="B3263" s="138" t="str">
        <f ca="1"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 ca="1">IF(Proc[[#This Row],[type]]="LFF (MDG-F)",MID(Proc[[#This Row],[Obj]],13,10),"")</f>
        <v/>
      </c>
      <c r="J3263" s="125" t="b">
        <f ca="1">Proc[[#This Row],[Requested]]=Proc[[#This Row],[CurrentParent]]</f>
        <v>1</v>
      </c>
      <c r="K3263" s="125" t="str">
        <f ca="1"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25</v>
      </c>
      <c r="R3263" s="115" t="s">
        <v>1459</v>
      </c>
      <c r="S3263" s="125"/>
    </row>
    <row r="3264" spans="1:19" hidden="1">
      <c r="A3264" s="124" t="s">
        <v>5480</v>
      </c>
      <c r="B3264" s="138" t="str">
        <f ca="1"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 ca="1">IF(Proc[[#This Row],[type]]="LFF (MDG-F)",MID(Proc[[#This Row],[Obj]],13,10),"")</f>
        <v/>
      </c>
      <c r="J3264" s="125" t="b">
        <f ca="1">Proc[[#This Row],[Requested]]=Proc[[#This Row],[CurrentParent]]</f>
        <v>1</v>
      </c>
      <c r="K3264" s="125" t="str">
        <f ca="1"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25</v>
      </c>
      <c r="R3264" s="115" t="s">
        <v>1459</v>
      </c>
      <c r="S3264" s="125"/>
    </row>
    <row r="3265" spans="1:19" hidden="1">
      <c r="A3265" s="124" t="s">
        <v>5480</v>
      </c>
      <c r="B3265" s="138" t="str">
        <f ca="1"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 ca="1">IF(Proc[[#This Row],[type]]="LFF (MDG-F)",MID(Proc[[#This Row],[Obj]],13,10),"")</f>
        <v/>
      </c>
      <c r="J3265" s="125" t="b">
        <f ca="1">Proc[[#This Row],[Requested]]=Proc[[#This Row],[CurrentParent]]</f>
        <v>1</v>
      </c>
      <c r="K3265" s="125" t="str">
        <f ca="1"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25</v>
      </c>
      <c r="R3265" s="115" t="s">
        <v>1459</v>
      </c>
      <c r="S3265" s="125"/>
    </row>
    <row r="3266" spans="1:19" hidden="1">
      <c r="A3266" s="124" t="s">
        <v>5480</v>
      </c>
      <c r="B3266" s="138" t="str">
        <f ca="1"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 ca="1">IF(Proc[[#This Row],[type]]="LFF (MDG-F)",MID(Proc[[#This Row],[Obj]],13,10),"")</f>
        <v/>
      </c>
      <c r="J3266" s="125" t="b">
        <f ca="1">Proc[[#This Row],[Requested]]=Proc[[#This Row],[CurrentParent]]</f>
        <v>1</v>
      </c>
      <c r="K3266" s="125" t="str">
        <f ca="1"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25</v>
      </c>
      <c r="R3266" s="115" t="s">
        <v>1459</v>
      </c>
      <c r="S3266" s="125"/>
    </row>
    <row r="3267" spans="1:19" hidden="1">
      <c r="A3267" s="124" t="s">
        <v>5480</v>
      </c>
      <c r="B3267" s="138" t="str">
        <f ca="1"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 ca="1">IF(Proc[[#This Row],[type]]="LFF (MDG-F)",MID(Proc[[#This Row],[Obj]],13,10),"")</f>
        <v/>
      </c>
      <c r="J3267" s="125" t="b">
        <f ca="1">Proc[[#This Row],[Requested]]=Proc[[#This Row],[CurrentParent]]</f>
        <v>1</v>
      </c>
      <c r="K3267" s="125" t="str">
        <f ca="1"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25</v>
      </c>
      <c r="R3267" s="115" t="s">
        <v>1459</v>
      </c>
      <c r="S3267" s="125"/>
    </row>
    <row r="3268" spans="1:19" hidden="1">
      <c r="A3268" s="124" t="s">
        <v>5480</v>
      </c>
      <c r="B3268" s="138" t="str">
        <f ca="1"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 ca="1">IF(Proc[[#This Row],[type]]="LFF (MDG-F)",MID(Proc[[#This Row],[Obj]],13,10),"")</f>
        <v/>
      </c>
      <c r="J3268" s="125" t="b">
        <f ca="1">Proc[[#This Row],[Requested]]=Proc[[#This Row],[CurrentParent]]</f>
        <v>1</v>
      </c>
      <c r="K3268" s="125" t="str">
        <f ca="1"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25</v>
      </c>
      <c r="R3268" s="115" t="s">
        <v>1459</v>
      </c>
      <c r="S3268" s="125"/>
    </row>
    <row r="3269" spans="1:19" hidden="1">
      <c r="A3269" s="124" t="s">
        <v>5480</v>
      </c>
      <c r="B3269" s="138" t="str">
        <f ca="1"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 ca="1">IF(Proc[[#This Row],[type]]="LFF (MDG-F)",MID(Proc[[#This Row],[Obj]],13,10),"")</f>
        <v/>
      </c>
      <c r="J3269" s="125" t="b">
        <f ca="1">Proc[[#This Row],[Requested]]=Proc[[#This Row],[CurrentParent]]</f>
        <v>1</v>
      </c>
      <c r="K3269" s="125" t="str">
        <f ca="1"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25</v>
      </c>
      <c r="R3269" s="115" t="s">
        <v>1459</v>
      </c>
      <c r="S3269" s="125"/>
    </row>
    <row r="3270" spans="1:19" hidden="1">
      <c r="A3270" s="124" t="s">
        <v>5480</v>
      </c>
      <c r="B3270" s="138" t="str">
        <f ca="1"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 ca="1">IF(Proc[[#This Row],[type]]="LFF (MDG-F)",MID(Proc[[#This Row],[Obj]],13,10),"")</f>
        <v/>
      </c>
      <c r="J3270" s="125" t="b">
        <f ca="1">Proc[[#This Row],[Requested]]=Proc[[#This Row],[CurrentParent]]</f>
        <v>1</v>
      </c>
      <c r="K3270" s="125" t="str">
        <f ca="1"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25</v>
      </c>
      <c r="R3270" s="115" t="s">
        <v>1459</v>
      </c>
      <c r="S3270" s="125"/>
    </row>
    <row r="3271" spans="1:19" hidden="1">
      <c r="A3271" s="124" t="s">
        <v>5480</v>
      </c>
      <c r="B3271" s="138" t="str">
        <f ca="1"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 ca="1">IF(Proc[[#This Row],[type]]="LFF (MDG-F)",MID(Proc[[#This Row],[Obj]],13,10),"")</f>
        <v/>
      </c>
      <c r="J3271" s="125" t="b">
        <f ca="1">Proc[[#This Row],[Requested]]=Proc[[#This Row],[CurrentParent]]</f>
        <v>1</v>
      </c>
      <c r="K3271" s="125" t="str">
        <f ca="1"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25</v>
      </c>
      <c r="R3271" s="115" t="s">
        <v>1459</v>
      </c>
      <c r="S3271" s="125"/>
    </row>
    <row r="3272" spans="1:19" hidden="1">
      <c r="A3272" s="124" t="s">
        <v>5480</v>
      </c>
      <c r="B3272" s="138" t="str">
        <f ca="1"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 ca="1">IF(Proc[[#This Row],[type]]="LFF (MDG-F)",MID(Proc[[#This Row],[Obj]],13,10),"")</f>
        <v/>
      </c>
      <c r="J3272" s="125" t="b">
        <f ca="1">Proc[[#This Row],[Requested]]=Proc[[#This Row],[CurrentParent]]</f>
        <v>1</v>
      </c>
      <c r="K3272" s="125" t="str">
        <f ca="1"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25</v>
      </c>
      <c r="R3272" s="115" t="s">
        <v>1459</v>
      </c>
      <c r="S3272" s="125"/>
    </row>
    <row r="3273" spans="1:19" hidden="1">
      <c r="A3273" s="124" t="s">
        <v>5480</v>
      </c>
      <c r="B3273" s="138" t="str">
        <f ca="1"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 ca="1">IF(Proc[[#This Row],[type]]="LFF (MDG-F)",MID(Proc[[#This Row],[Obj]],13,10),"")</f>
        <v/>
      </c>
      <c r="J3273" s="125" t="b">
        <f ca="1">Proc[[#This Row],[Requested]]=Proc[[#This Row],[CurrentParent]]</f>
        <v>1</v>
      </c>
      <c r="K3273" s="125" t="str">
        <f ca="1"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25</v>
      </c>
      <c r="R3273" s="115" t="s">
        <v>1459</v>
      </c>
      <c r="S3273" s="125"/>
    </row>
    <row r="3274" spans="1:19" hidden="1">
      <c r="A3274" s="124" t="s">
        <v>5480</v>
      </c>
      <c r="B3274" s="138" t="str">
        <f ca="1"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 ca="1">IF(Proc[[#This Row],[type]]="LFF (MDG-F)",MID(Proc[[#This Row],[Obj]],13,10),"")</f>
        <v/>
      </c>
      <c r="J3274" s="125" t="b">
        <f ca="1">Proc[[#This Row],[Requested]]=Proc[[#This Row],[CurrentParent]]</f>
        <v>1</v>
      </c>
      <c r="K3274" s="125" t="str">
        <f ca="1"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25</v>
      </c>
      <c r="R3274" s="115" t="s">
        <v>1459</v>
      </c>
      <c r="S3274" s="125"/>
    </row>
    <row r="3275" spans="1:19" hidden="1">
      <c r="A3275" s="124" t="s">
        <v>5480</v>
      </c>
      <c r="B3275" s="138" t="str">
        <f ca="1"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 ca="1">IF(Proc[[#This Row],[type]]="LFF (MDG-F)",MID(Proc[[#This Row],[Obj]],13,10),"")</f>
        <v/>
      </c>
      <c r="J3275" s="125" t="b">
        <f ca="1">Proc[[#This Row],[Requested]]=Proc[[#This Row],[CurrentParent]]</f>
        <v>1</v>
      </c>
      <c r="K3275" s="125" t="str">
        <f ca="1"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25</v>
      </c>
      <c r="R3275" s="115" t="s">
        <v>1459</v>
      </c>
      <c r="S3275" s="125"/>
    </row>
    <row r="3276" spans="1:19" hidden="1">
      <c r="A3276" s="124" t="s">
        <v>5480</v>
      </c>
      <c r="B3276" s="138" t="str">
        <f ca="1"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 ca="1">IF(Proc[[#This Row],[type]]="LFF (MDG-F)",MID(Proc[[#This Row],[Obj]],13,10),"")</f>
        <v/>
      </c>
      <c r="J3276" s="125" t="b">
        <f ca="1">Proc[[#This Row],[Requested]]=Proc[[#This Row],[CurrentParent]]</f>
        <v>1</v>
      </c>
      <c r="K3276" s="125" t="str">
        <f ca="1"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25</v>
      </c>
      <c r="R3276" s="115" t="s">
        <v>1459</v>
      </c>
      <c r="S3276" s="125"/>
    </row>
    <row r="3277" spans="1:19" hidden="1">
      <c r="A3277" s="124" t="s">
        <v>5480</v>
      </c>
      <c r="B3277" s="138" t="str">
        <f ca="1"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 ca="1">IF(Proc[[#This Row],[type]]="LFF (MDG-F)",MID(Proc[[#This Row],[Obj]],13,10),"")</f>
        <v/>
      </c>
      <c r="J3277" s="125" t="b">
        <f ca="1">Proc[[#This Row],[Requested]]=Proc[[#This Row],[CurrentParent]]</f>
        <v>1</v>
      </c>
      <c r="K3277" s="125" t="str">
        <f ca="1"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25</v>
      </c>
      <c r="R3277" s="115" t="s">
        <v>1459</v>
      </c>
      <c r="S3277" s="125"/>
    </row>
    <row r="3278" spans="1:19" hidden="1">
      <c r="A3278" s="124" t="s">
        <v>5480</v>
      </c>
      <c r="B3278" s="138" t="str">
        <f ca="1"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 ca="1">IF(Proc[[#This Row],[type]]="LFF (MDG-F)",MID(Proc[[#This Row],[Obj]],13,10),"")</f>
        <v/>
      </c>
      <c r="J3278" s="125" t="b">
        <f ca="1">Proc[[#This Row],[Requested]]=Proc[[#This Row],[CurrentParent]]</f>
        <v>1</v>
      </c>
      <c r="K3278" s="125" t="str">
        <f ca="1"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25</v>
      </c>
      <c r="R3278" s="115" t="s">
        <v>1459</v>
      </c>
      <c r="S3278" s="125"/>
    </row>
    <row r="3279" spans="1:19" hidden="1">
      <c r="A3279" s="124" t="s">
        <v>5480</v>
      </c>
      <c r="B3279" s="138" t="str">
        <f ca="1"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 ca="1">IF(Proc[[#This Row],[type]]="LFF (MDG-F)",MID(Proc[[#This Row],[Obj]],13,10),"")</f>
        <v/>
      </c>
      <c r="J3279" s="125" t="b">
        <f ca="1">Proc[[#This Row],[Requested]]=Proc[[#This Row],[CurrentParent]]</f>
        <v>1</v>
      </c>
      <c r="K3279" s="125" t="str">
        <f ca="1"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25</v>
      </c>
      <c r="R3279" s="115" t="s">
        <v>1459</v>
      </c>
      <c r="S3279" s="125"/>
    </row>
    <row r="3280" spans="1:19" hidden="1">
      <c r="A3280" s="124" t="s">
        <v>5480</v>
      </c>
      <c r="B3280" s="138" t="str">
        <f ca="1"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 ca="1">IF(Proc[[#This Row],[type]]="LFF (MDG-F)",MID(Proc[[#This Row],[Obj]],13,10),"")</f>
        <v/>
      </c>
      <c r="J3280" s="125" t="b">
        <f ca="1">Proc[[#This Row],[Requested]]=Proc[[#This Row],[CurrentParent]]</f>
        <v>1</v>
      </c>
      <c r="K3280" s="125" t="str">
        <f ca="1"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25</v>
      </c>
      <c r="R3280" s="115" t="s">
        <v>1459</v>
      </c>
      <c r="S3280" s="125"/>
    </row>
    <row r="3281" spans="1:19" hidden="1">
      <c r="A3281" s="124" t="s">
        <v>5480</v>
      </c>
      <c r="B3281" s="138" t="str">
        <f ca="1"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 ca="1">IF(Proc[[#This Row],[type]]="LFF (MDG-F)",MID(Proc[[#This Row],[Obj]],13,10),"")</f>
        <v/>
      </c>
      <c r="J3281" s="125" t="b">
        <f ca="1">Proc[[#This Row],[Requested]]=Proc[[#This Row],[CurrentParent]]</f>
        <v>1</v>
      </c>
      <c r="K3281" s="125" t="str">
        <f ca="1"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25</v>
      </c>
      <c r="R3281" s="115" t="s">
        <v>1459</v>
      </c>
      <c r="S3281" s="125"/>
    </row>
    <row r="3282" spans="1:19" hidden="1">
      <c r="A3282" s="124" t="s">
        <v>5480</v>
      </c>
      <c r="B3282" s="138" t="str">
        <f ca="1"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 ca="1">IF(Proc[[#This Row],[type]]="LFF (MDG-F)",MID(Proc[[#This Row],[Obj]],13,10),"")</f>
        <v/>
      </c>
      <c r="J3282" s="125" t="b">
        <f ca="1">Proc[[#This Row],[Requested]]=Proc[[#This Row],[CurrentParent]]</f>
        <v>1</v>
      </c>
      <c r="K3282" s="125" t="str">
        <f ca="1"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25</v>
      </c>
      <c r="R3282" s="115" t="s">
        <v>1459</v>
      </c>
      <c r="S3282" s="125"/>
    </row>
    <row r="3283" spans="1:19" hidden="1">
      <c r="A3283" s="124" t="s">
        <v>5480</v>
      </c>
      <c r="B3283" s="138" t="str">
        <f ca="1"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40" t="s">
        <v>5571</v>
      </c>
      <c r="G3283" s="124" t="s">
        <v>406</v>
      </c>
      <c r="H3283" s="125" t="str">
        <f ca="1">IF(Proc[[#This Row],[type]]="LFF (MDG-F)",MID(Proc[[#This Row],[Obj]],13,10),"")</f>
        <v>DE65GIT032</v>
      </c>
      <c r="I3283" s="124" t="s">
        <v>4834</v>
      </c>
      <c r="J3283" s="125" t="b">
        <f ca="1">Proc[[#This Row],[Requested]]=Proc[[#This Row],[CurrentParent]]</f>
        <v>0</v>
      </c>
      <c r="K3283" s="125" t="str">
        <f ca="1"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25</v>
      </c>
      <c r="R3283" s="115" t="s">
        <v>1459</v>
      </c>
      <c r="S3283" s="125"/>
    </row>
    <row r="3284" spans="1:19" hidden="1">
      <c r="A3284" s="124" t="s">
        <v>5480</v>
      </c>
      <c r="B3284" s="138" t="str">
        <f ca="1"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 ca="1">IF(Proc[[#This Row],[type]]="LFF (MDG-F)",MID(Proc[[#This Row],[Obj]],13,10),"")</f>
        <v>DE65GIT033</v>
      </c>
      <c r="J3284" s="125" t="b">
        <f ca="1">Proc[[#This Row],[Requested]]=Proc[[#This Row],[CurrentParent]]</f>
        <v>1</v>
      </c>
      <c r="K3284" s="125" t="str">
        <f ca="1"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25</v>
      </c>
      <c r="R3284" s="115" t="s">
        <v>1459</v>
      </c>
      <c r="S3284" s="125"/>
    </row>
    <row r="3285" spans="1:19" hidden="1">
      <c r="A3285" s="124" t="s">
        <v>5480</v>
      </c>
      <c r="B3285" s="138" t="str">
        <f ca="1"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 ca="1">IF(Proc[[#This Row],[type]]="LFF (MDG-F)",MID(Proc[[#This Row],[Obj]],13,10),"")</f>
        <v/>
      </c>
      <c r="J3285" s="125" t="b">
        <f ca="1">Proc[[#This Row],[Requested]]=Proc[[#This Row],[CurrentParent]]</f>
        <v>1</v>
      </c>
      <c r="K3285" s="125" t="str">
        <f ca="1"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25</v>
      </c>
      <c r="R3285" s="115" t="s">
        <v>1459</v>
      </c>
      <c r="S3285" s="125"/>
    </row>
    <row r="3286" spans="1:19" hidden="1">
      <c r="A3286" s="124" t="s">
        <v>5480</v>
      </c>
      <c r="B3286" s="138" t="str">
        <f ca="1"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 ca="1">IF(Proc[[#This Row],[type]]="LFF (MDG-F)",MID(Proc[[#This Row],[Obj]],13,10),"")</f>
        <v>IT50GIT01C</v>
      </c>
      <c r="J3286" s="125" t="b">
        <f ca="1">Proc[[#This Row],[Requested]]=Proc[[#This Row],[CurrentParent]]</f>
        <v>1</v>
      </c>
      <c r="K3286" s="125" t="str">
        <f ca="1"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25</v>
      </c>
      <c r="R3286" s="115" t="s">
        <v>1459</v>
      </c>
      <c r="S3286" s="125"/>
    </row>
    <row r="3287" spans="1:19" hidden="1">
      <c r="A3287" s="124" t="s">
        <v>5480</v>
      </c>
      <c r="B3287" s="138" t="str">
        <f ca="1"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 ca="1">IF(Proc[[#This Row],[type]]="LFF (MDG-F)",MID(Proc[[#This Row],[Obj]],13,10),"")</f>
        <v>IT50GM9100</v>
      </c>
      <c r="J3287" s="125" t="b">
        <f ca="1">Proc[[#This Row],[Requested]]=Proc[[#This Row],[CurrentParent]]</f>
        <v>1</v>
      </c>
      <c r="K3287" s="125" t="str">
        <f ca="1"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25</v>
      </c>
      <c r="R3287" s="115" t="s">
        <v>1459</v>
      </c>
      <c r="S3287" s="125"/>
    </row>
    <row r="3288" spans="1:19" hidden="1">
      <c r="A3288" s="124" t="s">
        <v>5480</v>
      </c>
      <c r="B3288" s="138" t="str">
        <f ca="1"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 ca="1">IF(Proc[[#This Row],[type]]="LFF (MDG-F)",MID(Proc[[#This Row],[Obj]],13,10),"")</f>
        <v/>
      </c>
      <c r="J3288" s="125" t="b">
        <f ca="1">Proc[[#This Row],[Requested]]=Proc[[#This Row],[CurrentParent]]</f>
        <v>1</v>
      </c>
      <c r="K3288" s="125" t="str">
        <f ca="1"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25</v>
      </c>
      <c r="R3288" s="115" t="s">
        <v>1459</v>
      </c>
      <c r="S3288" s="125"/>
    </row>
    <row r="3289" spans="1:19" hidden="1">
      <c r="A3289" s="124" t="s">
        <v>5480</v>
      </c>
      <c r="B3289" s="138" t="str">
        <f ca="1"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 ca="1">IF(Proc[[#This Row],[type]]="LFF (MDG-F)",MID(Proc[[#This Row],[Obj]],13,10),"")</f>
        <v>US01GIT01B</v>
      </c>
      <c r="J3289" s="125" t="b">
        <f ca="1">Proc[[#This Row],[Requested]]=Proc[[#This Row],[CurrentParent]]</f>
        <v>1</v>
      </c>
      <c r="K3289" s="125" t="str">
        <f ca="1"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25</v>
      </c>
      <c r="R3289" s="115" t="s">
        <v>1459</v>
      </c>
      <c r="S3289" s="125"/>
    </row>
    <row r="3290" spans="1:19" hidden="1">
      <c r="A3290" s="124" t="s">
        <v>5480</v>
      </c>
      <c r="B3290" s="138" t="str">
        <f ca="1"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 ca="1">IF(Proc[[#This Row],[type]]="LFF (MDG-F)",MID(Proc[[#This Row],[Obj]],13,10),"")</f>
        <v>DE10518000</v>
      </c>
      <c r="J3290" s="125" t="b">
        <f ca="1">Proc[[#This Row],[Requested]]=Proc[[#This Row],[CurrentParent]]</f>
        <v>1</v>
      </c>
      <c r="K3290" s="125" t="str">
        <f ca="1"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25</v>
      </c>
      <c r="R3290" s="115" t="s">
        <v>1459</v>
      </c>
      <c r="S3290" s="125"/>
    </row>
    <row r="3291" spans="1:19" hidden="1">
      <c r="A3291" s="124" t="s">
        <v>5480</v>
      </c>
      <c r="B3291" s="138" t="str">
        <f ca="1"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 ca="1">IF(Proc[[#This Row],[type]]="LFF (MDG-F)",MID(Proc[[#This Row],[Obj]],13,10),"")</f>
        <v>DE10519000</v>
      </c>
      <c r="J3291" s="125" t="b">
        <f ca="1">Proc[[#This Row],[Requested]]=Proc[[#This Row],[CurrentParent]]</f>
        <v>1</v>
      </c>
      <c r="K3291" s="125" t="str">
        <f ca="1"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25</v>
      </c>
      <c r="R3291" s="115" t="s">
        <v>1459</v>
      </c>
      <c r="S3291" s="125"/>
    </row>
    <row r="3292" spans="1:19" hidden="1">
      <c r="A3292" s="124" t="s">
        <v>5480</v>
      </c>
      <c r="B3292" s="138" t="str">
        <f ca="1"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 ca="1">IF(Proc[[#This Row],[type]]="LFF (MDG-F)",MID(Proc[[#This Row],[Obj]],13,10),"")</f>
        <v>DE10643112</v>
      </c>
      <c r="J3292" s="125" t="b">
        <f ca="1">Proc[[#This Row],[Requested]]=Proc[[#This Row],[CurrentParent]]</f>
        <v>1</v>
      </c>
      <c r="K3292" s="125" t="str">
        <f ca="1"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25</v>
      </c>
      <c r="R3292" s="115" t="s">
        <v>1459</v>
      </c>
      <c r="S3292" s="125"/>
    </row>
    <row r="3293" spans="1:19" hidden="1">
      <c r="A3293" s="124" t="s">
        <v>5480</v>
      </c>
      <c r="B3293" s="138" t="str">
        <f ca="1"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 ca="1">IF(Proc[[#This Row],[type]]="LFF (MDG-F)",MID(Proc[[#This Row],[Obj]],13,10),"")</f>
        <v>DE10677003</v>
      </c>
      <c r="J3293" s="125" t="b">
        <f ca="1">Proc[[#This Row],[Requested]]=Proc[[#This Row],[CurrentParent]]</f>
        <v>1</v>
      </c>
      <c r="K3293" s="125" t="str">
        <f ca="1"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25</v>
      </c>
      <c r="R3293" s="115" t="s">
        <v>1459</v>
      </c>
      <c r="S3293" s="125"/>
    </row>
    <row r="3294" spans="1:19" hidden="1">
      <c r="A3294" s="124" t="s">
        <v>5480</v>
      </c>
      <c r="B3294" s="138" t="str">
        <f ca="1"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 ca="1">IF(Proc[[#This Row],[type]]="LFF (MDG-F)",MID(Proc[[#This Row],[Obj]],13,10),"")</f>
        <v>DE10517000</v>
      </c>
      <c r="J3294" s="125" t="b">
        <f ca="1">Proc[[#This Row],[Requested]]=Proc[[#This Row],[CurrentParent]]</f>
        <v>1</v>
      </c>
      <c r="K3294" s="125" t="str">
        <f ca="1"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25</v>
      </c>
      <c r="R3294" s="115" t="s">
        <v>1459</v>
      </c>
      <c r="S3294" s="125"/>
    </row>
    <row r="3295" spans="1:19" hidden="1">
      <c r="A3295" s="124" t="s">
        <v>5480</v>
      </c>
      <c r="B3295" s="138" t="str">
        <f ca="1"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 ca="1">IF(Proc[[#This Row],[type]]="LFF (MDG-F)",MID(Proc[[#This Row],[Obj]],13,10),"")</f>
        <v>DE10574000</v>
      </c>
      <c r="J3295" s="125" t="b">
        <f ca="1">Proc[[#This Row],[Requested]]=Proc[[#This Row],[CurrentParent]]</f>
        <v>1</v>
      </c>
      <c r="K3295" s="125" t="str">
        <f ca="1"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25</v>
      </c>
      <c r="R3295" s="115" t="s">
        <v>1459</v>
      </c>
      <c r="S3295" s="125"/>
    </row>
    <row r="3296" spans="1:19" hidden="1">
      <c r="A3296" s="124" t="s">
        <v>5480</v>
      </c>
      <c r="B3296" s="138" t="str">
        <f ca="1"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 ca="1">IF(Proc[[#This Row],[type]]="LFF (MDG-F)",MID(Proc[[#This Row],[Obj]],13,10),"")</f>
        <v>DE10679600</v>
      </c>
      <c r="J3296" s="125" t="b">
        <f ca="1">Proc[[#This Row],[Requested]]=Proc[[#This Row],[CurrentParent]]</f>
        <v>1</v>
      </c>
      <c r="K3296" s="125" t="str">
        <f ca="1"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25</v>
      </c>
      <c r="R3296" s="115" t="s">
        <v>1459</v>
      </c>
      <c r="S3296" s="125"/>
    </row>
    <row r="3297" spans="1:19" hidden="1">
      <c r="A3297" s="124" t="s">
        <v>5480</v>
      </c>
      <c r="B3297" s="138" t="str">
        <f ca="1"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 ca="1">IF(Proc[[#This Row],[type]]="LFF (MDG-F)",MID(Proc[[#This Row],[Obj]],13,10),"")</f>
        <v>DE10512500</v>
      </c>
      <c r="J3297" s="125" t="b">
        <f ca="1">Proc[[#This Row],[Requested]]=Proc[[#This Row],[CurrentParent]]</f>
        <v>1</v>
      </c>
      <c r="K3297" s="125" t="str">
        <f ca="1"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25</v>
      </c>
      <c r="R3297" s="115" t="s">
        <v>1459</v>
      </c>
      <c r="S3297" s="125"/>
    </row>
    <row r="3298" spans="1:19" hidden="1">
      <c r="A3298" s="124" t="s">
        <v>5480</v>
      </c>
      <c r="B3298" s="138" t="str">
        <f ca="1"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 ca="1">IF(Proc[[#This Row],[type]]="LFF (MDG-F)",MID(Proc[[#This Row],[Obj]],13,10),"")</f>
        <v>DE10656400</v>
      </c>
      <c r="J3298" s="125" t="b">
        <f ca="1">Proc[[#This Row],[Requested]]=Proc[[#This Row],[CurrentParent]]</f>
        <v>1</v>
      </c>
      <c r="K3298" s="125" t="str">
        <f ca="1"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25</v>
      </c>
      <c r="R3298" s="115" t="s">
        <v>1459</v>
      </c>
      <c r="S3298" s="125"/>
    </row>
    <row r="3299" spans="1:19" hidden="1">
      <c r="A3299" s="124" t="s">
        <v>5480</v>
      </c>
      <c r="B3299" s="138" t="str">
        <f ca="1"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 ca="1">IF(Proc[[#This Row],[type]]="LFF (MDG-F)",MID(Proc[[#This Row],[Obj]],13,10),"")</f>
        <v>DE10677200</v>
      </c>
      <c r="J3299" s="125" t="b">
        <f ca="1">Proc[[#This Row],[Requested]]=Proc[[#This Row],[CurrentParent]]</f>
        <v>1</v>
      </c>
      <c r="K3299" s="125" t="str">
        <f ca="1"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25</v>
      </c>
      <c r="R3299" s="115" t="s">
        <v>1459</v>
      </c>
      <c r="S3299" s="125"/>
    </row>
    <row r="3300" spans="1:19" hidden="1">
      <c r="A3300" s="124" t="s">
        <v>5480</v>
      </c>
      <c r="B3300" s="138" t="str">
        <f ca="1">IFERROR(VLOOKUP(Proc[[#This Row],[App]],Table2[],3,0),"open")</f>
        <v>open</v>
      </c>
      <c r="C3300" s="124" t="s">
        <v>369</v>
      </c>
      <c r="D3300" t="s">
        <v>5328</v>
      </c>
      <c r="E3300" t="s">
        <v>4412</v>
      </c>
      <c r="F3300" s="140" t="s">
        <v>4412</v>
      </c>
      <c r="G3300" s="124" t="s">
        <v>406</v>
      </c>
      <c r="H3300" s="125" t="str">
        <f ca="1">IF(Proc[[#This Row],[type]]="LFF (MDG-F)",MID(Proc[[#This Row],[Obj]],13,10),"")</f>
        <v>DE10685700</v>
      </c>
      <c r="I3300" t="s">
        <v>5481</v>
      </c>
      <c r="J3300" s="125" t="b">
        <f ca="1">Proc[[#This Row],[Requested]]=Proc[[#This Row],[CurrentParent]]</f>
        <v>1</v>
      </c>
      <c r="K3300" s="125" t="str">
        <f ca="1"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25</v>
      </c>
      <c r="R3300" s="115" t="s">
        <v>1459</v>
      </c>
      <c r="S3300" s="125"/>
    </row>
    <row r="3301" spans="1:19" hidden="1">
      <c r="A3301" s="124" t="s">
        <v>5480</v>
      </c>
      <c r="B3301" s="138" t="str">
        <f ca="1"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 ca="1">IF(Proc[[#This Row],[type]]="LFF (MDG-F)",MID(Proc[[#This Row],[Obj]],13,10),"")</f>
        <v>DE10643100</v>
      </c>
      <c r="J3301" s="125" t="b">
        <f ca="1">Proc[[#This Row],[Requested]]=Proc[[#This Row],[CurrentParent]]</f>
        <v>1</v>
      </c>
      <c r="K3301" s="125" t="str">
        <f ca="1"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25</v>
      </c>
      <c r="R3301" s="115" t="s">
        <v>1459</v>
      </c>
      <c r="S3301" s="125"/>
    </row>
    <row r="3302" spans="1:19" hidden="1">
      <c r="A3302" s="124" t="s">
        <v>5480</v>
      </c>
      <c r="B3302" s="138" t="str">
        <f ca="1"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 ca="1">IF(Proc[[#This Row],[type]]="LFF (MDG-F)",MID(Proc[[#This Row],[Obj]],13,10),"")</f>
        <v>DE10669636</v>
      </c>
      <c r="J3302" s="125" t="b">
        <f ca="1">Proc[[#This Row],[Requested]]=Proc[[#This Row],[CurrentParent]]</f>
        <v>1</v>
      </c>
      <c r="K3302" s="125" t="str">
        <f ca="1"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25</v>
      </c>
      <c r="R3302" s="115" t="s">
        <v>1459</v>
      </c>
      <c r="S3302" s="125"/>
    </row>
    <row r="3303" spans="1:19" hidden="1">
      <c r="A3303" s="124" t="s">
        <v>5480</v>
      </c>
      <c r="B3303" s="138" t="str">
        <f ca="1"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 ca="1">IF(Proc[[#This Row],[type]]="LFF (MDG-F)",MID(Proc[[#This Row],[Obj]],13,10),"")</f>
        <v>DE10635800</v>
      </c>
      <c r="J3303" s="125" t="b">
        <f ca="1">Proc[[#This Row],[Requested]]=Proc[[#This Row],[CurrentParent]]</f>
        <v>1</v>
      </c>
      <c r="K3303" s="125" t="str">
        <f ca="1"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25</v>
      </c>
      <c r="R3303" s="115" t="s">
        <v>1459</v>
      </c>
      <c r="S3303" s="125"/>
    </row>
    <row r="3304" spans="1:19" hidden="1">
      <c r="A3304" s="124" t="s">
        <v>5480</v>
      </c>
      <c r="B3304" s="138" t="str">
        <f ca="1"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 ca="1">IF(Proc[[#This Row],[type]]="LFF (MDG-F)",MID(Proc[[#This Row],[Obj]],13,10),"")</f>
        <v>DE10561800</v>
      </c>
      <c r="J3304" s="125" t="b">
        <f ca="1">Proc[[#This Row],[Requested]]=Proc[[#This Row],[CurrentParent]]</f>
        <v>1</v>
      </c>
      <c r="K3304" s="125" t="str">
        <f ca="1"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25</v>
      </c>
      <c r="R3304" s="115" t="s">
        <v>1459</v>
      </c>
      <c r="S3304" s="125"/>
    </row>
    <row r="3305" spans="1:19" hidden="1">
      <c r="A3305" s="124" t="s">
        <v>5480</v>
      </c>
      <c r="B3305" s="138" t="str">
        <f ca="1"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 ca="1">IF(Proc[[#This Row],[type]]="LFF (MDG-F)",MID(Proc[[#This Row],[Obj]],13,10),"")</f>
        <v>DE10GIT706</v>
      </c>
      <c r="J3305" s="125" t="b">
        <f ca="1">Proc[[#This Row],[Requested]]=Proc[[#This Row],[CurrentParent]]</f>
        <v>1</v>
      </c>
      <c r="K3305" s="125" t="str">
        <f ca="1"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25</v>
      </c>
      <c r="R3305" s="115" t="s">
        <v>1459</v>
      </c>
      <c r="S3305" s="125"/>
    </row>
    <row r="3306" spans="1:19" hidden="1">
      <c r="A3306" s="124" t="s">
        <v>5480</v>
      </c>
      <c r="B3306" s="138" t="str">
        <f ca="1"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 ca="1">IF(Proc[[#This Row],[type]]="LFF (MDG-F)",MID(Proc[[#This Row],[Obj]],13,10),"")</f>
        <v>DE10669635</v>
      </c>
      <c r="J3306" s="125" t="b">
        <f ca="1">Proc[[#This Row],[Requested]]=Proc[[#This Row],[CurrentParent]]</f>
        <v>1</v>
      </c>
      <c r="K3306" s="125" t="str">
        <f ca="1"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25</v>
      </c>
      <c r="R3306" s="115" t="s">
        <v>1459</v>
      </c>
      <c r="S3306" s="125"/>
    </row>
    <row r="3307" spans="1:19" hidden="1">
      <c r="A3307" s="124" t="s">
        <v>5480</v>
      </c>
      <c r="B3307" s="138" t="str">
        <f ca="1"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 ca="1">IF(Proc[[#This Row],[type]]="LFF (MDG-F)",MID(Proc[[#This Row],[Obj]],13,10),"")</f>
        <v>DE10GIT06A</v>
      </c>
      <c r="J3307" s="125" t="b">
        <f ca="1">Proc[[#This Row],[Requested]]=Proc[[#This Row],[CurrentParent]]</f>
        <v>1</v>
      </c>
      <c r="K3307" s="125" t="str">
        <f ca="1"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25</v>
      </c>
      <c r="R3307" s="115" t="s">
        <v>1459</v>
      </c>
      <c r="S3307" s="125"/>
    </row>
    <row r="3308" spans="1:19" hidden="1">
      <c r="A3308" s="124" t="s">
        <v>5480</v>
      </c>
      <c r="B3308" s="138" t="str">
        <f ca="1"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 ca="1">IF(Proc[[#This Row],[type]]="LFF (MDG-F)",MID(Proc[[#This Row],[Obj]],13,10),"")</f>
        <v>DE10GIT05A</v>
      </c>
      <c r="J3308" s="125" t="b">
        <f ca="1">Proc[[#This Row],[Requested]]=Proc[[#This Row],[CurrentParent]]</f>
        <v>1</v>
      </c>
      <c r="K3308" s="125" t="str">
        <f ca="1"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25</v>
      </c>
      <c r="R3308" s="115" t="s">
        <v>1459</v>
      </c>
      <c r="S3308" s="125"/>
    </row>
    <row r="3309" spans="1:19" hidden="1">
      <c r="A3309" s="124" t="s">
        <v>5480</v>
      </c>
      <c r="B3309" s="138" t="str">
        <f ca="1"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 ca="1">IF(Proc[[#This Row],[type]]="LFF (MDG-F)",MID(Proc[[#This Row],[Obj]],13,10),"")</f>
        <v>DE10YIT009</v>
      </c>
      <c r="J3309" s="125" t="b">
        <f ca="1">Proc[[#This Row],[Requested]]=Proc[[#This Row],[CurrentParent]]</f>
        <v>1</v>
      </c>
      <c r="K3309" s="125" t="str">
        <f ca="1"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25</v>
      </c>
      <c r="R3309" s="115" t="s">
        <v>1459</v>
      </c>
      <c r="S3309" s="125"/>
    </row>
    <row r="3310" spans="1:19" hidden="1">
      <c r="A3310" s="124" t="s">
        <v>5480</v>
      </c>
      <c r="B3310" s="138" t="str">
        <f ca="1"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 ca="1">IF(Proc[[#This Row],[type]]="LFF (MDG-F)",MID(Proc[[#This Row],[Obj]],13,10),"")</f>
        <v>DE10YIT008</v>
      </c>
      <c r="J3310" s="125" t="b">
        <f ca="1">Proc[[#This Row],[Requested]]=Proc[[#This Row],[CurrentParent]]</f>
        <v>1</v>
      </c>
      <c r="K3310" s="125" t="str">
        <f ca="1"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25</v>
      </c>
      <c r="R3310" s="115" t="s">
        <v>1459</v>
      </c>
      <c r="S3310" s="125"/>
    </row>
    <row r="3311" spans="1:19" hidden="1">
      <c r="A3311" s="124" t="s">
        <v>5480</v>
      </c>
      <c r="B3311" s="138" t="str">
        <f ca="1"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 ca="1">IF(Proc[[#This Row],[type]]="LFF (MDG-F)",MID(Proc[[#This Row],[Obj]],13,10),"")</f>
        <v>DE10YIT012</v>
      </c>
      <c r="J3311" s="125" t="b">
        <f ca="1">Proc[[#This Row],[Requested]]=Proc[[#This Row],[CurrentParent]]</f>
        <v>1</v>
      </c>
      <c r="K3311" s="125" t="str">
        <f ca="1"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25</v>
      </c>
      <c r="R3311" s="115" t="s">
        <v>1459</v>
      </c>
      <c r="S3311" s="125"/>
    </row>
    <row r="3312" spans="1:19" hidden="1">
      <c r="A3312" s="124" t="s">
        <v>5480</v>
      </c>
      <c r="B3312" s="138" t="str">
        <f ca="1"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 ca="1">IF(Proc[[#This Row],[type]]="LFF (MDG-F)",MID(Proc[[#This Row],[Obj]],13,10),"")</f>
        <v>DE10YIT011</v>
      </c>
      <c r="J3312" s="125" t="b">
        <f ca="1">Proc[[#This Row],[Requested]]=Proc[[#This Row],[CurrentParent]]</f>
        <v>1</v>
      </c>
      <c r="K3312" s="125" t="str">
        <f ca="1"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25</v>
      </c>
      <c r="R3312" s="115" t="s">
        <v>1459</v>
      </c>
      <c r="S3312" s="125"/>
    </row>
    <row r="3313" spans="1:19" hidden="1">
      <c r="A3313" s="124" t="s">
        <v>5480</v>
      </c>
      <c r="B3313" s="138" t="str">
        <f ca="1"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 ca="1">IF(Proc[[#This Row],[type]]="LFF (MDG-F)",MID(Proc[[#This Row],[Obj]],13,10),"")</f>
        <v>DE10669632</v>
      </c>
      <c r="J3313" s="125" t="b">
        <f ca="1">Proc[[#This Row],[Requested]]=Proc[[#This Row],[CurrentParent]]</f>
        <v>1</v>
      </c>
      <c r="K3313" s="125" t="str">
        <f ca="1"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25</v>
      </c>
      <c r="R3313" s="115" t="s">
        <v>1459</v>
      </c>
      <c r="S3313" s="125"/>
    </row>
    <row r="3314" spans="1:19" hidden="1">
      <c r="A3314" s="124" t="s">
        <v>5480</v>
      </c>
      <c r="B3314" s="138" t="str">
        <f ca="1"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 ca="1">IF(Proc[[#This Row],[type]]="LFF (MDG-F)",MID(Proc[[#This Row],[Obj]],13,10),"")</f>
        <v>DE10669646</v>
      </c>
      <c r="J3314" s="125" t="b">
        <f ca="1">Proc[[#This Row],[Requested]]=Proc[[#This Row],[CurrentParent]]</f>
        <v>1</v>
      </c>
      <c r="K3314" s="125" t="str">
        <f ca="1"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25</v>
      </c>
      <c r="R3314" s="115" t="s">
        <v>1459</v>
      </c>
      <c r="S3314" s="125"/>
    </row>
    <row r="3315" spans="1:19" hidden="1">
      <c r="A3315" s="124" t="s">
        <v>5480</v>
      </c>
      <c r="B3315" s="138" t="str">
        <f ca="1"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 ca="1">IF(Proc[[#This Row],[type]]="LFF (MDG-F)",MID(Proc[[#This Row],[Obj]],13,10),"")</f>
        <v>DE10669656</v>
      </c>
      <c r="J3315" s="125" t="b">
        <f ca="1">Proc[[#This Row],[Requested]]=Proc[[#This Row],[CurrentParent]]</f>
        <v>1</v>
      </c>
      <c r="K3315" s="125" t="str">
        <f ca="1"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25</v>
      </c>
      <c r="R3315" s="115" t="s">
        <v>1459</v>
      </c>
      <c r="S3315" s="125"/>
    </row>
    <row r="3316" spans="1:19" hidden="1">
      <c r="A3316" s="124" t="s">
        <v>5480</v>
      </c>
      <c r="B3316" s="138" t="str">
        <f ca="1"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 ca="1">IF(Proc[[#This Row],[type]]="LFF (MDG-F)",MID(Proc[[#This Row],[Obj]],13,10),"")</f>
        <v>DE10YIT013</v>
      </c>
      <c r="J3316" s="125" t="b">
        <f ca="1">Proc[[#This Row],[Requested]]=Proc[[#This Row],[CurrentParent]]</f>
        <v>1</v>
      </c>
      <c r="K3316" s="125" t="str">
        <f ca="1"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25</v>
      </c>
      <c r="R3316" s="115" t="s">
        <v>1459</v>
      </c>
      <c r="S3316" s="125"/>
    </row>
    <row r="3317" spans="1:19" hidden="1">
      <c r="A3317" s="124" t="s">
        <v>5480</v>
      </c>
      <c r="B3317" s="138" t="str">
        <f ca="1"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 ca="1">IF(Proc[[#This Row],[type]]="LFF (MDG-F)",MID(Proc[[#This Row],[Obj]],13,10),"")</f>
        <v>DE10638480</v>
      </c>
      <c r="J3317" s="125" t="b">
        <f ca="1">Proc[[#This Row],[Requested]]=Proc[[#This Row],[CurrentParent]]</f>
        <v>1</v>
      </c>
      <c r="K3317" s="125" t="str">
        <f ca="1"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25</v>
      </c>
      <c r="R3317" s="115" t="s">
        <v>1459</v>
      </c>
      <c r="S3317" s="125"/>
    </row>
    <row r="3318" spans="1:19" hidden="1">
      <c r="A3318" s="124" t="s">
        <v>5480</v>
      </c>
      <c r="B3318" s="138" t="str">
        <f ca="1"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 ca="1">IF(Proc[[#This Row],[type]]="LFF (MDG-F)",MID(Proc[[#This Row],[Obj]],13,10),"")</f>
        <v>DE10638470</v>
      </c>
      <c r="J3318" s="125" t="b">
        <f ca="1">Proc[[#This Row],[Requested]]=Proc[[#This Row],[CurrentParent]]</f>
        <v>1</v>
      </c>
      <c r="K3318" s="125" t="str">
        <f ca="1"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25</v>
      </c>
      <c r="R3318" s="115" t="s">
        <v>1459</v>
      </c>
      <c r="S3318" s="125"/>
    </row>
    <row r="3319" spans="1:19" hidden="1">
      <c r="A3319" s="124" t="s">
        <v>5480</v>
      </c>
      <c r="B3319" s="138" t="str">
        <f ca="1"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 ca="1">IF(Proc[[#This Row],[type]]="LFF (MDG-F)",MID(Proc[[#This Row],[Obj]],13,10),"")</f>
        <v>DE10512503</v>
      </c>
      <c r="J3319" s="125" t="b">
        <f ca="1">Proc[[#This Row],[Requested]]=Proc[[#This Row],[CurrentParent]]</f>
        <v>1</v>
      </c>
      <c r="K3319" s="125" t="str">
        <f ca="1"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25</v>
      </c>
      <c r="R3319" s="115" t="s">
        <v>1459</v>
      </c>
      <c r="S3319" s="125"/>
    </row>
    <row r="3320" spans="1:19" hidden="1">
      <c r="A3320" s="124" t="s">
        <v>5480</v>
      </c>
      <c r="B3320" s="138" t="str">
        <f ca="1"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 ca="1">IF(Proc[[#This Row],[type]]="LFF (MDG-F)",MID(Proc[[#This Row],[Obj]],13,10),"")</f>
        <v>DE10638460</v>
      </c>
      <c r="J3320" s="125" t="b">
        <f ca="1">Proc[[#This Row],[Requested]]=Proc[[#This Row],[CurrentParent]]</f>
        <v>1</v>
      </c>
      <c r="K3320" s="125" t="str">
        <f ca="1"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25</v>
      </c>
      <c r="R3320" s="115" t="s">
        <v>1459</v>
      </c>
      <c r="S3320" s="125"/>
    </row>
    <row r="3321" spans="1:19" hidden="1">
      <c r="A3321" s="124" t="s">
        <v>5480</v>
      </c>
      <c r="B3321" s="138" t="str">
        <f ca="1"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 ca="1">IF(Proc[[#This Row],[type]]="LFF (MDG-F)",MID(Proc[[#This Row],[Obj]],13,10),"")</f>
        <v>DE10512502</v>
      </c>
      <c r="J3321" s="125" t="b">
        <f ca="1">Proc[[#This Row],[Requested]]=Proc[[#This Row],[CurrentParent]]</f>
        <v>1</v>
      </c>
      <c r="K3321" s="125" t="str">
        <f ca="1"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25</v>
      </c>
      <c r="R3321" s="115" t="s">
        <v>1459</v>
      </c>
      <c r="S3321" s="125"/>
    </row>
    <row r="3322" spans="1:19" hidden="1">
      <c r="A3322" s="124" t="s">
        <v>5480</v>
      </c>
      <c r="B3322" s="138" t="str">
        <f ca="1"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 ca="1">IF(Proc[[#This Row],[type]]="LFF (MDG-F)",MID(Proc[[#This Row],[Obj]],13,10),"")</f>
        <v>DE10512501</v>
      </c>
      <c r="J3322" s="125" t="b">
        <f ca="1">Proc[[#This Row],[Requested]]=Proc[[#This Row],[CurrentParent]]</f>
        <v>1</v>
      </c>
      <c r="K3322" s="125" t="str">
        <f ca="1"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25</v>
      </c>
      <c r="R3322" s="115" t="s">
        <v>1459</v>
      </c>
      <c r="S3322" s="125"/>
    </row>
    <row r="3323" spans="1:19" hidden="1">
      <c r="A3323" s="124" t="s">
        <v>5480</v>
      </c>
      <c r="B3323" s="138" t="str">
        <f ca="1"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 ca="1">IF(Proc[[#This Row],[type]]="LFF (MDG-F)",MID(Proc[[#This Row],[Obj]],13,10),"")</f>
        <v>DE10638450</v>
      </c>
      <c r="J3323" s="125" t="b">
        <f ca="1">Proc[[#This Row],[Requested]]=Proc[[#This Row],[CurrentParent]]</f>
        <v>1</v>
      </c>
      <c r="K3323" s="125" t="str">
        <f ca="1"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25</v>
      </c>
      <c r="R3323" s="115" t="s">
        <v>1459</v>
      </c>
      <c r="S3323" s="125"/>
    </row>
    <row r="3324" spans="1:19" hidden="1">
      <c r="A3324" s="124" t="s">
        <v>5480</v>
      </c>
      <c r="B3324" s="138" t="str">
        <f ca="1"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 ca="1">IF(Proc[[#This Row],[type]]="LFF (MDG-F)",MID(Proc[[#This Row],[Obj]],13,10),"")</f>
        <v>DE10GMS020</v>
      </c>
      <c r="J3324" s="125" t="b">
        <f ca="1">Proc[[#This Row],[Requested]]=Proc[[#This Row],[CurrentParent]]</f>
        <v>1</v>
      </c>
      <c r="K3324" s="125" t="str">
        <f ca="1"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25</v>
      </c>
      <c r="R3324" s="115" t="s">
        <v>1459</v>
      </c>
      <c r="S3324" s="125"/>
    </row>
    <row r="3325" spans="1:19" hidden="1">
      <c r="A3325" s="124" t="s">
        <v>5480</v>
      </c>
      <c r="B3325" s="138" t="str">
        <f ca="1"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 ca="1">IF(Proc[[#This Row],[type]]="LFF (MDG-F)",MID(Proc[[#This Row],[Obj]],13,10),"")</f>
        <v>DE10GMS041</v>
      </c>
      <c r="J3325" s="125" t="b">
        <f ca="1">Proc[[#This Row],[Requested]]=Proc[[#This Row],[CurrentParent]]</f>
        <v>1</v>
      </c>
      <c r="K3325" s="125" t="str">
        <f ca="1"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25</v>
      </c>
      <c r="R3325" s="115" t="s">
        <v>1459</v>
      </c>
      <c r="S3325" s="125"/>
    </row>
    <row r="3326" spans="1:19" hidden="1">
      <c r="A3326" s="124" t="s">
        <v>5480</v>
      </c>
      <c r="B3326" s="138" t="str">
        <f ca="1"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 ca="1">IF(Proc[[#This Row],[type]]="LFF (MDG-F)",MID(Proc[[#This Row],[Obj]],13,10),"")</f>
        <v>DE10698300</v>
      </c>
      <c r="J3326" s="125" t="b">
        <f ca="1">Proc[[#This Row],[Requested]]=Proc[[#This Row],[CurrentParent]]</f>
        <v>1</v>
      </c>
      <c r="K3326" s="125" t="str">
        <f ca="1"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25</v>
      </c>
      <c r="R3326" s="115" t="s">
        <v>1459</v>
      </c>
      <c r="S3326" s="125"/>
    </row>
    <row r="3327" spans="1:19" hidden="1">
      <c r="A3327" s="124" t="s">
        <v>5480</v>
      </c>
      <c r="B3327" s="138" t="str">
        <f ca="1"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 ca="1">IF(Proc[[#This Row],[type]]="LFF (MDG-F)",MID(Proc[[#This Row],[Obj]],13,10),"")</f>
        <v>DE10669630</v>
      </c>
      <c r="J3327" s="125" t="b">
        <f ca="1">Proc[[#This Row],[Requested]]=Proc[[#This Row],[CurrentParent]]</f>
        <v>1</v>
      </c>
      <c r="K3327" s="125" t="str">
        <f ca="1"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25</v>
      </c>
      <c r="R3327" s="115" t="s">
        <v>1459</v>
      </c>
      <c r="S3327" s="125"/>
    </row>
    <row r="3328" spans="1:19" hidden="1">
      <c r="A3328" s="124" t="s">
        <v>5480</v>
      </c>
      <c r="B3328" s="138" t="str">
        <f ca="1"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 ca="1">IF(Proc[[#This Row],[type]]="LFF (MDG-F)",MID(Proc[[#This Row],[Obj]],13,10),"")</f>
        <v>DE10669642</v>
      </c>
      <c r="J3328" s="125" t="b">
        <f ca="1">Proc[[#This Row],[Requested]]=Proc[[#This Row],[CurrentParent]]</f>
        <v>1</v>
      </c>
      <c r="K3328" s="125" t="str">
        <f ca="1"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25</v>
      </c>
      <c r="R3328" s="115" t="s">
        <v>1459</v>
      </c>
      <c r="S3328" s="125"/>
    </row>
    <row r="3329" spans="1:19" hidden="1">
      <c r="A3329" s="124" t="s">
        <v>5480</v>
      </c>
      <c r="B3329" s="138" t="str">
        <f ca="1"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 ca="1">IF(Proc[[#This Row],[type]]="LFF (MDG-F)",MID(Proc[[#This Row],[Obj]],13,10),"")</f>
        <v>DE10Y00008</v>
      </c>
      <c r="J3329" s="125" t="b">
        <f ca="1">Proc[[#This Row],[Requested]]=Proc[[#This Row],[CurrentParent]]</f>
        <v>1</v>
      </c>
      <c r="K3329" s="125" t="str">
        <f ca="1"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25</v>
      </c>
      <c r="R3329" s="115" t="s">
        <v>1459</v>
      </c>
      <c r="S3329" s="125"/>
    </row>
    <row r="3330" spans="1:19" hidden="1">
      <c r="A3330" s="124" t="s">
        <v>5480</v>
      </c>
      <c r="B3330" s="138" t="str">
        <f ca="1"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 ca="1">IF(Proc[[#This Row],[type]]="LFF (MDG-F)",MID(Proc[[#This Row],[Obj]],13,10),"")</f>
        <v/>
      </c>
      <c r="J3330" s="125" t="b">
        <f ca="1">Proc[[#This Row],[Requested]]=Proc[[#This Row],[CurrentParent]]</f>
        <v>1</v>
      </c>
      <c r="K3330" s="125" t="str">
        <f ca="1"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25</v>
      </c>
      <c r="R3330" s="115" t="s">
        <v>1459</v>
      </c>
      <c r="S3330" s="125"/>
    </row>
    <row r="3331" spans="1:19" hidden="1">
      <c r="A3331" s="124" t="s">
        <v>5480</v>
      </c>
      <c r="B3331" s="138" t="str">
        <f ca="1"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 ca="1">IF(Proc[[#This Row],[type]]="LFF (MDG-F)",MID(Proc[[#This Row],[Obj]],13,10),"")</f>
        <v>CN70GIT301</v>
      </c>
      <c r="J3331" s="125" t="b">
        <f ca="1">Proc[[#This Row],[Requested]]=Proc[[#This Row],[CurrentParent]]</f>
        <v>1</v>
      </c>
      <c r="K3331" s="125" t="str">
        <f ca="1"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25</v>
      </c>
      <c r="R3331" s="115" t="s">
        <v>1459</v>
      </c>
      <c r="S3331" s="125"/>
    </row>
    <row r="3332" spans="1:19" hidden="1">
      <c r="A3332" s="124" t="s">
        <v>5480</v>
      </c>
      <c r="B3332" s="138" t="str">
        <f ca="1"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 ca="1">IF(Proc[[#This Row],[type]]="LFF (MDG-F)",MID(Proc[[#This Row],[Obj]],13,10),"")</f>
        <v/>
      </c>
      <c r="J3332" s="125" t="b">
        <f ca="1">Proc[[#This Row],[Requested]]=Proc[[#This Row],[CurrentParent]]</f>
        <v>1</v>
      </c>
      <c r="K3332" s="125" t="str">
        <f ca="1"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25</v>
      </c>
      <c r="R3332" s="115" t="s">
        <v>1459</v>
      </c>
      <c r="S3332" s="125"/>
    </row>
    <row r="3333" spans="1:19" hidden="1">
      <c r="A3333" s="124" t="s">
        <v>5480</v>
      </c>
      <c r="B3333" s="138" t="str">
        <f ca="1"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 ca="1">IF(Proc[[#This Row],[type]]="LFF (MDG-F)",MID(Proc[[#This Row],[Obj]],13,10),"")</f>
        <v>EG50GIT051</v>
      </c>
      <c r="J3333" s="125" t="b">
        <f ca="1">Proc[[#This Row],[Requested]]=Proc[[#This Row],[CurrentParent]]</f>
        <v>1</v>
      </c>
      <c r="K3333" s="125" t="str">
        <f ca="1"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25</v>
      </c>
      <c r="R3333" s="115" t="s">
        <v>1459</v>
      </c>
      <c r="S3333" s="125"/>
    </row>
    <row r="3334" spans="1:19" hidden="1">
      <c r="A3334" s="124" t="s">
        <v>5480</v>
      </c>
      <c r="B3334" s="138" t="str">
        <f ca="1"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 ca="1">IF(Proc[[#This Row],[type]]="LFF (MDG-F)",MID(Proc[[#This Row],[Obj]],13,10),"")</f>
        <v>EG50GIT030</v>
      </c>
      <c r="J3334" s="125" t="b">
        <f ca="1">Proc[[#This Row],[Requested]]=Proc[[#This Row],[CurrentParent]]</f>
        <v>1</v>
      </c>
      <c r="K3334" s="125" t="str">
        <f ca="1"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25</v>
      </c>
      <c r="R3334" s="115" t="s">
        <v>1459</v>
      </c>
      <c r="S3334" s="125"/>
    </row>
    <row r="3335" spans="1:19" hidden="1">
      <c r="A3335" s="124" t="s">
        <v>5480</v>
      </c>
      <c r="B3335" s="138" t="str">
        <f ca="1"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 ca="1">IF(Proc[[#This Row],[type]]="LFF (MDG-F)",MID(Proc[[#This Row],[Obj]],13,10),"")</f>
        <v/>
      </c>
      <c r="J3335" s="125" t="b">
        <f ca="1">Proc[[#This Row],[Requested]]=Proc[[#This Row],[CurrentParent]]</f>
        <v>1</v>
      </c>
      <c r="K3335" s="125" t="str">
        <f ca="1"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25</v>
      </c>
      <c r="R3335" s="115" t="s">
        <v>1459</v>
      </c>
      <c r="S3335" s="125"/>
    </row>
    <row r="3336" spans="1:19" hidden="1">
      <c r="A3336" s="124" t="s">
        <v>5480</v>
      </c>
      <c r="B3336" s="138" t="str">
        <f ca="1"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 ca="1">IF(Proc[[#This Row],[type]]="LFF (MDG-F)",MID(Proc[[#This Row],[Obj]],13,10),"")</f>
        <v/>
      </c>
      <c r="J3336" s="125" t="b">
        <f ca="1">Proc[[#This Row],[Requested]]=Proc[[#This Row],[CurrentParent]]</f>
        <v>1</v>
      </c>
      <c r="K3336" s="125" t="str">
        <f ca="1"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25</v>
      </c>
      <c r="R3336" s="115" t="s">
        <v>1459</v>
      </c>
      <c r="S3336" s="125"/>
    </row>
    <row r="3337" spans="1:19" hidden="1">
      <c r="A3337" s="124" t="s">
        <v>5480</v>
      </c>
      <c r="B3337" s="138" t="str">
        <f ca="1"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 ca="1">IF(Proc[[#This Row],[type]]="LFF (MDG-F)",MID(Proc[[#This Row],[Obj]],13,10),"")</f>
        <v/>
      </c>
      <c r="J3337" s="125" t="b">
        <f ca="1">Proc[[#This Row],[Requested]]=Proc[[#This Row],[CurrentParent]]</f>
        <v>1</v>
      </c>
      <c r="K3337" s="125" t="str">
        <f ca="1"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25</v>
      </c>
      <c r="R3337" s="115" t="s">
        <v>1459</v>
      </c>
      <c r="S3337" s="125"/>
    </row>
    <row r="3338" spans="1:19" hidden="1">
      <c r="A3338" s="124" t="s">
        <v>5480</v>
      </c>
      <c r="B3338" s="138" t="str">
        <f ca="1"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 ca="1">IF(Proc[[#This Row],[type]]="LFF (MDG-F)",MID(Proc[[#This Row],[Obj]],13,10),"")</f>
        <v/>
      </c>
      <c r="J3338" s="125" t="b">
        <f ca="1">Proc[[#This Row],[Requested]]=Proc[[#This Row],[CurrentParent]]</f>
        <v>1</v>
      </c>
      <c r="K3338" s="125" t="str">
        <f ca="1"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25</v>
      </c>
      <c r="R3338" s="115" t="s">
        <v>1459</v>
      </c>
      <c r="S3338" s="125"/>
    </row>
    <row r="3339" spans="1:19" hidden="1">
      <c r="A3339" s="124" t="s">
        <v>5480</v>
      </c>
      <c r="B3339" s="138" t="str">
        <f ca="1"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 ca="1">IF(Proc[[#This Row],[type]]="LFF (MDG-F)",MID(Proc[[#This Row],[Obj]],13,10),"")</f>
        <v/>
      </c>
      <c r="J3339" s="125" t="b">
        <f ca="1">Proc[[#This Row],[Requested]]=Proc[[#This Row],[CurrentParent]]</f>
        <v>1</v>
      </c>
      <c r="K3339" s="125" t="str">
        <f ca="1"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25</v>
      </c>
      <c r="R3339" s="115" t="s">
        <v>1459</v>
      </c>
      <c r="S3339" s="125"/>
    </row>
    <row r="3340" spans="1:19" hidden="1">
      <c r="A3340" s="124" t="s">
        <v>5480</v>
      </c>
      <c r="B3340" s="138" t="str">
        <f ca="1"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 ca="1">IF(Proc[[#This Row],[type]]="LFF (MDG-F)",MID(Proc[[#This Row],[Obj]],13,10),"")</f>
        <v/>
      </c>
      <c r="J3340" s="125" t="b">
        <f ca="1">Proc[[#This Row],[Requested]]=Proc[[#This Row],[CurrentParent]]</f>
        <v>1</v>
      </c>
      <c r="K3340" s="125" t="str">
        <f ca="1"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25</v>
      </c>
      <c r="R3340" s="115" t="s">
        <v>1459</v>
      </c>
      <c r="S3340" s="125"/>
    </row>
    <row r="3341" spans="1:19" hidden="1">
      <c r="A3341" s="124" t="s">
        <v>5480</v>
      </c>
      <c r="B3341" s="138" t="str">
        <f ca="1"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 ca="1">IF(Proc[[#This Row],[type]]="LFF (MDG-F)",MID(Proc[[#This Row],[Obj]],13,10),"")</f>
        <v/>
      </c>
      <c r="J3341" s="125" t="b">
        <f ca="1">Proc[[#This Row],[Requested]]=Proc[[#This Row],[CurrentParent]]</f>
        <v>1</v>
      </c>
      <c r="K3341" s="125" t="str">
        <f ca="1"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25</v>
      </c>
      <c r="R3341" s="115" t="s">
        <v>1459</v>
      </c>
      <c r="S3341" s="125"/>
    </row>
    <row r="3342" spans="1:19" hidden="1">
      <c r="A3342" s="124" t="s">
        <v>5480</v>
      </c>
      <c r="B3342" s="138" t="str">
        <f ca="1"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 ca="1">IF(Proc[[#This Row],[type]]="LFF (MDG-F)",MID(Proc[[#This Row],[Obj]],13,10),"")</f>
        <v/>
      </c>
      <c r="J3342" s="125" t="b">
        <f ca="1">Proc[[#This Row],[Requested]]=Proc[[#This Row],[CurrentParent]]</f>
        <v>1</v>
      </c>
      <c r="K3342" s="125" t="str">
        <f ca="1"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25</v>
      </c>
      <c r="R3342" s="115" t="s">
        <v>1459</v>
      </c>
      <c r="S3342" s="125"/>
    </row>
    <row r="3343" spans="1:19" hidden="1">
      <c r="A3343" s="124" t="s">
        <v>5480</v>
      </c>
      <c r="B3343" s="138" t="str">
        <f ca="1"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 ca="1">IF(Proc[[#This Row],[type]]="LFF (MDG-F)",MID(Proc[[#This Row],[Obj]],13,10),"")</f>
        <v>CH65YIT001</v>
      </c>
      <c r="J3343" s="125" t="b">
        <f ca="1">Proc[[#This Row],[Requested]]=Proc[[#This Row],[CurrentParent]]</f>
        <v>1</v>
      </c>
      <c r="K3343" s="125" t="str">
        <f ca="1"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25</v>
      </c>
      <c r="R3343" s="115" t="s">
        <v>1459</v>
      </c>
      <c r="S3343" s="125"/>
    </row>
    <row r="3344" spans="1:19" hidden="1">
      <c r="A3344" s="124" t="s">
        <v>5480</v>
      </c>
      <c r="B3344" s="138" t="str">
        <f ca="1"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 ca="1">IF(Proc[[#This Row],[type]]="LFF (MDG-F)",MID(Proc[[#This Row],[Obj]],13,10),"")</f>
        <v>CH65GIT011</v>
      </c>
      <c r="J3344" s="125" t="b">
        <f ca="1">Proc[[#This Row],[Requested]]=Proc[[#This Row],[CurrentParent]]</f>
        <v>1</v>
      </c>
      <c r="K3344" s="125" t="str">
        <f ca="1"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25</v>
      </c>
      <c r="R3344" s="115" t="s">
        <v>1459</v>
      </c>
      <c r="S3344" s="125"/>
    </row>
    <row r="3345" spans="1:19" hidden="1">
      <c r="A3345" s="124" t="s">
        <v>5480</v>
      </c>
      <c r="B3345" s="138" t="str">
        <f ca="1"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 ca="1">IF(Proc[[#This Row],[type]]="LFF (MDG-F)",MID(Proc[[#This Row],[Obj]],13,10),"")</f>
        <v/>
      </c>
      <c r="J3345" s="125" t="b">
        <f ca="1">Proc[[#This Row],[Requested]]=Proc[[#This Row],[CurrentParent]]</f>
        <v>1</v>
      </c>
      <c r="K3345" s="125" t="str">
        <f ca="1"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25</v>
      </c>
      <c r="R3345" s="115" t="s">
        <v>1459</v>
      </c>
      <c r="S3345" s="125"/>
    </row>
    <row r="3346" spans="1:19" hidden="1">
      <c r="A3346" s="124" t="s">
        <v>5480</v>
      </c>
      <c r="B3346" s="138" t="str">
        <f ca="1"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 ca="1">IF(Proc[[#This Row],[type]]="LFF (MDG-F)",MID(Proc[[#This Row],[Obj]],13,10),"")</f>
        <v/>
      </c>
      <c r="J3346" s="125" t="b">
        <f ca="1">Proc[[#This Row],[Requested]]=Proc[[#This Row],[CurrentParent]]</f>
        <v>1</v>
      </c>
      <c r="K3346" s="125" t="str">
        <f ca="1"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25</v>
      </c>
      <c r="R3346" s="115" t="s">
        <v>1459</v>
      </c>
      <c r="S3346" s="125"/>
    </row>
    <row r="3347" spans="1:19" hidden="1">
      <c r="A3347" s="124" t="s">
        <v>5480</v>
      </c>
      <c r="B3347" s="138" t="str">
        <f ca="1"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 ca="1">IF(Proc[[#This Row],[type]]="LFF (MDG-F)",MID(Proc[[#This Row],[Obj]],13,10),"")</f>
        <v>CH50GIT032</v>
      </c>
      <c r="J3347" s="125" t="b">
        <f ca="1">Proc[[#This Row],[Requested]]=Proc[[#This Row],[CurrentParent]]</f>
        <v>1</v>
      </c>
      <c r="K3347" s="125" t="str">
        <f ca="1"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25</v>
      </c>
      <c r="R3347" s="115" t="s">
        <v>1459</v>
      </c>
      <c r="S3347" s="125"/>
    </row>
    <row r="3348" spans="1:19" hidden="1">
      <c r="A3348" s="124" t="s">
        <v>5480</v>
      </c>
      <c r="B3348" s="138" t="str">
        <f ca="1"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 ca="1">IF(Proc[[#This Row],[type]]="LFF (MDG-F)",MID(Proc[[#This Row],[Obj]],13,10),"")</f>
        <v>KR03GIT01B</v>
      </c>
      <c r="J3348" s="125" t="b">
        <f ca="1">Proc[[#This Row],[Requested]]=Proc[[#This Row],[CurrentParent]]</f>
        <v>1</v>
      </c>
      <c r="K3348" s="125" t="str">
        <f ca="1"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25</v>
      </c>
      <c r="R3348" s="115" t="s">
        <v>1459</v>
      </c>
      <c r="S3348" s="125"/>
    </row>
    <row r="3349" spans="1:19" hidden="1">
      <c r="A3349" s="124" t="s">
        <v>5480</v>
      </c>
      <c r="B3349" s="138" t="str">
        <f ca="1"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 ca="1">IF(Proc[[#This Row],[type]]="LFF (MDG-F)",MID(Proc[[#This Row],[Obj]],13,10),"")</f>
        <v/>
      </c>
      <c r="J3349" s="125" t="b">
        <f ca="1">Proc[[#This Row],[Requested]]=Proc[[#This Row],[CurrentParent]]</f>
        <v>1</v>
      </c>
      <c r="K3349" s="125" t="str">
        <f ca="1"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25</v>
      </c>
      <c r="R3349" s="115" t="s">
        <v>1459</v>
      </c>
      <c r="S3349" s="125"/>
    </row>
    <row r="3350" spans="1:19" hidden="1">
      <c r="A3350" s="124" t="s">
        <v>5480</v>
      </c>
      <c r="B3350" s="138" t="str">
        <f ca="1"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 ca="1">IF(Proc[[#This Row],[type]]="LFF (MDG-F)",MID(Proc[[#This Row],[Obj]],13,10),"")</f>
        <v/>
      </c>
      <c r="J3350" s="125" t="b">
        <f ca="1">Proc[[#This Row],[Requested]]=Proc[[#This Row],[CurrentParent]]</f>
        <v>1</v>
      </c>
      <c r="K3350" s="125" t="str">
        <f ca="1"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25</v>
      </c>
      <c r="R3350" s="115" t="s">
        <v>1459</v>
      </c>
      <c r="S3350" s="125"/>
    </row>
    <row r="3351" spans="1:19" hidden="1">
      <c r="A3351" s="124" t="s">
        <v>5480</v>
      </c>
      <c r="B3351" s="138" t="str">
        <f ca="1"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 ca="1">IF(Proc[[#This Row],[type]]="LFF (MDG-F)",MID(Proc[[#This Row],[Obj]],13,10),"")</f>
        <v/>
      </c>
      <c r="J3351" s="125" t="b">
        <f ca="1">Proc[[#This Row],[Requested]]=Proc[[#This Row],[CurrentParent]]</f>
        <v>1</v>
      </c>
      <c r="K3351" s="125" t="str">
        <f ca="1"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25</v>
      </c>
      <c r="R3351" s="115" t="s">
        <v>1459</v>
      </c>
      <c r="S3351" s="125"/>
    </row>
    <row r="3352" spans="1:19" hidden="1">
      <c r="A3352" s="124" t="s">
        <v>5480</v>
      </c>
      <c r="B3352" s="138" t="str">
        <f ca="1"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 ca="1">IF(Proc[[#This Row],[type]]="LFF (MDG-F)",MID(Proc[[#This Row],[Obj]],13,10),"")</f>
        <v/>
      </c>
      <c r="J3352" s="125" t="b">
        <f ca="1">Proc[[#This Row],[Requested]]=Proc[[#This Row],[CurrentParent]]</f>
        <v>1</v>
      </c>
      <c r="K3352" s="125" t="str">
        <f ca="1"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25</v>
      </c>
      <c r="R3352" s="115" t="s">
        <v>1459</v>
      </c>
      <c r="S3352" s="125"/>
    </row>
    <row r="3353" spans="1:19" hidden="1">
      <c r="A3353" s="124" t="s">
        <v>5480</v>
      </c>
      <c r="B3353" s="138" t="str">
        <f ca="1"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 ca="1">IF(Proc[[#This Row],[type]]="LFF (MDG-F)",MID(Proc[[#This Row],[Obj]],13,10),"")</f>
        <v/>
      </c>
      <c r="J3353" s="125" t="b">
        <f ca="1">Proc[[#This Row],[Requested]]=Proc[[#This Row],[CurrentParent]]</f>
        <v>1</v>
      </c>
      <c r="K3353" s="125" t="str">
        <f ca="1"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25</v>
      </c>
      <c r="R3353" s="115" t="s">
        <v>1459</v>
      </c>
      <c r="S3353" s="125"/>
    </row>
    <row r="3354" spans="1:19" hidden="1">
      <c r="A3354" s="124" t="s">
        <v>5480</v>
      </c>
      <c r="B3354" s="138" t="str">
        <f ca="1"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 ca="1">IF(Proc[[#This Row],[type]]="LFF (MDG-F)",MID(Proc[[#This Row],[Obj]],13,10),"")</f>
        <v/>
      </c>
      <c r="J3354" s="125" t="b">
        <f ca="1">Proc[[#This Row],[Requested]]=Proc[[#This Row],[CurrentParent]]</f>
        <v>1</v>
      </c>
      <c r="K3354" s="125" t="str">
        <f ca="1"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25</v>
      </c>
      <c r="R3354" s="115" t="s">
        <v>1459</v>
      </c>
      <c r="S3354" s="125"/>
    </row>
    <row r="3355" spans="1:19" hidden="1">
      <c r="A3355" s="124" t="s">
        <v>5480</v>
      </c>
      <c r="B3355" s="138" t="str">
        <f ca="1"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 ca="1">IF(Proc[[#This Row],[type]]="LFF (MDG-F)",MID(Proc[[#This Row],[Obj]],13,10),"")</f>
        <v/>
      </c>
      <c r="J3355" s="125" t="b">
        <f ca="1">Proc[[#This Row],[Requested]]=Proc[[#This Row],[CurrentParent]]</f>
        <v>1</v>
      </c>
      <c r="K3355" s="125" t="str">
        <f ca="1"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25</v>
      </c>
      <c r="R3355" s="115" t="s">
        <v>1459</v>
      </c>
      <c r="S3355" s="125"/>
    </row>
    <row r="3356" spans="1:19" hidden="1">
      <c r="A3356" s="124" t="s">
        <v>5480</v>
      </c>
      <c r="B3356" s="138" t="str">
        <f ca="1"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 ca="1">IF(Proc[[#This Row],[type]]="LFF (MDG-F)",MID(Proc[[#This Row],[Obj]],13,10),"")</f>
        <v/>
      </c>
      <c r="J3356" s="125" t="b">
        <f ca="1">Proc[[#This Row],[Requested]]=Proc[[#This Row],[CurrentParent]]</f>
        <v>1</v>
      </c>
      <c r="K3356" s="125" t="str">
        <f ca="1"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25</v>
      </c>
      <c r="R3356" s="115" t="s">
        <v>1459</v>
      </c>
      <c r="S3356" s="125"/>
    </row>
    <row r="3357" spans="1:19" hidden="1">
      <c r="A3357" s="124" t="s">
        <v>5480</v>
      </c>
      <c r="B3357" s="138" t="str">
        <f ca="1"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 ca="1">IF(Proc[[#This Row],[type]]="LFF (MDG-F)",MID(Proc[[#This Row],[Obj]],13,10),"")</f>
        <v/>
      </c>
      <c r="J3357" s="125" t="b">
        <f ca="1">Proc[[#This Row],[Requested]]=Proc[[#This Row],[CurrentParent]]</f>
        <v>1</v>
      </c>
      <c r="K3357" s="125" t="str">
        <f ca="1"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25</v>
      </c>
      <c r="R3357" s="115" t="s">
        <v>1459</v>
      </c>
      <c r="S3357" s="125"/>
    </row>
    <row r="3358" spans="1:19" hidden="1">
      <c r="A3358" s="124" t="s">
        <v>5480</v>
      </c>
      <c r="B3358" s="138" t="str">
        <f ca="1"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 ca="1">IF(Proc[[#This Row],[type]]="LFF (MDG-F)",MID(Proc[[#This Row],[Obj]],13,10),"")</f>
        <v/>
      </c>
      <c r="J3358" s="125" t="b">
        <f ca="1">Proc[[#This Row],[Requested]]=Proc[[#This Row],[CurrentParent]]</f>
        <v>1</v>
      </c>
      <c r="K3358" s="125" t="str">
        <f ca="1"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25</v>
      </c>
      <c r="R3358" s="115" t="s">
        <v>1459</v>
      </c>
      <c r="S3358" s="125"/>
    </row>
    <row r="3359" spans="1:19" hidden="1">
      <c r="A3359" s="124" t="s">
        <v>5480</v>
      </c>
      <c r="B3359" s="138" t="str">
        <f ca="1"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 ca="1">IF(Proc[[#This Row],[type]]="LFF (MDG-F)",MID(Proc[[#This Row],[Obj]],13,10),"")</f>
        <v>2029GIT120</v>
      </c>
      <c r="J3359" s="125" t="b">
        <f ca="1">Proc[[#This Row],[Requested]]=Proc[[#This Row],[CurrentParent]]</f>
        <v>1</v>
      </c>
      <c r="K3359" s="125" t="str">
        <f ca="1"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25</v>
      </c>
      <c r="R3359" s="115" t="s">
        <v>1459</v>
      </c>
      <c r="S3359" s="125"/>
    </row>
    <row r="3360" spans="1:19" hidden="1">
      <c r="A3360" s="124" t="s">
        <v>5480</v>
      </c>
      <c r="B3360" s="138" t="str">
        <f ca="1"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 ca="1">IF(Proc[[#This Row],[type]]="LFF (MDG-F)",MID(Proc[[#This Row],[Obj]],13,10),"")</f>
        <v>2034GIT120</v>
      </c>
      <c r="J3360" s="125" t="b">
        <f ca="1">Proc[[#This Row],[Requested]]=Proc[[#This Row],[CurrentParent]]</f>
        <v>1</v>
      </c>
      <c r="K3360" s="125" t="str">
        <f ca="1"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25</v>
      </c>
      <c r="R3360" s="115" t="s">
        <v>1459</v>
      </c>
      <c r="S3360" s="125"/>
    </row>
    <row r="3361" spans="1:19" hidden="1">
      <c r="A3361" s="124" t="s">
        <v>5480</v>
      </c>
      <c r="B3361" s="138" t="str">
        <f ca="1"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 ca="1">IF(Proc[[#This Row],[type]]="LFF (MDG-F)",MID(Proc[[#This Row],[Obj]],13,10),"")</f>
        <v/>
      </c>
      <c r="J3361" s="125" t="b">
        <f ca="1">Proc[[#This Row],[Requested]]=Proc[[#This Row],[CurrentParent]]</f>
        <v>1</v>
      </c>
      <c r="K3361" s="125" t="str">
        <f ca="1"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25</v>
      </c>
      <c r="R3361" s="115" t="s">
        <v>1459</v>
      </c>
      <c r="S3361" s="125"/>
    </row>
    <row r="3362" spans="1:19" hidden="1">
      <c r="A3362" s="124" t="s">
        <v>5480</v>
      </c>
      <c r="B3362" s="138" t="str">
        <f ca="1"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 ca="1">IF(Proc[[#This Row],[type]]="LFF (MDG-F)",MID(Proc[[#This Row],[Obj]],13,10),"")</f>
        <v/>
      </c>
      <c r="J3362" s="125" t="b">
        <f ca="1">Proc[[#This Row],[Requested]]=Proc[[#This Row],[CurrentParent]]</f>
        <v>1</v>
      </c>
      <c r="K3362" s="125" t="str">
        <f ca="1"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25</v>
      </c>
      <c r="R3362" s="115" t="s">
        <v>1459</v>
      </c>
      <c r="S3362" s="125"/>
    </row>
    <row r="3363" spans="1:19" hidden="1">
      <c r="A3363" s="124" t="s">
        <v>5480</v>
      </c>
      <c r="B3363" s="138" t="str">
        <f ca="1"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 ca="1">IF(Proc[[#This Row],[type]]="LFF (MDG-F)",MID(Proc[[#This Row],[Obj]],13,10),"")</f>
        <v/>
      </c>
      <c r="J3363" s="125" t="b">
        <f ca="1">Proc[[#This Row],[Requested]]=Proc[[#This Row],[CurrentParent]]</f>
        <v>1</v>
      </c>
      <c r="K3363" s="125" t="str">
        <f ca="1"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25</v>
      </c>
      <c r="R3363" s="115" t="s">
        <v>1459</v>
      </c>
      <c r="S3363" s="125"/>
    </row>
    <row r="3364" spans="1:19" hidden="1">
      <c r="A3364" s="124" t="s">
        <v>5480</v>
      </c>
      <c r="B3364" s="138" t="str">
        <f ca="1"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 ca="1">IF(Proc[[#This Row],[type]]="LFF (MDG-F)",MID(Proc[[#This Row],[Obj]],13,10),"")</f>
        <v/>
      </c>
      <c r="J3364" s="125" t="b">
        <f ca="1">Proc[[#This Row],[Requested]]=Proc[[#This Row],[CurrentParent]]</f>
        <v>1</v>
      </c>
      <c r="K3364" s="125" t="str">
        <f ca="1"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25</v>
      </c>
      <c r="R3364" s="115" t="s">
        <v>1459</v>
      </c>
      <c r="S3364" s="125"/>
    </row>
    <row r="3365" spans="1:19" hidden="1">
      <c r="A3365" s="124" t="s">
        <v>5480</v>
      </c>
      <c r="B3365" s="138" t="str">
        <f ca="1"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 ca="1">IF(Proc[[#This Row],[type]]="LFF (MDG-F)",MID(Proc[[#This Row],[Obj]],13,10),"")</f>
        <v/>
      </c>
      <c r="J3365" s="125" t="b">
        <f ca="1">Proc[[#This Row],[Requested]]=Proc[[#This Row],[CurrentParent]]</f>
        <v>1</v>
      </c>
      <c r="K3365" s="125" t="str">
        <f ca="1"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25</v>
      </c>
      <c r="R3365" s="115" t="s">
        <v>1459</v>
      </c>
      <c r="S3365" s="125"/>
    </row>
    <row r="3366" spans="1:19" hidden="1">
      <c r="A3366" s="124" t="s">
        <v>5480</v>
      </c>
      <c r="B3366" s="138" t="str">
        <f ca="1"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 ca="1">IF(Proc[[#This Row],[type]]="LFF (MDG-F)",MID(Proc[[#This Row],[Obj]],13,10),"")</f>
        <v/>
      </c>
      <c r="J3366" s="125" t="b">
        <f ca="1">Proc[[#This Row],[Requested]]=Proc[[#This Row],[CurrentParent]]</f>
        <v>1</v>
      </c>
      <c r="K3366" s="125" t="str">
        <f ca="1"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25</v>
      </c>
      <c r="R3366" s="115" t="s">
        <v>1459</v>
      </c>
      <c r="S3366" s="125"/>
    </row>
    <row r="3367" spans="1:19" hidden="1">
      <c r="A3367" s="124" t="s">
        <v>5480</v>
      </c>
      <c r="B3367" s="138" t="str">
        <f ca="1"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 ca="1">IF(Proc[[#This Row],[type]]="LFF (MDG-F)",MID(Proc[[#This Row],[Obj]],13,10),"")</f>
        <v/>
      </c>
      <c r="J3367" s="125" t="b">
        <f ca="1">Proc[[#This Row],[Requested]]=Proc[[#This Row],[CurrentParent]]</f>
        <v>1</v>
      </c>
      <c r="K3367" s="125" t="str">
        <f ca="1"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25</v>
      </c>
      <c r="R3367" s="115" t="s">
        <v>1459</v>
      </c>
      <c r="S3367" s="125"/>
    </row>
    <row r="3368" spans="1:19" hidden="1">
      <c r="A3368" s="124" t="s">
        <v>5480</v>
      </c>
      <c r="B3368" s="138" t="str">
        <f ca="1"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 ca="1">IF(Proc[[#This Row],[type]]="LFF (MDG-F)",MID(Proc[[#This Row],[Obj]],13,10),"")</f>
        <v/>
      </c>
      <c r="J3368" s="125" t="b">
        <f ca="1">Proc[[#This Row],[Requested]]=Proc[[#This Row],[CurrentParent]]</f>
        <v>1</v>
      </c>
      <c r="K3368" s="125" t="str">
        <f ca="1"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25</v>
      </c>
      <c r="R3368" s="115" t="s">
        <v>1459</v>
      </c>
      <c r="S3368" s="125"/>
    </row>
    <row r="3369" spans="1:19" hidden="1">
      <c r="A3369" s="124" t="s">
        <v>5480</v>
      </c>
      <c r="B3369" s="138" t="str">
        <f ca="1"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 ca="1">IF(Proc[[#This Row],[type]]="LFF (MDG-F)",MID(Proc[[#This Row],[Obj]],13,10),"")</f>
        <v/>
      </c>
      <c r="J3369" s="125" t="b">
        <f ca="1">Proc[[#This Row],[Requested]]=Proc[[#This Row],[CurrentParent]]</f>
        <v>1</v>
      </c>
      <c r="K3369" s="125" t="str">
        <f ca="1"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25</v>
      </c>
      <c r="R3369" s="115" t="s">
        <v>1459</v>
      </c>
      <c r="S3369" s="125"/>
    </row>
    <row r="3370" spans="1:19" hidden="1">
      <c r="A3370" s="124" t="s">
        <v>5480</v>
      </c>
      <c r="B3370" s="138" t="str">
        <f ca="1"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 ca="1">IF(Proc[[#This Row],[type]]="LFF (MDG-F)",MID(Proc[[#This Row],[Obj]],13,10),"")</f>
        <v/>
      </c>
      <c r="J3370" s="125" t="b">
        <f ca="1">Proc[[#This Row],[Requested]]=Proc[[#This Row],[CurrentParent]]</f>
        <v>1</v>
      </c>
      <c r="K3370" s="125" t="str">
        <f ca="1"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25</v>
      </c>
      <c r="R3370" s="115" t="s">
        <v>1459</v>
      </c>
      <c r="S3370" s="125"/>
    </row>
    <row r="3371" spans="1:19" hidden="1">
      <c r="A3371" s="124" t="s">
        <v>5480</v>
      </c>
      <c r="B3371" s="138" t="str">
        <f ca="1"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 ca="1">IF(Proc[[#This Row],[type]]="LFF (MDG-F)",MID(Proc[[#This Row],[Obj]],13,10),"")</f>
        <v/>
      </c>
      <c r="J3371" s="125" t="b">
        <f ca="1">Proc[[#This Row],[Requested]]=Proc[[#This Row],[CurrentParent]]</f>
        <v>1</v>
      </c>
      <c r="K3371" s="125" t="str">
        <f ca="1"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25</v>
      </c>
      <c r="R3371" s="115" t="s">
        <v>1459</v>
      </c>
      <c r="S3371" s="125"/>
    </row>
    <row r="3372" spans="1:19" hidden="1">
      <c r="A3372" s="124" t="s">
        <v>5480</v>
      </c>
      <c r="B3372" s="138" t="str">
        <f ca="1"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 ca="1">IF(Proc[[#This Row],[type]]="LFF (MDG-F)",MID(Proc[[#This Row],[Obj]],13,10),"")</f>
        <v/>
      </c>
      <c r="J3372" s="125" t="b">
        <f ca="1">Proc[[#This Row],[Requested]]=Proc[[#This Row],[CurrentParent]]</f>
        <v>1</v>
      </c>
      <c r="K3372" s="125" t="str">
        <f ca="1"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25</v>
      </c>
      <c r="R3372" s="115" t="s">
        <v>1459</v>
      </c>
      <c r="S3372" s="125"/>
    </row>
    <row r="3373" spans="1:19" hidden="1">
      <c r="A3373" s="124" t="s">
        <v>5480</v>
      </c>
      <c r="B3373" s="138" t="str">
        <f ca="1"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 ca="1">IF(Proc[[#This Row],[type]]="LFF (MDG-F)",MID(Proc[[#This Row],[Obj]],13,10),"")</f>
        <v/>
      </c>
      <c r="J3373" s="125" t="b">
        <f ca="1">Proc[[#This Row],[Requested]]=Proc[[#This Row],[CurrentParent]]</f>
        <v>1</v>
      </c>
      <c r="K3373" s="125" t="str">
        <f ca="1"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25</v>
      </c>
      <c r="R3373" s="115" t="s">
        <v>1459</v>
      </c>
      <c r="S3373" s="125"/>
    </row>
    <row r="3374" spans="1:19" hidden="1">
      <c r="A3374" s="124" t="s">
        <v>5480</v>
      </c>
      <c r="B3374" s="138" t="str">
        <f ca="1"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 ca="1">IF(Proc[[#This Row],[type]]="LFF (MDG-F)",MID(Proc[[#This Row],[Obj]],13,10),"")</f>
        <v/>
      </c>
      <c r="J3374" s="125" t="b">
        <f ca="1">Proc[[#This Row],[Requested]]=Proc[[#This Row],[CurrentParent]]</f>
        <v>1</v>
      </c>
      <c r="K3374" s="125" t="str">
        <f ca="1"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25</v>
      </c>
      <c r="R3374" s="115" t="s">
        <v>1459</v>
      </c>
      <c r="S3374" s="125"/>
    </row>
    <row r="3375" spans="1:19" hidden="1">
      <c r="A3375" s="124" t="s">
        <v>5480</v>
      </c>
      <c r="B3375" s="138" t="str">
        <f ca="1"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 ca="1">IF(Proc[[#This Row],[type]]="LFF (MDG-F)",MID(Proc[[#This Row],[Obj]],13,10),"")</f>
        <v/>
      </c>
      <c r="J3375" s="125" t="b">
        <f ca="1">Proc[[#This Row],[Requested]]=Proc[[#This Row],[CurrentParent]]</f>
        <v>1</v>
      </c>
      <c r="K3375" s="125" t="str">
        <f ca="1"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25</v>
      </c>
      <c r="R3375" s="115" t="s">
        <v>1459</v>
      </c>
      <c r="S3375" s="125"/>
    </row>
    <row r="3376" spans="1:19" hidden="1">
      <c r="A3376" s="124" t="s">
        <v>5480</v>
      </c>
      <c r="B3376" s="138" t="str">
        <f ca="1"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 ca="1">IF(Proc[[#This Row],[type]]="LFF (MDG-F)",MID(Proc[[#This Row],[Obj]],13,10),"")</f>
        <v>2123TQJZ94</v>
      </c>
      <c r="J3376" s="125" t="b">
        <f ca="1">Proc[[#This Row],[Requested]]=Proc[[#This Row],[CurrentParent]]</f>
        <v>1</v>
      </c>
      <c r="K3376" s="125" t="str">
        <f ca="1"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25</v>
      </c>
      <c r="R3376" s="115" t="s">
        <v>1459</v>
      </c>
      <c r="S3376" s="125"/>
    </row>
    <row r="3377" spans="1:19" hidden="1">
      <c r="A3377" s="124" t="s">
        <v>5480</v>
      </c>
      <c r="B3377" s="138" t="str">
        <f ca="1"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 ca="1">IF(Proc[[#This Row],[type]]="LFF (MDG-F)",MID(Proc[[#This Row],[Obj]],13,10),"")</f>
        <v>2123GIT126</v>
      </c>
      <c r="J3377" s="125" t="b">
        <f ca="1">Proc[[#This Row],[Requested]]=Proc[[#This Row],[CurrentParent]]</f>
        <v>1</v>
      </c>
      <c r="K3377" s="125" t="str">
        <f ca="1"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25</v>
      </c>
      <c r="R3377" s="115" t="s">
        <v>1459</v>
      </c>
      <c r="S3377" s="125"/>
    </row>
    <row r="3378" spans="1:19" hidden="1">
      <c r="A3378" s="124" t="s">
        <v>5480</v>
      </c>
      <c r="B3378" s="138" t="str">
        <f ca="1"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 ca="1">IF(Proc[[#This Row],[type]]="LFF (MDG-F)",MID(Proc[[#This Row],[Obj]],13,10),"")</f>
        <v>2123GMI020</v>
      </c>
      <c r="J3378" s="125" t="b">
        <f ca="1">Proc[[#This Row],[Requested]]=Proc[[#This Row],[CurrentParent]]</f>
        <v>1</v>
      </c>
      <c r="K3378" s="125" t="str">
        <f ca="1"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25</v>
      </c>
      <c r="R3378" s="115" t="s">
        <v>1459</v>
      </c>
      <c r="S3378" s="125"/>
    </row>
    <row r="3379" spans="1:19" hidden="1">
      <c r="A3379" s="124" t="s">
        <v>5480</v>
      </c>
      <c r="B3379" s="138" t="str">
        <f ca="1"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 ca="1">IF(Proc[[#This Row],[type]]="LFF (MDG-F)",MID(Proc[[#This Row],[Obj]],13,10),"")</f>
        <v>2123OF0033</v>
      </c>
      <c r="J3379" s="125" t="b">
        <f ca="1">Proc[[#This Row],[Requested]]=Proc[[#This Row],[CurrentParent]]</f>
        <v>1</v>
      </c>
      <c r="K3379" s="125" t="str">
        <f ca="1"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25</v>
      </c>
      <c r="R3379" s="115" t="s">
        <v>1459</v>
      </c>
      <c r="S3379" s="125"/>
    </row>
    <row r="3380" spans="1:19" hidden="1">
      <c r="A3380" s="124" t="s">
        <v>5480</v>
      </c>
      <c r="B3380" s="138" t="str">
        <f ca="1"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 ca="1">IF(Proc[[#This Row],[type]]="LFF (MDG-F)",MID(Proc[[#This Row],[Obj]],13,10),"")</f>
        <v>2123OF0027</v>
      </c>
      <c r="J3380" s="125" t="b">
        <f ca="1">Proc[[#This Row],[Requested]]=Proc[[#This Row],[CurrentParent]]</f>
        <v>1</v>
      </c>
      <c r="K3380" s="125" t="str">
        <f ca="1"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25</v>
      </c>
      <c r="R3380" s="115" t="s">
        <v>1459</v>
      </c>
      <c r="S3380" s="125"/>
    </row>
    <row r="3381" spans="1:19" hidden="1">
      <c r="A3381" s="124" t="s">
        <v>5480</v>
      </c>
      <c r="B3381" s="138" t="str">
        <f ca="1"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 ca="1">IF(Proc[[#This Row],[type]]="LFF (MDG-F)",MID(Proc[[#This Row],[Obj]],13,10),"")</f>
        <v>2123GMS040</v>
      </c>
      <c r="J3381" s="125" t="b">
        <f ca="1">Proc[[#This Row],[Requested]]=Proc[[#This Row],[CurrentParent]]</f>
        <v>1</v>
      </c>
      <c r="K3381" s="125" t="str">
        <f ca="1"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25</v>
      </c>
      <c r="R3381" s="115" t="s">
        <v>1459</v>
      </c>
      <c r="S3381" s="125"/>
    </row>
    <row r="3382" spans="1:19" hidden="1">
      <c r="A3382" s="124" t="s">
        <v>5480</v>
      </c>
      <c r="B3382" s="138" t="str">
        <f ca="1"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 ca="1">IF(Proc[[#This Row],[type]]="LFF (MDG-F)",MID(Proc[[#This Row],[Obj]],13,10),"")</f>
        <v>2123GMS030</v>
      </c>
      <c r="J3382" s="125" t="b">
        <f ca="1">Proc[[#This Row],[Requested]]=Proc[[#This Row],[CurrentParent]]</f>
        <v>1</v>
      </c>
      <c r="K3382" s="125" t="str">
        <f ca="1"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25</v>
      </c>
      <c r="R3382" s="115" t="s">
        <v>1459</v>
      </c>
      <c r="S3382" s="125"/>
    </row>
    <row r="3383" spans="1:19" hidden="1">
      <c r="A3383" s="124" t="s">
        <v>5480</v>
      </c>
      <c r="B3383" s="138" t="str">
        <f ca="1"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 ca="1">IF(Proc[[#This Row],[type]]="LFF (MDG-F)",MID(Proc[[#This Row],[Obj]],13,10),"")</f>
        <v>2123C00009</v>
      </c>
      <c r="J3383" s="125" t="b">
        <f ca="1">Proc[[#This Row],[Requested]]=Proc[[#This Row],[CurrentParent]]</f>
        <v>1</v>
      </c>
      <c r="K3383" s="125" t="str">
        <f ca="1"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25</v>
      </c>
      <c r="R3383" s="115" t="s">
        <v>1459</v>
      </c>
      <c r="S3383" s="125"/>
    </row>
    <row r="3384" spans="1:19" hidden="1">
      <c r="A3384" s="124" t="s">
        <v>5480</v>
      </c>
      <c r="B3384" s="138" t="str">
        <f ca="1"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 ca="1">IF(Proc[[#This Row],[type]]="LFF (MDG-F)",MID(Proc[[#This Row],[Obj]],13,10),"")</f>
        <v>2123GIT127</v>
      </c>
      <c r="J3384" s="125" t="b">
        <f ca="1">Proc[[#This Row],[Requested]]=Proc[[#This Row],[CurrentParent]]</f>
        <v>1</v>
      </c>
      <c r="K3384" s="125" t="str">
        <f ca="1"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25</v>
      </c>
      <c r="R3384" s="115" t="s">
        <v>1459</v>
      </c>
      <c r="S3384" s="125"/>
    </row>
    <row r="3385" spans="1:19" hidden="1">
      <c r="A3385" s="124" t="s">
        <v>5480</v>
      </c>
      <c r="B3385" s="138" t="str">
        <f ca="1"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 ca="1">IF(Proc[[#This Row],[type]]="LFF (MDG-F)",MID(Proc[[#This Row],[Obj]],13,10),"")</f>
        <v>2123GMB010</v>
      </c>
      <c r="J3385" s="125" t="b">
        <f ca="1">Proc[[#This Row],[Requested]]=Proc[[#This Row],[CurrentParent]]</f>
        <v>1</v>
      </c>
      <c r="K3385" s="125" t="str">
        <f ca="1"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25</v>
      </c>
      <c r="R3385" s="115" t="s">
        <v>1459</v>
      </c>
      <c r="S3385" s="125"/>
    </row>
    <row r="3386" spans="1:19" hidden="1">
      <c r="A3386" s="124" t="s">
        <v>5480</v>
      </c>
      <c r="B3386" s="138" t="str">
        <f ca="1"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 ca="1">IF(Proc[[#This Row],[type]]="LFF (MDG-F)",MID(Proc[[#This Row],[Obj]],13,10),"")</f>
        <v>2123OF0010</v>
      </c>
      <c r="J3386" s="125" t="b">
        <f ca="1">Proc[[#This Row],[Requested]]=Proc[[#This Row],[CurrentParent]]</f>
        <v>1</v>
      </c>
      <c r="K3386" s="125" t="str">
        <f ca="1"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25</v>
      </c>
      <c r="R3386" s="115" t="s">
        <v>1459</v>
      </c>
      <c r="S3386" s="125"/>
    </row>
    <row r="3387" spans="1:19" hidden="1">
      <c r="A3387" s="124" t="s">
        <v>5480</v>
      </c>
      <c r="B3387" s="138" t="str">
        <f ca="1"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 ca="1">IF(Proc[[#This Row],[type]]="LFF (MDG-F)",MID(Proc[[#This Row],[Obj]],13,10),"")</f>
        <v>2123GM1110</v>
      </c>
      <c r="J3387" s="125" t="b">
        <f ca="1">Proc[[#This Row],[Requested]]=Proc[[#This Row],[CurrentParent]]</f>
        <v>1</v>
      </c>
      <c r="K3387" s="125" t="str">
        <f ca="1"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25</v>
      </c>
      <c r="R3387" s="115" t="s">
        <v>1459</v>
      </c>
      <c r="S3387" s="125"/>
    </row>
    <row r="3388" spans="1:19" hidden="1">
      <c r="A3388" s="124" t="s">
        <v>5480</v>
      </c>
      <c r="B3388" s="138" t="str">
        <f ca="1"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 ca="1">IF(Proc[[#This Row],[type]]="LFF (MDG-F)",MID(Proc[[#This Row],[Obj]],13,10),"")</f>
        <v>2123GMI021</v>
      </c>
      <c r="J3388" s="125" t="b">
        <f ca="1">Proc[[#This Row],[Requested]]=Proc[[#This Row],[CurrentParent]]</f>
        <v>1</v>
      </c>
      <c r="K3388" s="125" t="str">
        <f ca="1"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25</v>
      </c>
      <c r="R3388" s="115" t="s">
        <v>1459</v>
      </c>
      <c r="S3388" s="125"/>
    </row>
    <row r="3389" spans="1:19" hidden="1">
      <c r="A3389" s="124" t="s">
        <v>5480</v>
      </c>
      <c r="B3389" s="138" t="str">
        <f ca="1"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 ca="1">IF(Proc[[#This Row],[type]]="LFF (MDG-F)",MID(Proc[[#This Row],[Obj]],13,10),"")</f>
        <v>2123L50005</v>
      </c>
      <c r="J3389" s="125" t="b">
        <f ca="1">Proc[[#This Row],[Requested]]=Proc[[#This Row],[CurrentParent]]</f>
        <v>1</v>
      </c>
      <c r="K3389" s="125" t="str">
        <f ca="1"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25</v>
      </c>
      <c r="R3389" s="115" t="s">
        <v>1459</v>
      </c>
      <c r="S3389" s="125"/>
    </row>
    <row r="3390" spans="1:19" hidden="1">
      <c r="A3390" s="124" t="s">
        <v>5480</v>
      </c>
      <c r="B3390" s="138" t="str">
        <f ca="1"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 ca="1">IF(Proc[[#This Row],[type]]="LFF (MDG-F)",MID(Proc[[#This Row],[Obj]],13,10),"")</f>
        <v>2123YIT005</v>
      </c>
      <c r="J3390" s="125" t="b">
        <f ca="1">Proc[[#This Row],[Requested]]=Proc[[#This Row],[CurrentParent]]</f>
        <v>1</v>
      </c>
      <c r="K3390" s="125" t="str">
        <f ca="1"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25</v>
      </c>
      <c r="R3390" s="115" t="s">
        <v>1459</v>
      </c>
      <c r="S3390" s="125"/>
    </row>
    <row r="3391" spans="1:19" hidden="1">
      <c r="A3391" s="124" t="s">
        <v>5480</v>
      </c>
      <c r="B3391" s="138" t="str">
        <f ca="1"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 ca="1">IF(Proc[[#This Row],[type]]="LFF (MDG-F)",MID(Proc[[#This Row],[Obj]],13,10),"")</f>
        <v>2123YIT004</v>
      </c>
      <c r="J3391" s="125" t="b">
        <f ca="1">Proc[[#This Row],[Requested]]=Proc[[#This Row],[CurrentParent]]</f>
        <v>1</v>
      </c>
      <c r="K3391" s="125" t="str">
        <f ca="1"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25</v>
      </c>
      <c r="R3391" s="115" t="s">
        <v>1459</v>
      </c>
      <c r="S3391" s="125"/>
    </row>
    <row r="3392" spans="1:19" hidden="1">
      <c r="A3392" s="124" t="s">
        <v>5480</v>
      </c>
      <c r="B3392" s="138" t="str">
        <f ca="1"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 ca="1">IF(Proc[[#This Row],[type]]="LFF (MDG-F)",MID(Proc[[#This Row],[Obj]],13,10),"")</f>
        <v>2123C00028</v>
      </c>
      <c r="J3392" s="125" t="b">
        <f ca="1">Proc[[#This Row],[Requested]]=Proc[[#This Row],[CurrentParent]]</f>
        <v>1</v>
      </c>
      <c r="K3392" s="125" t="str">
        <f ca="1"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25</v>
      </c>
      <c r="R3392" s="115" t="s">
        <v>1459</v>
      </c>
      <c r="S3392" s="125"/>
    </row>
    <row r="3393" spans="1:19" hidden="1">
      <c r="A3393" s="124" t="s">
        <v>5480</v>
      </c>
      <c r="B3393" s="138" t="str">
        <f ca="1"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 ca="1">IF(Proc[[#This Row],[type]]="LFF (MDG-F)",MID(Proc[[#This Row],[Obj]],13,10),"")</f>
        <v>2123TPSZ93</v>
      </c>
      <c r="J3393" s="125" t="b">
        <f ca="1">Proc[[#This Row],[Requested]]=Proc[[#This Row],[CurrentParent]]</f>
        <v>1</v>
      </c>
      <c r="K3393" s="125" t="str">
        <f ca="1"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25</v>
      </c>
      <c r="R3393" s="115" t="s">
        <v>1459</v>
      </c>
      <c r="S3393" s="125"/>
    </row>
    <row r="3394" spans="1:19" hidden="1">
      <c r="A3394" s="124" t="s">
        <v>5480</v>
      </c>
      <c r="B3394" s="138" t="str">
        <f ca="1"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 ca="1">IF(Proc[[#This Row],[type]]="LFF (MDG-F)",MID(Proc[[#This Row],[Obj]],13,10),"")</f>
        <v>2123C00103</v>
      </c>
      <c r="J3394" s="125" t="b">
        <f ca="1">Proc[[#This Row],[Requested]]=Proc[[#This Row],[CurrentParent]]</f>
        <v>1</v>
      </c>
      <c r="K3394" s="125" t="str">
        <f ca="1"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25</v>
      </c>
      <c r="R3394" s="115" t="s">
        <v>1459</v>
      </c>
      <c r="S3394" s="125"/>
    </row>
    <row r="3395" spans="1:19" hidden="1">
      <c r="A3395" s="124" t="s">
        <v>5480</v>
      </c>
      <c r="B3395" s="138" t="str">
        <f ca="1"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 ca="1">IF(Proc[[#This Row],[type]]="LFF (MDG-F)",MID(Proc[[#This Row],[Obj]],13,10),"")</f>
        <v>2123GIT129</v>
      </c>
      <c r="J3395" s="125" t="b">
        <f ca="1">Proc[[#This Row],[Requested]]=Proc[[#This Row],[CurrentParent]]</f>
        <v>1</v>
      </c>
      <c r="K3395" s="125" t="str">
        <f ca="1"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25</v>
      </c>
      <c r="R3395" s="115" t="s">
        <v>1459</v>
      </c>
      <c r="S3395" s="125"/>
    </row>
    <row r="3396" spans="1:19" hidden="1">
      <c r="A3396" s="124" t="s">
        <v>5480</v>
      </c>
      <c r="B3396" s="138" t="str">
        <f ca="1"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 ca="1">IF(Proc[[#This Row],[type]]="LFF (MDG-F)",MID(Proc[[#This Row],[Obj]],13,10),"")</f>
        <v>2123GIT027</v>
      </c>
      <c r="J3396" s="125" t="b">
        <f ca="1">Proc[[#This Row],[Requested]]=Proc[[#This Row],[CurrentParent]]</f>
        <v>1</v>
      </c>
      <c r="K3396" s="125" t="str">
        <f ca="1"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25</v>
      </c>
      <c r="R3396" s="115" t="s">
        <v>1459</v>
      </c>
      <c r="S3396" s="125"/>
    </row>
    <row r="3397" spans="1:19" hidden="1">
      <c r="A3397" s="124" t="s">
        <v>5480</v>
      </c>
      <c r="B3397" s="138" t="str">
        <f ca="1"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 ca="1">IF(Proc[[#This Row],[type]]="LFF (MDG-F)",MID(Proc[[#This Row],[Obj]],13,10),"")</f>
        <v>2123GIT212</v>
      </c>
      <c r="J3397" s="125" t="b">
        <f ca="1">Proc[[#This Row],[Requested]]=Proc[[#This Row],[CurrentParent]]</f>
        <v>1</v>
      </c>
      <c r="K3397" s="125" t="str">
        <f ca="1"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25</v>
      </c>
      <c r="R3397" s="115" t="s">
        <v>1459</v>
      </c>
      <c r="S3397" s="125"/>
    </row>
    <row r="3398" spans="1:19" hidden="1">
      <c r="A3398" s="124" t="s">
        <v>5480</v>
      </c>
      <c r="B3398" s="138" t="str">
        <f ca="1"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 ca="1">IF(Proc[[#This Row],[type]]="LFF (MDG-F)",MID(Proc[[#This Row],[Obj]],13,10),"")</f>
        <v>2123GIT448</v>
      </c>
      <c r="J3398" s="125" t="b">
        <f ca="1">Proc[[#This Row],[Requested]]=Proc[[#This Row],[CurrentParent]]</f>
        <v>1</v>
      </c>
      <c r="K3398" s="125" t="str">
        <f ca="1"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25</v>
      </c>
      <c r="R3398" s="115" t="s">
        <v>1459</v>
      </c>
      <c r="S3398" s="125"/>
    </row>
    <row r="3399" spans="1:19" hidden="1">
      <c r="A3399" s="124" t="s">
        <v>5480</v>
      </c>
      <c r="B3399" s="138" t="str">
        <f ca="1"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 ca="1">IF(Proc[[#This Row],[type]]="LFF (MDG-F)",MID(Proc[[#This Row],[Obj]],13,10),"")</f>
        <v>2123GIT520</v>
      </c>
      <c r="J3399" s="125" t="b">
        <f ca="1">Proc[[#This Row],[Requested]]=Proc[[#This Row],[CurrentParent]]</f>
        <v>1</v>
      </c>
      <c r="K3399" s="125" t="str">
        <f ca="1"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25</v>
      </c>
      <c r="R3399" s="115" t="s">
        <v>1459</v>
      </c>
      <c r="S3399" s="125"/>
    </row>
    <row r="3400" spans="1:19" hidden="1">
      <c r="A3400" s="124" t="s">
        <v>5480</v>
      </c>
      <c r="B3400" s="138" t="str">
        <f ca="1"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 ca="1">IF(Proc[[#This Row],[type]]="LFF (MDG-F)",MID(Proc[[#This Row],[Obj]],13,10),"")</f>
        <v>2123GST008</v>
      </c>
      <c r="J3400" s="125" t="b">
        <f ca="1">Proc[[#This Row],[Requested]]=Proc[[#This Row],[CurrentParent]]</f>
        <v>1</v>
      </c>
      <c r="K3400" s="125" t="str">
        <f ca="1"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25</v>
      </c>
      <c r="R3400" s="115" t="s">
        <v>1459</v>
      </c>
      <c r="S3400" s="125"/>
    </row>
    <row r="3401" spans="1:19" hidden="1">
      <c r="A3401" s="124" t="s">
        <v>5480</v>
      </c>
      <c r="B3401" s="138" t="str">
        <f ca="1"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 ca="1">IF(Proc[[#This Row],[type]]="LFF (MDG-F)",MID(Proc[[#This Row],[Obj]],13,10),"")</f>
        <v>2123GIT098</v>
      </c>
      <c r="J3401" s="125" t="b">
        <f ca="1">Proc[[#This Row],[Requested]]=Proc[[#This Row],[CurrentParent]]</f>
        <v>1</v>
      </c>
      <c r="K3401" s="125" t="str">
        <f ca="1"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25</v>
      </c>
      <c r="R3401" s="115" t="s">
        <v>1459</v>
      </c>
      <c r="S3401" s="125"/>
    </row>
    <row r="3402" spans="1:19" hidden="1">
      <c r="A3402" s="124" t="s">
        <v>5480</v>
      </c>
      <c r="B3402" s="138" t="str">
        <f ca="1"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 ca="1">IF(Proc[[#This Row],[type]]="LFF (MDG-F)",MID(Proc[[#This Row],[Obj]],13,10),"")</f>
        <v>2123GIT096</v>
      </c>
      <c r="J3402" s="125" t="b">
        <f ca="1">Proc[[#This Row],[Requested]]=Proc[[#This Row],[CurrentParent]]</f>
        <v>1</v>
      </c>
      <c r="K3402" s="125" t="str">
        <f ca="1"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25</v>
      </c>
      <c r="R3402" s="115" t="s">
        <v>1459</v>
      </c>
      <c r="S3402" s="125"/>
    </row>
    <row r="3403" spans="1:19" hidden="1">
      <c r="A3403" s="124" t="s">
        <v>5480</v>
      </c>
      <c r="B3403" s="138" t="str">
        <f ca="1"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 ca="1">IF(Proc[[#This Row],[type]]="LFF (MDG-F)",MID(Proc[[#This Row],[Obj]],13,10),"")</f>
        <v>2123C00079</v>
      </c>
      <c r="J3403" s="125" t="b">
        <f ca="1">Proc[[#This Row],[Requested]]=Proc[[#This Row],[CurrentParent]]</f>
        <v>1</v>
      </c>
      <c r="K3403" s="125" t="str">
        <f ca="1"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25</v>
      </c>
      <c r="R3403" s="115" t="s">
        <v>1459</v>
      </c>
      <c r="S3403" s="125"/>
    </row>
    <row r="3404" spans="1:19" hidden="1">
      <c r="A3404" s="124" t="s">
        <v>5480</v>
      </c>
      <c r="B3404" s="138" t="str">
        <f ca="1"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 ca="1">IF(Proc[[#This Row],[type]]="LFF (MDG-F)",MID(Proc[[#This Row],[Obj]],13,10),"")</f>
        <v>2123GIT135</v>
      </c>
      <c r="J3404" s="125" t="b">
        <f ca="1">Proc[[#This Row],[Requested]]=Proc[[#This Row],[CurrentParent]]</f>
        <v>1</v>
      </c>
      <c r="K3404" s="125" t="str">
        <f ca="1"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25</v>
      </c>
      <c r="R3404" s="115" t="s">
        <v>1459</v>
      </c>
      <c r="S3404" s="125"/>
    </row>
    <row r="3405" spans="1:19" hidden="1">
      <c r="A3405" s="124" t="s">
        <v>5480</v>
      </c>
      <c r="B3405" s="138" t="str">
        <f ca="1"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 ca="1">IF(Proc[[#This Row],[type]]="LFF (MDG-F)",MID(Proc[[#This Row],[Obj]],13,10),"")</f>
        <v>2123GIT085</v>
      </c>
      <c r="J3405" s="125" t="b">
        <f ca="1">Proc[[#This Row],[Requested]]=Proc[[#This Row],[CurrentParent]]</f>
        <v>1</v>
      </c>
      <c r="K3405" s="125" t="str">
        <f ca="1"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25</v>
      </c>
      <c r="R3405" s="115" t="s">
        <v>1459</v>
      </c>
      <c r="S3405" s="125"/>
    </row>
    <row r="3406" spans="1:19" hidden="1">
      <c r="A3406" s="124" t="s">
        <v>5480</v>
      </c>
      <c r="B3406" s="138" t="str">
        <f ca="1"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 ca="1">IF(Proc[[#This Row],[type]]="LFF (MDG-F)",MID(Proc[[#This Row],[Obj]],13,10),"")</f>
        <v>2123GIT097</v>
      </c>
      <c r="J3406" s="125" t="b">
        <f ca="1">Proc[[#This Row],[Requested]]=Proc[[#This Row],[CurrentParent]]</f>
        <v>1</v>
      </c>
      <c r="K3406" s="125" t="str">
        <f ca="1"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25</v>
      </c>
      <c r="R3406" s="115" t="s">
        <v>1459</v>
      </c>
      <c r="S3406" s="125"/>
    </row>
    <row r="3407" spans="1:19" hidden="1">
      <c r="A3407" s="124" t="s">
        <v>5480</v>
      </c>
      <c r="B3407" s="138" t="str">
        <f ca="1"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 ca="1">IF(Proc[[#This Row],[type]]="LFF (MDG-F)",MID(Proc[[#This Row],[Obj]],13,10),"")</f>
        <v>2123GIT025</v>
      </c>
      <c r="J3407" s="125" t="b">
        <f ca="1">Proc[[#This Row],[Requested]]=Proc[[#This Row],[CurrentParent]]</f>
        <v>1</v>
      </c>
      <c r="K3407" s="125" t="str">
        <f ca="1"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25</v>
      </c>
      <c r="R3407" s="115" t="s">
        <v>1459</v>
      </c>
      <c r="S3407" s="125"/>
    </row>
    <row r="3408" spans="1:19" hidden="1">
      <c r="A3408" s="124" t="s">
        <v>5480</v>
      </c>
      <c r="B3408" s="138" t="str">
        <f ca="1"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 ca="1">IF(Proc[[#This Row],[type]]="LFF (MDG-F)",MID(Proc[[#This Row],[Obj]],13,10),"")</f>
        <v>2123GIT311</v>
      </c>
      <c r="J3408" s="125" t="b">
        <f ca="1">Proc[[#This Row],[Requested]]=Proc[[#This Row],[CurrentParent]]</f>
        <v>1</v>
      </c>
      <c r="K3408" s="125" t="str">
        <f ca="1"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25</v>
      </c>
      <c r="R3408" s="115" t="s">
        <v>1459</v>
      </c>
      <c r="S3408" s="125"/>
    </row>
    <row r="3409" spans="1:19" hidden="1">
      <c r="A3409" s="124" t="s">
        <v>5480</v>
      </c>
      <c r="B3409" s="138" t="str">
        <f ca="1"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 ca="1">IF(Proc[[#This Row],[type]]="LFF (MDG-F)",MID(Proc[[#This Row],[Obj]],13,10),"")</f>
        <v>2123GIT312</v>
      </c>
      <c r="J3409" s="125" t="b">
        <f ca="1">Proc[[#This Row],[Requested]]=Proc[[#This Row],[CurrentParent]]</f>
        <v>1</v>
      </c>
      <c r="K3409" s="125" t="str">
        <f ca="1"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25</v>
      </c>
      <c r="R3409" s="115" t="s">
        <v>1459</v>
      </c>
      <c r="S3409" s="125"/>
    </row>
    <row r="3410" spans="1:19" hidden="1">
      <c r="A3410" s="124" t="s">
        <v>5480</v>
      </c>
      <c r="B3410" s="138" t="str">
        <f ca="1"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 ca="1">IF(Proc[[#This Row],[type]]="LFF (MDG-F)",MID(Proc[[#This Row],[Obj]],13,10),"")</f>
        <v>2123GIT313</v>
      </c>
      <c r="J3410" s="125" t="b">
        <f ca="1">Proc[[#This Row],[Requested]]=Proc[[#This Row],[CurrentParent]]</f>
        <v>1</v>
      </c>
      <c r="K3410" s="125" t="str">
        <f ca="1"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25</v>
      </c>
      <c r="R3410" s="115" t="s">
        <v>1459</v>
      </c>
      <c r="S3410" s="125"/>
    </row>
    <row r="3411" spans="1:19" hidden="1">
      <c r="A3411" s="124" t="s">
        <v>5480</v>
      </c>
      <c r="B3411" s="138" t="str">
        <f ca="1"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 ca="1">IF(Proc[[#This Row],[type]]="LFF (MDG-F)",MID(Proc[[#This Row],[Obj]],13,10),"")</f>
        <v/>
      </c>
      <c r="J3411" s="125" t="b">
        <f ca="1">Proc[[#This Row],[Requested]]=Proc[[#This Row],[CurrentParent]]</f>
        <v>1</v>
      </c>
      <c r="K3411" s="125" t="str">
        <f ca="1"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25</v>
      </c>
      <c r="R3411" s="115" t="s">
        <v>1459</v>
      </c>
      <c r="S3411" s="125"/>
    </row>
    <row r="3412" spans="1:19" hidden="1">
      <c r="A3412" s="124" t="s">
        <v>5480</v>
      </c>
      <c r="B3412" s="138" t="str">
        <f ca="1"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 ca="1">IF(Proc[[#This Row],[type]]="LFF (MDG-F)",MID(Proc[[#This Row],[Obj]],13,10),"")</f>
        <v/>
      </c>
      <c r="J3412" s="125" t="b">
        <f ca="1">Proc[[#This Row],[Requested]]=Proc[[#This Row],[CurrentParent]]</f>
        <v>1</v>
      </c>
      <c r="K3412" s="125" t="str">
        <f ca="1"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25</v>
      </c>
      <c r="R3412" s="115" t="s">
        <v>1459</v>
      </c>
      <c r="S3412" s="125"/>
    </row>
    <row r="3413" spans="1:19" hidden="1">
      <c r="A3413" s="124" t="s">
        <v>5480</v>
      </c>
      <c r="B3413" s="138" t="str">
        <f ca="1"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 ca="1">IF(Proc[[#This Row],[type]]="LFF (MDG-F)",MID(Proc[[#This Row],[Obj]],13,10),"")</f>
        <v>DE10669638</v>
      </c>
      <c r="J3413" s="125" t="b">
        <f ca="1">Proc[[#This Row],[Requested]]=Proc[[#This Row],[CurrentParent]]</f>
        <v>1</v>
      </c>
      <c r="K3413" s="125" t="str">
        <f ca="1"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25</v>
      </c>
      <c r="R3413" s="115" t="s">
        <v>1459</v>
      </c>
      <c r="S3413" s="125"/>
    </row>
    <row r="3414" spans="1:19" hidden="1">
      <c r="A3414" s="124" t="s">
        <v>5480</v>
      </c>
      <c r="B3414" s="138" t="str">
        <f ca="1"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 ca="1">IF(Proc[[#This Row],[type]]="LFF (MDG-F)",MID(Proc[[#This Row],[Obj]],13,10),"")</f>
        <v>DE10YIT014</v>
      </c>
      <c r="J3414" s="125" t="b">
        <f ca="1">Proc[[#This Row],[Requested]]=Proc[[#This Row],[CurrentParent]]</f>
        <v>1</v>
      </c>
      <c r="K3414" s="125" t="str">
        <f ca="1"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25</v>
      </c>
      <c r="R3414" s="115" t="s">
        <v>1459</v>
      </c>
      <c r="S3414" s="125"/>
    </row>
    <row r="3415" spans="1:19" hidden="1">
      <c r="A3415" s="124" t="s">
        <v>5480</v>
      </c>
      <c r="B3415" s="138" t="str">
        <f ca="1"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 ca="1">IF(Proc[[#This Row],[type]]="LFF (MDG-F)",MID(Proc[[#This Row],[Obj]],13,10),"")</f>
        <v>DE10GMS070</v>
      </c>
      <c r="J3415" s="125" t="b">
        <f ca="1">Proc[[#This Row],[Requested]]=Proc[[#This Row],[CurrentParent]]</f>
        <v>1</v>
      </c>
      <c r="K3415" s="125" t="str">
        <f ca="1"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25</v>
      </c>
      <c r="R3415" s="115" t="s">
        <v>1459</v>
      </c>
      <c r="S3415" s="125"/>
    </row>
    <row r="3416" spans="1:19" hidden="1">
      <c r="A3416" s="124" t="s">
        <v>5480</v>
      </c>
      <c r="B3416" s="138" t="str">
        <f ca="1"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 ca="1">IF(Proc[[#This Row],[type]]="LFF (MDG-F)",MID(Proc[[#This Row],[Obj]],13,10),"")</f>
        <v/>
      </c>
      <c r="J3416" s="125" t="b">
        <f ca="1">Proc[[#This Row],[Requested]]=Proc[[#This Row],[CurrentParent]]</f>
        <v>1</v>
      </c>
      <c r="K3416" s="125" t="str">
        <f ca="1"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25</v>
      </c>
      <c r="R3416" s="115" t="s">
        <v>1459</v>
      </c>
      <c r="S3416" s="125"/>
    </row>
    <row r="3417" spans="1:19" hidden="1">
      <c r="A3417" s="124" t="s">
        <v>5480</v>
      </c>
      <c r="B3417" s="138" t="str">
        <f ca="1"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 ca="1">IF(Proc[[#This Row],[type]]="LFF (MDG-F)",MID(Proc[[#This Row],[Obj]],13,10),"")</f>
        <v/>
      </c>
      <c r="J3417" s="125" t="b">
        <f ca="1">Proc[[#This Row],[Requested]]=Proc[[#This Row],[CurrentParent]]</f>
        <v>1</v>
      </c>
      <c r="K3417" s="125" t="str">
        <f ca="1"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25</v>
      </c>
      <c r="R3417" s="115" t="s">
        <v>1459</v>
      </c>
      <c r="S3417" s="125"/>
    </row>
    <row r="3418" spans="1:19" hidden="1">
      <c r="A3418" s="124" t="s">
        <v>5480</v>
      </c>
      <c r="B3418" s="138" t="str">
        <f ca="1"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 ca="1">IF(Proc[[#This Row],[type]]="LFF (MDG-F)",MID(Proc[[#This Row],[Obj]],13,10),"")</f>
        <v/>
      </c>
      <c r="J3418" s="125" t="b">
        <f ca="1">Proc[[#This Row],[Requested]]=Proc[[#This Row],[CurrentParent]]</f>
        <v>1</v>
      </c>
      <c r="K3418" s="125" t="str">
        <f ca="1"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25</v>
      </c>
      <c r="R3418" s="115" t="s">
        <v>1459</v>
      </c>
      <c r="S3418" s="125"/>
    </row>
    <row r="3419" spans="1:19" hidden="1">
      <c r="A3419" s="124" t="s">
        <v>5480</v>
      </c>
      <c r="B3419" s="138" t="str">
        <f ca="1"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 ca="1">IF(Proc[[#This Row],[type]]="LFF (MDG-F)",MID(Proc[[#This Row],[Obj]],13,10),"")</f>
        <v>2123GMS050</v>
      </c>
      <c r="J3419" s="125" t="b">
        <f ca="1">Proc[[#This Row],[Requested]]=Proc[[#This Row],[CurrentParent]]</f>
        <v>1</v>
      </c>
      <c r="K3419" s="125" t="str">
        <f ca="1"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25</v>
      </c>
      <c r="R3419" s="115" t="s">
        <v>1459</v>
      </c>
      <c r="S3419" s="125"/>
    </row>
    <row r="3420" spans="1:19" hidden="1">
      <c r="A3420" s="124" t="s">
        <v>5480</v>
      </c>
      <c r="B3420" s="138" t="str">
        <f ca="1"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 ca="1">IF(Proc[[#This Row],[type]]="LFF (MDG-F)",MID(Proc[[#This Row],[Obj]],13,10),"")</f>
        <v>2123GMS080</v>
      </c>
      <c r="J3420" s="125" t="b">
        <f ca="1">Proc[[#This Row],[Requested]]=Proc[[#This Row],[CurrentParent]]</f>
        <v>1</v>
      </c>
      <c r="K3420" s="125" t="str">
        <f ca="1"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25</v>
      </c>
      <c r="R3420" s="115" t="s">
        <v>1459</v>
      </c>
      <c r="S3420" s="125"/>
    </row>
    <row r="3421" spans="1:19" hidden="1">
      <c r="A3421" t="s">
        <v>5495</v>
      </c>
      <c r="B3421" s="138" t="str">
        <f ca="1"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 ca="1">IF(Proc[[#This Row],[type]]="LFF (MDG-F)",MID(Proc[[#This Row],[Obj]],13,10),"")</f>
        <v/>
      </c>
      <c r="J3421" s="125" t="b">
        <f ca="1">Proc[[#This Row],[Requested]]=Proc[[#This Row],[CurrentParent]]</f>
        <v>1</v>
      </c>
      <c r="K3421" s="125" t="str">
        <f ca="1"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25</v>
      </c>
      <c r="R3421" s="115" t="s">
        <v>1013</v>
      </c>
      <c r="S3421" s="125"/>
    </row>
    <row r="3422" spans="1:19" hidden="1">
      <c r="A3422" s="124" t="s">
        <v>5495</v>
      </c>
      <c r="B3422" s="138" t="str">
        <f ca="1"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 ca="1">IF(Proc[[#This Row],[type]]="LFF (MDG-F)",MID(Proc[[#This Row],[Obj]],13,10),"")</f>
        <v/>
      </c>
      <c r="J3422" s="125" t="b">
        <f ca="1">Proc[[#This Row],[Requested]]=Proc[[#This Row],[CurrentParent]]</f>
        <v>1</v>
      </c>
      <c r="K3422" s="125" t="str">
        <f ca="1"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25</v>
      </c>
      <c r="R3422" s="115" t="s">
        <v>1013</v>
      </c>
      <c r="S3422" s="125"/>
    </row>
    <row r="3423" spans="1:19" hidden="1">
      <c r="A3423" s="124" t="s">
        <v>5495</v>
      </c>
      <c r="B3423" s="138" t="str">
        <f ca="1"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 ca="1">IF(Proc[[#This Row],[type]]="LFF (MDG-F)",MID(Proc[[#This Row],[Obj]],13,10),"")</f>
        <v/>
      </c>
      <c r="J3423" s="125" t="b">
        <f ca="1">Proc[[#This Row],[Requested]]=Proc[[#This Row],[CurrentParent]]</f>
        <v>1</v>
      </c>
      <c r="K3423" s="125" t="str">
        <f ca="1"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25</v>
      </c>
      <c r="R3423" s="115" t="s">
        <v>1013</v>
      </c>
      <c r="S3423" s="125"/>
    </row>
    <row r="3424" spans="1:19" hidden="1">
      <c r="A3424" s="124" t="s">
        <v>5495</v>
      </c>
      <c r="B3424" s="138" t="str">
        <f ca="1"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 ca="1">IF(Proc[[#This Row],[type]]="LFF (MDG-F)",MID(Proc[[#This Row],[Obj]],13,10),"")</f>
        <v/>
      </c>
      <c r="J3424" s="125" t="b">
        <f ca="1">Proc[[#This Row],[Requested]]=Proc[[#This Row],[CurrentParent]]</f>
        <v>1</v>
      </c>
      <c r="K3424" s="125" t="str">
        <f ca="1"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25</v>
      </c>
      <c r="R3424" s="115" t="s">
        <v>1013</v>
      </c>
      <c r="S3424" s="125"/>
    </row>
    <row r="3425" spans="1:19" hidden="1">
      <c r="A3425" s="124" t="s">
        <v>5495</v>
      </c>
      <c r="B3425" s="138" t="str">
        <f ca="1"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 ca="1">IF(Proc[[#This Row],[type]]="LFF (MDG-F)",MID(Proc[[#This Row],[Obj]],13,10),"")</f>
        <v/>
      </c>
      <c r="J3425" s="125" t="b">
        <f ca="1">Proc[[#This Row],[Requested]]=Proc[[#This Row],[CurrentParent]]</f>
        <v>1</v>
      </c>
      <c r="K3425" s="125" t="str">
        <f ca="1"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25</v>
      </c>
      <c r="R3425" s="115" t="s">
        <v>1013</v>
      </c>
      <c r="S3425" s="125"/>
    </row>
    <row r="3426" spans="1:19" hidden="1">
      <c r="A3426" s="124" t="s">
        <v>5495</v>
      </c>
      <c r="B3426" s="138" t="str">
        <f ca="1"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 ca="1">IF(Proc[[#This Row],[type]]="LFF (MDG-F)",MID(Proc[[#This Row],[Obj]],13,10),"")</f>
        <v/>
      </c>
      <c r="J3426" s="125" t="b">
        <f ca="1">Proc[[#This Row],[Requested]]=Proc[[#This Row],[CurrentParent]]</f>
        <v>1</v>
      </c>
      <c r="K3426" s="125" t="str">
        <f ca="1"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25</v>
      </c>
      <c r="R3426" s="115" t="s">
        <v>1013</v>
      </c>
      <c r="S3426" s="125"/>
    </row>
    <row r="3427" spans="1:19" hidden="1">
      <c r="A3427" s="124" t="s">
        <v>5495</v>
      </c>
      <c r="B3427" s="138" t="str">
        <f ca="1"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 ca="1">IF(Proc[[#This Row],[type]]="LFF (MDG-F)",MID(Proc[[#This Row],[Obj]],13,10),"")</f>
        <v/>
      </c>
      <c r="J3427" s="125" t="b">
        <f ca="1">Proc[[#This Row],[Requested]]=Proc[[#This Row],[CurrentParent]]</f>
        <v>1</v>
      </c>
      <c r="K3427" s="125" t="str">
        <f ca="1"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25</v>
      </c>
      <c r="R3427" s="115" t="s">
        <v>1013</v>
      </c>
      <c r="S3427" s="125"/>
    </row>
    <row r="3428" spans="1:19" hidden="1">
      <c r="A3428" s="124" t="s">
        <v>5495</v>
      </c>
      <c r="B3428" s="138" t="str">
        <f ca="1"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 ca="1">IF(Proc[[#This Row],[type]]="LFF (MDG-F)",MID(Proc[[#This Row],[Obj]],13,10),"")</f>
        <v/>
      </c>
      <c r="J3428" s="125" t="b">
        <f ca="1">Proc[[#This Row],[Requested]]=Proc[[#This Row],[CurrentParent]]</f>
        <v>1</v>
      </c>
      <c r="K3428" s="125" t="str">
        <f ca="1"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25</v>
      </c>
      <c r="R3428" s="115" t="s">
        <v>1013</v>
      </c>
      <c r="S3428" s="125"/>
    </row>
    <row r="3429" spans="1:19" hidden="1">
      <c r="A3429" s="124" t="s">
        <v>5495</v>
      </c>
      <c r="B3429" s="138" t="str">
        <f ca="1"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 ca="1">IF(Proc[[#This Row],[type]]="LFF (MDG-F)",MID(Proc[[#This Row],[Obj]],13,10),"")</f>
        <v/>
      </c>
      <c r="J3429" s="125" t="b">
        <f ca="1">Proc[[#This Row],[Requested]]=Proc[[#This Row],[CurrentParent]]</f>
        <v>1</v>
      </c>
      <c r="K3429" s="125" t="str">
        <f ca="1"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25</v>
      </c>
      <c r="R3429" s="115" t="s">
        <v>1013</v>
      </c>
      <c r="S3429" s="125"/>
    </row>
    <row r="3430" spans="1:19" hidden="1">
      <c r="A3430" s="124" t="s">
        <v>5495</v>
      </c>
      <c r="B3430" s="138" t="str">
        <f ca="1"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 ca="1">IF(Proc[[#This Row],[type]]="LFF (MDG-F)",MID(Proc[[#This Row],[Obj]],13,10),"")</f>
        <v/>
      </c>
      <c r="J3430" s="125" t="b">
        <f ca="1">Proc[[#This Row],[Requested]]=Proc[[#This Row],[CurrentParent]]</f>
        <v>1</v>
      </c>
      <c r="K3430" s="125" t="str">
        <f ca="1"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25</v>
      </c>
      <c r="R3430" s="115" t="s">
        <v>1013</v>
      </c>
      <c r="S3430" s="125"/>
    </row>
    <row r="3431" spans="1:19" hidden="1">
      <c r="A3431" s="124" t="s">
        <v>5495</v>
      </c>
      <c r="B3431" s="138" t="str">
        <f ca="1"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 ca="1">IF(Proc[[#This Row],[type]]="LFF (MDG-F)",MID(Proc[[#This Row],[Obj]],13,10),"")</f>
        <v/>
      </c>
      <c r="J3431" s="125" t="b">
        <f ca="1">Proc[[#This Row],[Requested]]=Proc[[#This Row],[CurrentParent]]</f>
        <v>1</v>
      </c>
      <c r="K3431" s="125" t="str">
        <f ca="1"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25</v>
      </c>
      <c r="R3431" s="115" t="s">
        <v>1013</v>
      </c>
      <c r="S3431" s="125"/>
    </row>
    <row r="3432" spans="1:19" hidden="1">
      <c r="A3432" s="124" t="s">
        <v>5495</v>
      </c>
      <c r="B3432" s="138" t="str">
        <f ca="1"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 ca="1">IF(Proc[[#This Row],[type]]="LFF (MDG-F)",MID(Proc[[#This Row],[Obj]],13,10),"")</f>
        <v>NL50C06884</v>
      </c>
      <c r="J3432" s="125" t="b">
        <f ca="1">Proc[[#This Row],[Requested]]=Proc[[#This Row],[CurrentParent]]</f>
        <v>1</v>
      </c>
      <c r="K3432" s="125" t="str">
        <f ca="1"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25</v>
      </c>
      <c r="R3432" s="115" t="s">
        <v>1013</v>
      </c>
      <c r="S3432" s="125"/>
    </row>
    <row r="3433" spans="1:19" hidden="1">
      <c r="A3433" s="124" t="s">
        <v>5495</v>
      </c>
      <c r="B3433" s="138" t="str">
        <f ca="1"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 ca="1">IF(Proc[[#This Row],[type]]="LFF (MDG-F)",MID(Proc[[#This Row],[Obj]],13,10),"")</f>
        <v/>
      </c>
      <c r="J3433" s="125" t="b">
        <f ca="1">Proc[[#This Row],[Requested]]=Proc[[#This Row],[CurrentParent]]</f>
        <v>1</v>
      </c>
      <c r="K3433" s="125" t="str">
        <f ca="1"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25</v>
      </c>
      <c r="R3433" s="115" t="s">
        <v>1013</v>
      </c>
      <c r="S3433" s="125"/>
    </row>
    <row r="3434" spans="1:19" hidden="1">
      <c r="A3434" t="s">
        <v>5501</v>
      </c>
      <c r="B3434" s="138" t="str">
        <f ca="1"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 ca="1">IF(Proc[[#This Row],[type]]="LFF (MDG-F)",MID(Proc[[#This Row],[Obj]],13,10),"")</f>
        <v/>
      </c>
      <c r="J3434" s="125" t="b">
        <f ca="1">Proc[[#This Row],[Requested]]=Proc[[#This Row],[CurrentParent]]</f>
        <v>1</v>
      </c>
      <c r="K3434" s="125" t="str">
        <f ca="1"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22</v>
      </c>
      <c r="R3434" s="115" t="s">
        <v>5503</v>
      </c>
      <c r="S3434" s="125"/>
    </row>
    <row r="3435" spans="1:19" hidden="1">
      <c r="A3435" s="124" t="s">
        <v>5501</v>
      </c>
      <c r="B3435" s="138" t="str">
        <f ca="1"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 ca="1">IF(Proc[[#This Row],[type]]="LFF (MDG-F)",MID(Proc[[#This Row],[Obj]],13,10),"")</f>
        <v/>
      </c>
      <c r="J3435" s="125" t="b">
        <f ca="1">Proc[[#This Row],[Requested]]=Proc[[#This Row],[CurrentParent]]</f>
        <v>1</v>
      </c>
      <c r="K3435" s="125" t="str">
        <f ca="1"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22</v>
      </c>
      <c r="R3435" s="115" t="s">
        <v>5503</v>
      </c>
      <c r="S3435" s="125"/>
    </row>
    <row r="3436" spans="1:19" hidden="1">
      <c r="A3436" t="s">
        <v>5504</v>
      </c>
      <c r="B3436" s="138" t="str">
        <f ca="1"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 ca="1">IF(Proc[[#This Row],[type]]="LFF (MDG-F)",MID(Proc[[#This Row],[Obj]],13,10),"")</f>
        <v/>
      </c>
      <c r="J3436" s="125" t="b">
        <f ca="1">Proc[[#This Row],[Requested]]=Proc[[#This Row],[CurrentParent]]</f>
        <v>1</v>
      </c>
      <c r="K3436" s="125" t="str">
        <f ca="1"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22</v>
      </c>
      <c r="R3436" s="115" t="s">
        <v>489</v>
      </c>
      <c r="S3436" s="125"/>
    </row>
    <row r="3437" spans="1:19" hidden="1">
      <c r="A3437" s="124" t="s">
        <v>5504</v>
      </c>
      <c r="B3437" s="138" t="str">
        <f ca="1"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 ca="1">IF(Proc[[#This Row],[type]]="LFF (MDG-F)",MID(Proc[[#This Row],[Obj]],13,10),"")</f>
        <v/>
      </c>
      <c r="J3437" s="125" t="b">
        <f ca="1">Proc[[#This Row],[Requested]]=Proc[[#This Row],[CurrentParent]]</f>
        <v>1</v>
      </c>
      <c r="K3437" s="125" t="str">
        <f ca="1"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22</v>
      </c>
      <c r="R3437" s="115" t="s">
        <v>489</v>
      </c>
      <c r="S3437" s="125"/>
    </row>
    <row r="3438" spans="1:19" hidden="1">
      <c r="A3438" s="124" t="s">
        <v>5504</v>
      </c>
      <c r="B3438" s="138" t="str">
        <f ca="1"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 ca="1">IF(Proc[[#This Row],[type]]="LFF (MDG-F)",MID(Proc[[#This Row],[Obj]],13,10),"")</f>
        <v/>
      </c>
      <c r="J3438" s="125" t="b">
        <f ca="1">Proc[[#This Row],[Requested]]=Proc[[#This Row],[CurrentParent]]</f>
        <v>1</v>
      </c>
      <c r="K3438" s="125" t="str">
        <f ca="1"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22</v>
      </c>
      <c r="R3438" s="115" t="s">
        <v>489</v>
      </c>
      <c r="S3438" s="125"/>
    </row>
    <row r="3439" spans="1:19" hidden="1">
      <c r="A3439" s="124" t="s">
        <v>5504</v>
      </c>
      <c r="B3439" s="138" t="str">
        <f ca="1"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 ca="1">IF(Proc[[#This Row],[type]]="LFF (MDG-F)",MID(Proc[[#This Row],[Obj]],13,10),"")</f>
        <v/>
      </c>
      <c r="J3439" s="125" t="b">
        <f ca="1">Proc[[#This Row],[Requested]]=Proc[[#This Row],[CurrentParent]]</f>
        <v>1</v>
      </c>
      <c r="K3439" s="125" t="str">
        <f ca="1"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22</v>
      </c>
      <c r="R3439" s="115" t="s">
        <v>489</v>
      </c>
      <c r="S3439" s="125"/>
    </row>
    <row r="3440" spans="1:19" hidden="1">
      <c r="A3440" s="124" t="s">
        <v>5504</v>
      </c>
      <c r="B3440" s="138" t="str">
        <f ca="1"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 ca="1">IF(Proc[[#This Row],[type]]="LFF (MDG-F)",MID(Proc[[#This Row],[Obj]],13,10),"")</f>
        <v/>
      </c>
      <c r="J3440" s="125" t="b">
        <f ca="1">Proc[[#This Row],[Requested]]=Proc[[#This Row],[CurrentParent]]</f>
        <v>1</v>
      </c>
      <c r="K3440" s="125" t="str">
        <f ca="1"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22</v>
      </c>
      <c r="R3440" s="115" t="s">
        <v>489</v>
      </c>
      <c r="S3440" s="125"/>
    </row>
    <row r="3441" spans="1:19" hidden="1">
      <c r="A3441" s="124" t="s">
        <v>5504</v>
      </c>
      <c r="B3441" s="138" t="str">
        <f ca="1"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 ca="1">IF(Proc[[#This Row],[type]]="LFF (MDG-F)",MID(Proc[[#This Row],[Obj]],13,10),"")</f>
        <v/>
      </c>
      <c r="J3441" s="125" t="b">
        <f ca="1">Proc[[#This Row],[Requested]]=Proc[[#This Row],[CurrentParent]]</f>
        <v>1</v>
      </c>
      <c r="K3441" s="125" t="str">
        <f ca="1"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22</v>
      </c>
      <c r="R3441" s="115" t="s">
        <v>489</v>
      </c>
      <c r="S3441" s="125"/>
    </row>
    <row r="3442" spans="1:19" hidden="1">
      <c r="A3442" s="124" t="s">
        <v>5504</v>
      </c>
      <c r="B3442" s="138" t="str">
        <f ca="1"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 ca="1">IF(Proc[[#This Row],[type]]="LFF (MDG-F)",MID(Proc[[#This Row],[Obj]],13,10),"")</f>
        <v/>
      </c>
      <c r="J3442" s="125" t="b">
        <f ca="1">Proc[[#This Row],[Requested]]=Proc[[#This Row],[CurrentParent]]</f>
        <v>1</v>
      </c>
      <c r="K3442" s="125" t="str">
        <f ca="1"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22</v>
      </c>
      <c r="R3442" s="115" t="s">
        <v>489</v>
      </c>
      <c r="S3442" s="125"/>
    </row>
    <row r="3443" spans="1:19" hidden="1">
      <c r="A3443" s="124" t="s">
        <v>5504</v>
      </c>
      <c r="B3443" s="138" t="str">
        <f ca="1"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 ca="1">IF(Proc[[#This Row],[type]]="LFF (MDG-F)",MID(Proc[[#This Row],[Obj]],13,10),"")</f>
        <v/>
      </c>
      <c r="J3443" s="125" t="b">
        <f ca="1">Proc[[#This Row],[Requested]]=Proc[[#This Row],[CurrentParent]]</f>
        <v>1</v>
      </c>
      <c r="K3443" s="125" t="str">
        <f ca="1"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22</v>
      </c>
      <c r="R3443" s="115" t="s">
        <v>489</v>
      </c>
      <c r="S3443" s="125"/>
    </row>
    <row r="3444" spans="1:19" hidden="1">
      <c r="A3444" s="124" t="s">
        <v>5504</v>
      </c>
      <c r="B3444" s="138" t="str">
        <f ca="1"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 ca="1">IF(Proc[[#This Row],[type]]="LFF (MDG-F)",MID(Proc[[#This Row],[Obj]],13,10),"")</f>
        <v/>
      </c>
      <c r="J3444" s="125" t="b">
        <f ca="1">Proc[[#This Row],[Requested]]=Proc[[#This Row],[CurrentParent]]</f>
        <v>1</v>
      </c>
      <c r="K3444" s="125" t="str">
        <f ca="1"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22</v>
      </c>
      <c r="R3444" s="115" t="s">
        <v>489</v>
      </c>
      <c r="S3444" s="125"/>
    </row>
    <row r="3445" spans="1:19" hidden="1">
      <c r="A3445" s="124" t="s">
        <v>5504</v>
      </c>
      <c r="B3445" s="138" t="str">
        <f ca="1"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 ca="1">IF(Proc[[#This Row],[type]]="LFF (MDG-F)",MID(Proc[[#This Row],[Obj]],13,10),"")</f>
        <v/>
      </c>
      <c r="J3445" s="125" t="b">
        <f ca="1">Proc[[#This Row],[Requested]]=Proc[[#This Row],[CurrentParent]]</f>
        <v>1</v>
      </c>
      <c r="K3445" s="125" t="str">
        <f ca="1"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22</v>
      </c>
      <c r="R3445" s="115" t="s">
        <v>489</v>
      </c>
      <c r="S3445" s="125"/>
    </row>
    <row r="3446" spans="1:19" hidden="1">
      <c r="A3446" s="124" t="s">
        <v>5504</v>
      </c>
      <c r="B3446" s="138" t="str">
        <f ca="1"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 ca="1">IF(Proc[[#This Row],[type]]="LFF (MDG-F)",MID(Proc[[#This Row],[Obj]],13,10),"")</f>
        <v/>
      </c>
      <c r="J3446" s="125" t="b">
        <f ca="1">Proc[[#This Row],[Requested]]=Proc[[#This Row],[CurrentParent]]</f>
        <v>1</v>
      </c>
      <c r="K3446" s="125" t="str">
        <f ca="1"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22</v>
      </c>
      <c r="R3446" s="115" t="s">
        <v>489</v>
      </c>
      <c r="S3446" s="125"/>
    </row>
    <row r="3447" spans="1:19" hidden="1">
      <c r="A3447" s="124" t="s">
        <v>5504</v>
      </c>
      <c r="B3447" s="138" t="str">
        <f ca="1"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 ca="1">IF(Proc[[#This Row],[type]]="LFF (MDG-F)",MID(Proc[[#This Row],[Obj]],13,10),"")</f>
        <v/>
      </c>
      <c r="J3447" s="125" t="b">
        <f ca="1">Proc[[#This Row],[Requested]]=Proc[[#This Row],[CurrentParent]]</f>
        <v>1</v>
      </c>
      <c r="K3447" s="125" t="str">
        <f ca="1"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22</v>
      </c>
      <c r="R3447" s="115" t="s">
        <v>489</v>
      </c>
      <c r="S3447" s="125"/>
    </row>
    <row r="3448" spans="1:19" hidden="1">
      <c r="A3448" s="124" t="s">
        <v>5504</v>
      </c>
      <c r="B3448" s="138" t="str">
        <f ca="1"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 ca="1">IF(Proc[[#This Row],[type]]="LFF (MDG-F)",MID(Proc[[#This Row],[Obj]],13,10),"")</f>
        <v/>
      </c>
      <c r="J3448" s="125" t="b">
        <f ca="1">Proc[[#This Row],[Requested]]=Proc[[#This Row],[CurrentParent]]</f>
        <v>1</v>
      </c>
      <c r="K3448" s="125" t="str">
        <f ca="1"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22</v>
      </c>
      <c r="R3448" s="115" t="s">
        <v>489</v>
      </c>
      <c r="S3448" s="125"/>
    </row>
    <row r="3449" spans="1:19" hidden="1">
      <c r="A3449" s="124" t="s">
        <v>5504</v>
      </c>
      <c r="B3449" s="138" t="str">
        <f ca="1"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 ca="1">IF(Proc[[#This Row],[type]]="LFF (MDG-F)",MID(Proc[[#This Row],[Obj]],13,10),"")</f>
        <v/>
      </c>
      <c r="J3449" s="125" t="b">
        <f ca="1">Proc[[#This Row],[Requested]]=Proc[[#This Row],[CurrentParent]]</f>
        <v>1</v>
      </c>
      <c r="K3449" s="125" t="str">
        <f ca="1"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22</v>
      </c>
      <c r="R3449" s="115" t="s">
        <v>489</v>
      </c>
      <c r="S3449" s="125"/>
    </row>
    <row r="3450" spans="1:19" hidden="1">
      <c r="A3450" s="124" t="s">
        <v>5504</v>
      </c>
      <c r="B3450" s="138" t="str">
        <f ca="1"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 ca="1">IF(Proc[[#This Row],[type]]="LFF (MDG-F)",MID(Proc[[#This Row],[Obj]],13,10),"")</f>
        <v/>
      </c>
      <c r="J3450" s="125" t="b">
        <f ca="1">Proc[[#This Row],[Requested]]=Proc[[#This Row],[CurrentParent]]</f>
        <v>1</v>
      </c>
      <c r="K3450" s="125" t="str">
        <f ca="1"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22</v>
      </c>
      <c r="R3450" s="115" t="s">
        <v>489</v>
      </c>
      <c r="S3450" s="125"/>
    </row>
    <row r="3451" spans="1:19" hidden="1">
      <c r="A3451" s="124" t="s">
        <v>5504</v>
      </c>
      <c r="B3451" s="138" t="str">
        <f ca="1"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 ca="1">IF(Proc[[#This Row],[type]]="LFF (MDG-F)",MID(Proc[[#This Row],[Obj]],13,10),"")</f>
        <v/>
      </c>
      <c r="J3451" s="125" t="b">
        <f ca="1">Proc[[#This Row],[Requested]]=Proc[[#This Row],[CurrentParent]]</f>
        <v>1</v>
      </c>
      <c r="K3451" s="125" t="str">
        <f ca="1"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22</v>
      </c>
      <c r="R3451" s="115" t="s">
        <v>489</v>
      </c>
      <c r="S3451" s="125"/>
    </row>
    <row r="3452" spans="1:19" hidden="1">
      <c r="A3452" s="124" t="s">
        <v>5504</v>
      </c>
      <c r="B3452" s="138" t="str">
        <f ca="1"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 ca="1">IF(Proc[[#This Row],[type]]="LFF (MDG-F)",MID(Proc[[#This Row],[Obj]],13,10),"")</f>
        <v/>
      </c>
      <c r="J3452" s="125" t="b">
        <f ca="1">Proc[[#This Row],[Requested]]=Proc[[#This Row],[CurrentParent]]</f>
        <v>1</v>
      </c>
      <c r="K3452" s="125" t="str">
        <f ca="1"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22</v>
      </c>
      <c r="R3452" s="115" t="s">
        <v>489</v>
      </c>
      <c r="S3452" s="125"/>
    </row>
    <row r="3453" spans="1:19" hidden="1">
      <c r="A3453" s="124" t="s">
        <v>5504</v>
      </c>
      <c r="B3453" s="138" t="str">
        <f ca="1"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 ca="1">IF(Proc[[#This Row],[type]]="LFF (MDG-F)",MID(Proc[[#This Row],[Obj]],13,10),"")</f>
        <v/>
      </c>
      <c r="J3453" s="125" t="b">
        <f ca="1">Proc[[#This Row],[Requested]]=Proc[[#This Row],[CurrentParent]]</f>
        <v>1</v>
      </c>
      <c r="K3453" s="125" t="str">
        <f ca="1"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22</v>
      </c>
      <c r="R3453" s="115" t="s">
        <v>489</v>
      </c>
      <c r="S3453" s="125"/>
    </row>
    <row r="3454" spans="1:19" hidden="1">
      <c r="A3454" s="124" t="s">
        <v>5504</v>
      </c>
      <c r="B3454" s="138" t="str">
        <f ca="1"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 ca="1">IF(Proc[[#This Row],[type]]="LFF (MDG-F)",MID(Proc[[#This Row],[Obj]],13,10),"")</f>
        <v/>
      </c>
      <c r="J3454" s="125" t="b">
        <f ca="1">Proc[[#This Row],[Requested]]=Proc[[#This Row],[CurrentParent]]</f>
        <v>1</v>
      </c>
      <c r="K3454" s="125" t="str">
        <f ca="1"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22</v>
      </c>
      <c r="R3454" s="115" t="s">
        <v>489</v>
      </c>
      <c r="S3454" s="125"/>
    </row>
    <row r="3455" spans="1:19" hidden="1">
      <c r="A3455" t="s">
        <v>5524</v>
      </c>
      <c r="B3455" s="138" t="str">
        <f ca="1"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 ca="1">IF(Proc[[#This Row],[type]]="LFF (MDG-F)",MID(Proc[[#This Row],[Obj]],13,10),"")</f>
        <v>DE10Z03112</v>
      </c>
      <c r="J3455" s="125" t="b">
        <f ca="1">Proc[[#This Row],[Requested]]=Proc[[#This Row],[CurrentParent]]</f>
        <v>1</v>
      </c>
      <c r="K3455" s="125" t="str">
        <f ca="1"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22</v>
      </c>
      <c r="R3455" s="115" t="s">
        <v>1459</v>
      </c>
      <c r="S3455" s="125"/>
    </row>
    <row r="3456" spans="1:19" hidden="1">
      <c r="A3456" t="s">
        <v>5526</v>
      </c>
      <c r="B3456" s="138" t="str">
        <f ca="1"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 ca="1">IF(Proc[[#This Row],[type]]="LFF (MDG-F)",MID(Proc[[#This Row],[Obj]],13,10),"")</f>
        <v/>
      </c>
      <c r="J3456" s="125" t="b">
        <f ca="1">Proc[[#This Row],[Requested]]=Proc[[#This Row],[CurrentParent]]</f>
        <v>1</v>
      </c>
      <c r="K3456" s="125" t="str">
        <f ca="1"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22</v>
      </c>
      <c r="R3456" s="115" t="s">
        <v>489</v>
      </c>
      <c r="S3456" s="125"/>
    </row>
    <row r="3457" spans="1:19" hidden="1">
      <c r="A3457" s="124" t="s">
        <v>5526</v>
      </c>
      <c r="B3457" s="138" t="str">
        <f ca="1"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 ca="1">IF(Proc[[#This Row],[type]]="LFF (MDG-F)",MID(Proc[[#This Row],[Obj]],13,10),"")</f>
        <v/>
      </c>
      <c r="J3457" s="125" t="b">
        <f ca="1">Proc[[#This Row],[Requested]]=Proc[[#This Row],[CurrentParent]]</f>
        <v>1</v>
      </c>
      <c r="K3457" s="125" t="str">
        <f ca="1"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22</v>
      </c>
      <c r="R3457" s="115" t="s">
        <v>489</v>
      </c>
      <c r="S3457" s="125"/>
    </row>
    <row r="3458" spans="1:19" hidden="1">
      <c r="A3458" t="s">
        <v>5531</v>
      </c>
      <c r="B3458" s="138" t="str">
        <f ca="1"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 ca="1">IF(Proc[[#This Row],[type]]="LFF (MDG-F)",MID(Proc[[#This Row],[Obj]],13,10),"")</f>
        <v>2068TAUA01</v>
      </c>
      <c r="J3458" s="125" t="b">
        <f ca="1">Proc[[#This Row],[Requested]]=Proc[[#This Row],[CurrentParent]]</f>
        <v>1</v>
      </c>
      <c r="K3458" s="125" t="str">
        <f ca="1"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22</v>
      </c>
      <c r="R3458" s="115" t="s">
        <v>489</v>
      </c>
      <c r="S3458" s="125"/>
    </row>
    <row r="3459" spans="1:19" hidden="1">
      <c r="A3459" t="s">
        <v>5532</v>
      </c>
      <c r="B3459" s="138" t="str">
        <f ca="1"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 ca="1">IF(Proc[[#This Row],[type]]="LFF (MDG-F)",MID(Proc[[#This Row],[Obj]],13,10),"")</f>
        <v>2068TAUA00</v>
      </c>
      <c r="J3459" s="125" t="b">
        <f ca="1">Proc[[#This Row],[Requested]]=Proc[[#This Row],[CurrentParent]]</f>
        <v>1</v>
      </c>
      <c r="K3459" s="125" t="str">
        <f ca="1"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22</v>
      </c>
      <c r="R3459" s="115" t="s">
        <v>489</v>
      </c>
      <c r="S3459" s="125"/>
    </row>
    <row r="3460" spans="1:19" hidden="1">
      <c r="A3460" s="124" t="s">
        <v>5532</v>
      </c>
      <c r="B3460" s="138" t="str">
        <f ca="1"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 ca="1">IF(Proc[[#This Row],[type]]="LFF (MDG-F)",MID(Proc[[#This Row],[Obj]],13,10),"")</f>
        <v>2068TAUA99</v>
      </c>
      <c r="J3460" s="125" t="b">
        <f ca="1">Proc[[#This Row],[Requested]]=Proc[[#This Row],[CurrentParent]]</f>
        <v>1</v>
      </c>
      <c r="K3460" s="125" t="str">
        <f ca="1"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22</v>
      </c>
      <c r="R3460" s="115" t="s">
        <v>489</v>
      </c>
      <c r="S3460" s="125"/>
    </row>
    <row r="3461" spans="1:19" hidden="1">
      <c r="A3461" s="124" t="s">
        <v>5532</v>
      </c>
      <c r="B3461" s="138" t="str">
        <f ca="1"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 ca="1">IF(Proc[[#This Row],[type]]="LFF (MDG-F)",MID(Proc[[#This Row],[Obj]],13,10),"")</f>
        <v>2068TBUZ21</v>
      </c>
      <c r="J3461" s="125" t="b">
        <f ca="1">Proc[[#This Row],[Requested]]=Proc[[#This Row],[CurrentParent]]</f>
        <v>1</v>
      </c>
      <c r="K3461" s="125" t="str">
        <f ca="1"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22</v>
      </c>
      <c r="R3461" s="115" t="s">
        <v>489</v>
      </c>
      <c r="S3461" s="125"/>
    </row>
    <row r="3462" spans="1:19" hidden="1">
      <c r="A3462" s="124" t="s">
        <v>5532</v>
      </c>
      <c r="B3462" s="138" t="str">
        <f ca="1"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 ca="1">IF(Proc[[#This Row],[type]]="LFF (MDG-F)",MID(Proc[[#This Row],[Obj]],13,10),"")</f>
        <v>2068TFUZ61</v>
      </c>
      <c r="J3462" s="125" t="b">
        <f ca="1">Proc[[#This Row],[Requested]]=Proc[[#This Row],[CurrentParent]]</f>
        <v>1</v>
      </c>
      <c r="K3462" s="125" t="str">
        <f ca="1"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22</v>
      </c>
      <c r="R3462" s="115" t="s">
        <v>489</v>
      </c>
      <c r="S3462" s="125"/>
    </row>
    <row r="3463" spans="1:19" hidden="1">
      <c r="A3463" s="124" t="s">
        <v>5532</v>
      </c>
      <c r="B3463" s="138" t="str">
        <f ca="1"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 ca="1">IF(Proc[[#This Row],[type]]="LFF (MDG-F)",MID(Proc[[#This Row],[Obj]],13,10),"")</f>
        <v>2068TKUZ70</v>
      </c>
      <c r="J3463" s="125" t="b">
        <f ca="1">Proc[[#This Row],[Requested]]=Proc[[#This Row],[CurrentParent]]</f>
        <v>1</v>
      </c>
      <c r="K3463" s="125" t="str">
        <f ca="1"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22</v>
      </c>
      <c r="R3463" s="115" t="s">
        <v>489</v>
      </c>
      <c r="S3463" s="125"/>
    </row>
    <row r="3464" spans="1:19" hidden="1">
      <c r="A3464" s="124" t="s">
        <v>5532</v>
      </c>
      <c r="B3464" s="138" t="str">
        <f ca="1"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 ca="1">IF(Proc[[#This Row],[type]]="LFF (MDG-F)",MID(Proc[[#This Row],[Obj]],13,10),"")</f>
        <v>2068TQUZ90</v>
      </c>
      <c r="J3464" s="125" t="b">
        <f ca="1">Proc[[#This Row],[Requested]]=Proc[[#This Row],[CurrentParent]]</f>
        <v>1</v>
      </c>
      <c r="K3464" s="125" t="str">
        <f ca="1"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22</v>
      </c>
      <c r="R3464" s="115" t="s">
        <v>489</v>
      </c>
      <c r="S3464" s="125"/>
    </row>
    <row r="3465" spans="1:19" hidden="1">
      <c r="A3465" s="124" t="s">
        <v>5532</v>
      </c>
      <c r="B3465" s="138" t="str">
        <f ca="1"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 ca="1">IF(Proc[[#This Row],[type]]="LFF (MDG-F)",MID(Proc[[#This Row],[Obj]],13,10),"")</f>
        <v>2148TFCZ62</v>
      </c>
      <c r="J3465" s="125" t="b">
        <f ca="1">Proc[[#This Row],[Requested]]=Proc[[#This Row],[CurrentParent]]</f>
        <v>1</v>
      </c>
      <c r="K3465" s="125" t="str">
        <f ca="1"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22</v>
      </c>
      <c r="R3465" s="115" t="s">
        <v>489</v>
      </c>
      <c r="S3465" s="125"/>
    </row>
    <row r="3466" spans="1:19" hidden="1">
      <c r="A3466" s="124" t="s">
        <v>5532</v>
      </c>
      <c r="B3466" s="138" t="str">
        <f ca="1"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 ca="1">IF(Proc[[#This Row],[type]]="LFF (MDG-F)",MID(Proc[[#This Row],[Obj]],13,10),"")</f>
        <v>2148TFSZ62</v>
      </c>
      <c r="J3466" s="125" t="b">
        <f ca="1">Proc[[#This Row],[Requested]]=Proc[[#This Row],[CurrentParent]]</f>
        <v>1</v>
      </c>
      <c r="K3466" s="125" t="str">
        <f ca="1"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22</v>
      </c>
      <c r="R3466" s="115" t="s">
        <v>489</v>
      </c>
      <c r="S3466" s="125"/>
    </row>
    <row r="3467" spans="1:19" hidden="1">
      <c r="A3467" t="s">
        <v>5535</v>
      </c>
      <c r="B3467" s="138" t="str">
        <f ca="1"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 ca="1">IF(Proc[[#This Row],[type]]="LFF (MDG-F)",MID(Proc[[#This Row],[Obj]],13,10),"")</f>
        <v/>
      </c>
      <c r="J3467" s="125" t="b">
        <f ca="1">Proc[[#This Row],[Requested]]=Proc[[#This Row],[CurrentParent]]</f>
        <v>1</v>
      </c>
      <c r="K3467" s="125" t="str">
        <f ca="1"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22</v>
      </c>
      <c r="R3467" s="115" t="s">
        <v>415</v>
      </c>
      <c r="S3467" s="125"/>
    </row>
    <row r="3468" spans="1:19" hidden="1">
      <c r="A3468" s="124" t="s">
        <v>5535</v>
      </c>
      <c r="B3468" s="138" t="str">
        <f ca="1"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 ca="1">IF(Proc[[#This Row],[type]]="LFF (MDG-F)",MID(Proc[[#This Row],[Obj]],13,10),"")</f>
        <v/>
      </c>
      <c r="J3468" s="125" t="b">
        <f ca="1">Proc[[#This Row],[Requested]]=Proc[[#This Row],[CurrentParent]]</f>
        <v>1</v>
      </c>
      <c r="K3468" s="125" t="str">
        <f ca="1"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22</v>
      </c>
      <c r="R3468" s="115" t="s">
        <v>415</v>
      </c>
      <c r="S3468" s="125"/>
    </row>
    <row r="3469" spans="1:19" hidden="1">
      <c r="A3469" s="124" t="s">
        <v>5535</v>
      </c>
      <c r="B3469" s="138" t="str">
        <f ca="1"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 ca="1">IF(Proc[[#This Row],[type]]="LFF (MDG-F)",MID(Proc[[#This Row],[Obj]],13,10),"")</f>
        <v/>
      </c>
      <c r="J3469" s="125" t="b">
        <f ca="1">Proc[[#This Row],[Requested]]=Proc[[#This Row],[CurrentParent]]</f>
        <v>1</v>
      </c>
      <c r="K3469" s="125" t="str">
        <f ca="1"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22</v>
      </c>
      <c r="R3469" s="115" t="s">
        <v>415</v>
      </c>
      <c r="S3469" s="125"/>
    </row>
    <row r="3470" spans="1:19" hidden="1">
      <c r="A3470" s="124" t="s">
        <v>5535</v>
      </c>
      <c r="B3470" s="138" t="str">
        <f ca="1"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 ca="1">IF(Proc[[#This Row],[type]]="LFF (MDG-F)",MID(Proc[[#This Row],[Obj]],13,10),"")</f>
        <v/>
      </c>
      <c r="J3470" s="125" t="b">
        <f ca="1">Proc[[#This Row],[Requested]]=Proc[[#This Row],[CurrentParent]]</f>
        <v>1</v>
      </c>
      <c r="K3470" s="125" t="str">
        <f ca="1"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22</v>
      </c>
      <c r="R3470" s="115" t="s">
        <v>415</v>
      </c>
      <c r="S3470" s="125"/>
    </row>
    <row r="3471" spans="1:19" hidden="1">
      <c r="A3471" s="124" t="s">
        <v>5535</v>
      </c>
      <c r="B3471" s="138" t="str">
        <f ca="1"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 ca="1">IF(Proc[[#This Row],[type]]="LFF (MDG-F)",MID(Proc[[#This Row],[Obj]],13,10),"")</f>
        <v/>
      </c>
      <c r="J3471" s="125" t="b">
        <f ca="1">Proc[[#This Row],[Requested]]=Proc[[#This Row],[CurrentParent]]</f>
        <v>1</v>
      </c>
      <c r="K3471" s="125" t="str">
        <f ca="1"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22</v>
      </c>
      <c r="R3471" s="115" t="s">
        <v>415</v>
      </c>
      <c r="S3471" s="125"/>
    </row>
    <row r="3472" spans="1:19" hidden="1">
      <c r="A3472" s="124" t="s">
        <v>5535</v>
      </c>
      <c r="B3472" s="138" t="str">
        <f ca="1"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 ca="1">IF(Proc[[#This Row],[type]]="LFF (MDG-F)",MID(Proc[[#This Row],[Obj]],13,10),"")</f>
        <v/>
      </c>
      <c r="J3472" s="125" t="b">
        <f ca="1">Proc[[#This Row],[Requested]]=Proc[[#This Row],[CurrentParent]]</f>
        <v>1</v>
      </c>
      <c r="K3472" s="125" t="str">
        <f ca="1"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22</v>
      </c>
      <c r="R3472" s="115" t="s">
        <v>415</v>
      </c>
      <c r="S3472" s="125"/>
    </row>
    <row r="3473" spans="1:19" hidden="1">
      <c r="A3473" s="124" t="s">
        <v>5535</v>
      </c>
      <c r="B3473" s="138" t="str">
        <f ca="1"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 ca="1">IF(Proc[[#This Row],[type]]="LFF (MDG-F)",MID(Proc[[#This Row],[Obj]],13,10),"")</f>
        <v/>
      </c>
      <c r="J3473" s="125" t="b">
        <f ca="1">Proc[[#This Row],[Requested]]=Proc[[#This Row],[CurrentParent]]</f>
        <v>1</v>
      </c>
      <c r="K3473" s="125" t="str">
        <f ca="1"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22</v>
      </c>
      <c r="R3473" s="115" t="s">
        <v>415</v>
      </c>
      <c r="S3473" s="125"/>
    </row>
    <row r="3474" spans="1:19" hidden="1">
      <c r="A3474" s="124" t="s">
        <v>5535</v>
      </c>
      <c r="B3474" s="138" t="str">
        <f ca="1"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 ca="1">IF(Proc[[#This Row],[type]]="LFF (MDG-F)",MID(Proc[[#This Row],[Obj]],13,10),"")</f>
        <v/>
      </c>
      <c r="J3474" s="125" t="b">
        <f ca="1">Proc[[#This Row],[Requested]]=Proc[[#This Row],[CurrentParent]]</f>
        <v>1</v>
      </c>
      <c r="K3474" s="125" t="str">
        <f ca="1"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22</v>
      </c>
      <c r="R3474" s="115" t="s">
        <v>415</v>
      </c>
      <c r="S3474" s="125"/>
    </row>
    <row r="3475" spans="1:19" hidden="1">
      <c r="A3475" s="124" t="s">
        <v>5535</v>
      </c>
      <c r="B3475" s="138" t="str">
        <f ca="1"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 ca="1">IF(Proc[[#This Row],[type]]="LFF (MDG-F)",MID(Proc[[#This Row],[Obj]],13,10),"")</f>
        <v/>
      </c>
      <c r="J3475" s="125" t="b">
        <f ca="1">Proc[[#This Row],[Requested]]=Proc[[#This Row],[CurrentParent]]</f>
        <v>1</v>
      </c>
      <c r="K3475" s="125" t="str">
        <f ca="1"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22</v>
      </c>
      <c r="R3475" s="115" t="s">
        <v>415</v>
      </c>
      <c r="S3475" s="125"/>
    </row>
    <row r="3476" spans="1:19" hidden="1">
      <c r="A3476" s="124" t="s">
        <v>5535</v>
      </c>
      <c r="B3476" s="138" t="str">
        <f ca="1"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 ca="1">IF(Proc[[#This Row],[type]]="LFF (MDG-F)",MID(Proc[[#This Row],[Obj]],13,10),"")</f>
        <v/>
      </c>
      <c r="J3476" s="125" t="b">
        <f ca="1">Proc[[#This Row],[Requested]]=Proc[[#This Row],[CurrentParent]]</f>
        <v>1</v>
      </c>
      <c r="K3476" s="125" t="str">
        <f ca="1"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22</v>
      </c>
      <c r="R3476" s="115" t="s">
        <v>415</v>
      </c>
      <c r="S3476" s="125"/>
    </row>
    <row r="3477" spans="1:19" hidden="1">
      <c r="A3477" t="s">
        <v>5548</v>
      </c>
      <c r="B3477" s="138" t="str">
        <f ca="1"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 ca="1">IF(Proc[[#This Row],[type]]="LFF (MDG-F)",MID(Proc[[#This Row],[Obj]],13,10),"")</f>
        <v/>
      </c>
      <c r="J3477" s="125" t="b">
        <f ca="1">Proc[[#This Row],[Requested]]=Proc[[#This Row],[CurrentParent]]</f>
        <v>1</v>
      </c>
      <c r="K3477" s="125" t="str">
        <f ca="1"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21</v>
      </c>
      <c r="R3477" s="115" t="s">
        <v>410</v>
      </c>
      <c r="S3477" s="125"/>
    </row>
    <row r="3478" spans="1:19" hidden="1">
      <c r="A3478" t="s">
        <v>5551</v>
      </c>
      <c r="B3478" s="138" t="str">
        <f ca="1"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 ca="1">IF(Proc[[#This Row],[type]]="LFF (MDG-F)",MID(Proc[[#This Row],[Obj]],13,10),"")</f>
        <v/>
      </c>
      <c r="J3478" s="125" t="b">
        <f ca="1">Proc[[#This Row],[Requested]]=Proc[[#This Row],[CurrentParent]]</f>
        <v>1</v>
      </c>
      <c r="K3478" s="125" t="str">
        <f ca="1"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21</v>
      </c>
      <c r="R3478" s="115" t="s">
        <v>515</v>
      </c>
      <c r="S3478" s="125"/>
    </row>
    <row r="3479" spans="1:19" hidden="1">
      <c r="A3479" t="s">
        <v>5556</v>
      </c>
      <c r="B3479" s="138" t="str">
        <f ca="1"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 ca="1">IF(Proc[[#This Row],[type]]="LFF (MDG-F)",MID(Proc[[#This Row],[Obj]],13,10),"")</f>
        <v>CN70R03104</v>
      </c>
      <c r="J3479" s="125" t="b">
        <f ca="1">Proc[[#This Row],[Requested]]=Proc[[#This Row],[CurrentParent]]</f>
        <v>1</v>
      </c>
      <c r="K3479" s="125" t="str">
        <f ca="1"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20</v>
      </c>
      <c r="R3479" s="115" t="s">
        <v>410</v>
      </c>
      <c r="S3479" s="125"/>
    </row>
    <row r="3480" spans="1:19" hidden="1">
      <c r="A3480" s="124" t="s">
        <v>5556</v>
      </c>
      <c r="B3480" s="138" t="str">
        <f ca="1"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 ca="1">IF(Proc[[#This Row],[type]]="LFF (MDG-F)",MID(Proc[[#This Row],[Obj]],13,10),"")</f>
        <v>DE50TMDA06</v>
      </c>
      <c r="J3480" s="125" t="b">
        <f ca="1">Proc[[#This Row],[Requested]]=Proc[[#This Row],[CurrentParent]]</f>
        <v>1</v>
      </c>
      <c r="K3480" s="125" t="str">
        <f ca="1"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20</v>
      </c>
      <c r="R3480" s="115" t="s">
        <v>410</v>
      </c>
      <c r="S3480" s="125"/>
    </row>
    <row r="3481" spans="1:19" hidden="1">
      <c r="A3481" s="124" t="s">
        <v>5556</v>
      </c>
      <c r="B3481" s="138" t="str">
        <f ca="1"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 ca="1">IF(Proc[[#This Row],[type]]="LFF (MDG-F)",MID(Proc[[#This Row],[Obj]],13,10),"")</f>
        <v>CH65R00046</v>
      </c>
      <c r="J3481" s="125" t="b">
        <f ca="1">Proc[[#This Row],[Requested]]=Proc[[#This Row],[CurrentParent]]</f>
        <v>1</v>
      </c>
      <c r="K3481" s="125" t="str">
        <f ca="1"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20</v>
      </c>
      <c r="R3481" s="115" t="s">
        <v>410</v>
      </c>
      <c r="S3481" s="125"/>
    </row>
    <row r="3482" spans="1:19" hidden="1">
      <c r="A3482" s="124" t="s">
        <v>5556</v>
      </c>
      <c r="B3482" s="138" t="str">
        <f ca="1"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 ca="1">IF(Proc[[#This Row],[type]]="LFF (MDG-F)",MID(Proc[[#This Row],[Obj]],13,10),"")</f>
        <v>CH65R00045</v>
      </c>
      <c r="J3482" s="125" t="b">
        <f ca="1">Proc[[#This Row],[Requested]]=Proc[[#This Row],[CurrentParent]]</f>
        <v>1</v>
      </c>
      <c r="K3482" s="125" t="str">
        <f ca="1"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20</v>
      </c>
      <c r="R3482" s="115" t="s">
        <v>410</v>
      </c>
      <c r="S3482" s="125"/>
    </row>
    <row r="3483" spans="1:19" hidden="1">
      <c r="A3483" s="124" t="s">
        <v>5556</v>
      </c>
      <c r="B3483" s="138" t="str">
        <f ca="1"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 ca="1">IF(Proc[[#This Row],[type]]="LFF (MDG-F)",MID(Proc[[#This Row],[Obj]],13,10),"")</f>
        <v>CH65R00044</v>
      </c>
      <c r="J3483" s="125" t="b">
        <f ca="1">Proc[[#This Row],[Requested]]=Proc[[#This Row],[CurrentParent]]</f>
        <v>1</v>
      </c>
      <c r="K3483" s="125" t="str">
        <f ca="1"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20</v>
      </c>
      <c r="R3483" s="115" t="s">
        <v>410</v>
      </c>
      <c r="S3483" s="125"/>
    </row>
    <row r="3484" spans="1:19" hidden="1">
      <c r="A3484" s="124" t="s">
        <v>5556</v>
      </c>
      <c r="B3484" s="138" t="str">
        <f ca="1"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 ca="1">IF(Proc[[#This Row],[type]]="LFF (MDG-F)",MID(Proc[[#This Row],[Obj]],13,10),"")</f>
        <v>IT50R02001</v>
      </c>
      <c r="J3484" s="125" t="b">
        <f ca="1">Proc[[#This Row],[Requested]]=Proc[[#This Row],[CurrentParent]]</f>
        <v>1</v>
      </c>
      <c r="K3484" s="125" t="str">
        <f ca="1"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20</v>
      </c>
      <c r="R3484" s="115" t="s">
        <v>410</v>
      </c>
      <c r="S3484" s="125"/>
    </row>
    <row r="3485" spans="1:19" hidden="1">
      <c r="A3485" s="124" t="s">
        <v>5556</v>
      </c>
      <c r="B3485" s="138" t="str">
        <f ca="1"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 ca="1">IF(Proc[[#This Row],[type]]="LFF (MDG-F)",MID(Proc[[#This Row],[Obj]],13,10),"")</f>
        <v>IT50R02002</v>
      </c>
      <c r="J3485" s="125" t="b">
        <f ca="1">Proc[[#This Row],[Requested]]=Proc[[#This Row],[CurrentParent]]</f>
        <v>1</v>
      </c>
      <c r="K3485" s="125" t="str">
        <f ca="1"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20</v>
      </c>
      <c r="R3485" s="115" t="s">
        <v>410</v>
      </c>
      <c r="S3485" s="125"/>
    </row>
    <row r="3486" spans="1:19" hidden="1">
      <c r="A3486" t="s">
        <v>5573</v>
      </c>
      <c r="B3486" s="138" t="str">
        <f ca="1">IFERROR(VLOOKUP(Proc[[#This Row],[App]],Table2[],3,0),"open")</f>
        <v>ok</v>
      </c>
      <c r="C3486" s="128" t="s">
        <v>369</v>
      </c>
      <c r="D3486" t="s">
        <v>5577</v>
      </c>
      <c r="E3486" s="128" t="s">
        <v>5572</v>
      </c>
      <c r="F3486" s="129" t="s">
        <v>5572</v>
      </c>
      <c r="G3486" t="s">
        <v>400</v>
      </c>
      <c r="H3486" s="125" t="str">
        <f ca="1">IF(Proc[[#This Row],[type]]="LFF (MDG-F)",MID(Proc[[#This Row],[Obj]],13,10),"")</f>
        <v/>
      </c>
      <c r="J3486" s="125" t="b">
        <f ca="1">Proc[[#This Row],[Requested]]=Proc[[#This Row],[CurrentParent]]</f>
        <v>1</v>
      </c>
      <c r="K3486" s="125" t="str">
        <f ca="1"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19</v>
      </c>
      <c r="R3486" s="115" t="s">
        <v>1262</v>
      </c>
      <c r="S3486" s="125"/>
    </row>
    <row r="3487" spans="1:19" hidden="1">
      <c r="A3487" t="s">
        <v>5576</v>
      </c>
      <c r="B3487" s="138" t="str">
        <f ca="1">IFERROR(VLOOKUP(Proc[[#This Row],[App]],Table2[],3,0),"open")</f>
        <v>ok</v>
      </c>
      <c r="C3487" s="128" t="s">
        <v>369</v>
      </c>
      <c r="D3487" t="s">
        <v>5574</v>
      </c>
      <c r="E3487" t="s">
        <v>2416</v>
      </c>
      <c r="F3487" s="129" t="s">
        <v>2416</v>
      </c>
      <c r="G3487" t="s">
        <v>406</v>
      </c>
      <c r="H3487" s="129" t="str">
        <f ca="1">IF(Proc[[#This Row],[type]]="LFF (MDG-F)",MID(Proc[[#This Row],[Obj]],13,10),"")</f>
        <v>DK50GEQ010</v>
      </c>
      <c r="J3487" s="129" t="b">
        <f ca="1">Proc[[#This Row],[Requested]]=Proc[[#This Row],[CurrentParent]]</f>
        <v>1</v>
      </c>
      <c r="K3487" s="129" t="str">
        <f ca="1"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19</v>
      </c>
      <c r="R3487" s="115" t="s">
        <v>515</v>
      </c>
      <c r="S3487" s="129"/>
    </row>
    <row r="3488" spans="1:19" hidden="1">
      <c r="A3488" s="128" t="s">
        <v>5576</v>
      </c>
      <c r="B3488" s="138" t="str">
        <f ca="1">IFERROR(VLOOKUP(Proc[[#This Row],[App]],Table2[],3,0),"open")</f>
        <v>ok</v>
      </c>
      <c r="C3488" s="128" t="s">
        <v>369</v>
      </c>
      <c r="D3488" t="s">
        <v>5575</v>
      </c>
      <c r="E3488" t="s">
        <v>2416</v>
      </c>
      <c r="F3488" s="129" t="s">
        <v>2416</v>
      </c>
      <c r="G3488" s="128" t="s">
        <v>400</v>
      </c>
      <c r="H3488" s="129" t="str">
        <f ca="1">IF(Proc[[#This Row],[type]]="LFF (MDG-F)",MID(Proc[[#This Row],[Obj]],13,10),"")</f>
        <v/>
      </c>
      <c r="J3488" s="129" t="b">
        <f ca="1">Proc[[#This Row],[Requested]]=Proc[[#This Row],[CurrentParent]]</f>
        <v>1</v>
      </c>
      <c r="K3488" s="129" t="str">
        <f ca="1"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19</v>
      </c>
      <c r="R3488" s="115" t="s">
        <v>515</v>
      </c>
      <c r="S3488" s="129"/>
    </row>
    <row r="3489" spans="1:19" hidden="1">
      <c r="A3489" t="s">
        <v>5671</v>
      </c>
      <c r="B3489" s="138" t="str">
        <f ca="1">IFERROR(VLOOKUP(Proc[[#This Row],[App]],Table2[],3,0),"open")</f>
        <v>ok</v>
      </c>
      <c r="C3489" s="128" t="s">
        <v>369</v>
      </c>
      <c r="D3489" t="s">
        <v>5578</v>
      </c>
      <c r="E3489" t="s">
        <v>5670</v>
      </c>
      <c r="F3489" s="129" t="s">
        <v>5670</v>
      </c>
      <c r="G3489" t="s">
        <v>400</v>
      </c>
      <c r="H3489" s="129" t="str">
        <f ca="1">IF(Proc[[#This Row],[type]]="LFF (MDG-F)",MID(Proc[[#This Row],[Obj]],13,10),"")</f>
        <v/>
      </c>
      <c r="J3489" s="129" t="b">
        <f ca="1">Proc[[#This Row],[Requested]]=Proc[[#This Row],[CurrentParent]]</f>
        <v>1</v>
      </c>
      <c r="K3489" s="129" t="str">
        <f ca="1"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18</v>
      </c>
      <c r="R3489" s="115" t="s">
        <v>515</v>
      </c>
      <c r="S3489" s="129"/>
    </row>
    <row r="3490" spans="1:19" hidden="1">
      <c r="A3490" s="128" t="s">
        <v>5671</v>
      </c>
      <c r="B3490" s="138" t="str">
        <f ca="1">IFERROR(VLOOKUP(Proc[[#This Row],[App]],Table2[],3,0),"open")</f>
        <v>ok</v>
      </c>
      <c r="C3490" s="128" t="s">
        <v>369</v>
      </c>
      <c r="D3490" t="s">
        <v>5579</v>
      </c>
      <c r="E3490" t="s">
        <v>5670</v>
      </c>
      <c r="F3490" s="129" t="s">
        <v>5670</v>
      </c>
      <c r="G3490" s="128" t="s">
        <v>400</v>
      </c>
      <c r="H3490" s="129" t="str">
        <f ca="1">IF(Proc[[#This Row],[type]]="LFF (MDG-F)",MID(Proc[[#This Row],[Obj]],13,10),"")</f>
        <v/>
      </c>
      <c r="J3490" s="129" t="b">
        <f ca="1">Proc[[#This Row],[Requested]]=Proc[[#This Row],[CurrentParent]]</f>
        <v>1</v>
      </c>
      <c r="K3490" s="129" t="str">
        <f ca="1"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18</v>
      </c>
      <c r="R3490" s="115" t="s">
        <v>515</v>
      </c>
      <c r="S3490" s="129"/>
    </row>
    <row r="3491" spans="1:19" hidden="1">
      <c r="A3491" s="128" t="s">
        <v>5671</v>
      </c>
      <c r="B3491" s="138" t="str">
        <f ca="1">IFERROR(VLOOKUP(Proc[[#This Row],[App]],Table2[],3,0),"open")</f>
        <v>ok</v>
      </c>
      <c r="C3491" s="128" t="s">
        <v>369</v>
      </c>
      <c r="D3491" t="s">
        <v>5580</v>
      </c>
      <c r="E3491" t="s">
        <v>5670</v>
      </c>
      <c r="F3491" s="129" t="s">
        <v>5670</v>
      </c>
      <c r="G3491" s="128" t="s">
        <v>400</v>
      </c>
      <c r="H3491" s="129" t="str">
        <f ca="1">IF(Proc[[#This Row],[type]]="LFF (MDG-F)",MID(Proc[[#This Row],[Obj]],13,10),"")</f>
        <v/>
      </c>
      <c r="J3491" s="129" t="b">
        <f ca="1">Proc[[#This Row],[Requested]]=Proc[[#This Row],[CurrentParent]]</f>
        <v>1</v>
      </c>
      <c r="K3491" s="129" t="str">
        <f ca="1"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18</v>
      </c>
      <c r="R3491" s="115" t="s">
        <v>515</v>
      </c>
      <c r="S3491" s="129"/>
    </row>
    <row r="3492" spans="1:19" hidden="1">
      <c r="A3492" s="128" t="s">
        <v>5671</v>
      </c>
      <c r="B3492" s="138" t="str">
        <f ca="1">IFERROR(VLOOKUP(Proc[[#This Row],[App]],Table2[],3,0),"open")</f>
        <v>ok</v>
      </c>
      <c r="C3492" s="128" t="s">
        <v>369</v>
      </c>
      <c r="D3492" t="s">
        <v>5581</v>
      </c>
      <c r="E3492" t="s">
        <v>5670</v>
      </c>
      <c r="F3492" s="129" t="s">
        <v>5670</v>
      </c>
      <c r="G3492" s="128" t="s">
        <v>400</v>
      </c>
      <c r="H3492" s="129" t="str">
        <f ca="1">IF(Proc[[#This Row],[type]]="LFF (MDG-F)",MID(Proc[[#This Row],[Obj]],13,10),"")</f>
        <v/>
      </c>
      <c r="J3492" s="129" t="b">
        <f ca="1">Proc[[#This Row],[Requested]]=Proc[[#This Row],[CurrentParent]]</f>
        <v>1</v>
      </c>
      <c r="K3492" s="129" t="str">
        <f ca="1"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18</v>
      </c>
      <c r="R3492" s="115" t="s">
        <v>515</v>
      </c>
      <c r="S3492" s="129"/>
    </row>
    <row r="3493" spans="1:19" hidden="1">
      <c r="A3493" s="128" t="s">
        <v>5671</v>
      </c>
      <c r="B3493" s="138" t="str">
        <f ca="1">IFERROR(VLOOKUP(Proc[[#This Row],[App]],Table2[],3,0),"open")</f>
        <v>ok</v>
      </c>
      <c r="C3493" s="128" t="s">
        <v>369</v>
      </c>
      <c r="D3493" t="s">
        <v>5582</v>
      </c>
      <c r="E3493" t="s">
        <v>5670</v>
      </c>
      <c r="F3493" s="129" t="s">
        <v>5670</v>
      </c>
      <c r="G3493" s="128" t="s">
        <v>400</v>
      </c>
      <c r="H3493" s="129" t="str">
        <f ca="1">IF(Proc[[#This Row],[type]]="LFF (MDG-F)",MID(Proc[[#This Row],[Obj]],13,10),"")</f>
        <v/>
      </c>
      <c r="J3493" s="129" t="b">
        <f ca="1">Proc[[#This Row],[Requested]]=Proc[[#This Row],[CurrentParent]]</f>
        <v>1</v>
      </c>
      <c r="K3493" s="129" t="str">
        <f ca="1"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18</v>
      </c>
      <c r="R3493" s="115" t="s">
        <v>515</v>
      </c>
      <c r="S3493" s="129"/>
    </row>
    <row r="3494" spans="1:19" hidden="1">
      <c r="A3494" s="128" t="s">
        <v>5671</v>
      </c>
      <c r="B3494" s="138" t="str">
        <f ca="1">IFERROR(VLOOKUP(Proc[[#This Row],[App]],Table2[],3,0),"open")</f>
        <v>ok</v>
      </c>
      <c r="C3494" s="128" t="s">
        <v>369</v>
      </c>
      <c r="D3494" t="s">
        <v>5583</v>
      </c>
      <c r="E3494" t="s">
        <v>5670</v>
      </c>
      <c r="F3494" s="129" t="s">
        <v>5670</v>
      </c>
      <c r="G3494" s="128" t="s">
        <v>400</v>
      </c>
      <c r="H3494" s="129" t="str">
        <f ca="1">IF(Proc[[#This Row],[type]]="LFF (MDG-F)",MID(Proc[[#This Row],[Obj]],13,10),"")</f>
        <v/>
      </c>
      <c r="J3494" s="129" t="b">
        <f ca="1">Proc[[#This Row],[Requested]]=Proc[[#This Row],[CurrentParent]]</f>
        <v>1</v>
      </c>
      <c r="K3494" s="129" t="str">
        <f ca="1"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18</v>
      </c>
      <c r="R3494" s="115" t="s">
        <v>515</v>
      </c>
      <c r="S3494" s="129"/>
    </row>
    <row r="3495" spans="1:19" hidden="1">
      <c r="A3495" s="128" t="s">
        <v>5671</v>
      </c>
      <c r="B3495" s="138" t="str">
        <f ca="1">IFERROR(VLOOKUP(Proc[[#This Row],[App]],Table2[],3,0),"open")</f>
        <v>ok</v>
      </c>
      <c r="C3495" s="128" t="s">
        <v>369</v>
      </c>
      <c r="D3495" t="s">
        <v>5584</v>
      </c>
      <c r="E3495" t="s">
        <v>5670</v>
      </c>
      <c r="F3495" s="129" t="s">
        <v>5670</v>
      </c>
      <c r="G3495" s="128" t="s">
        <v>400</v>
      </c>
      <c r="H3495" s="129" t="str">
        <f ca="1">IF(Proc[[#This Row],[type]]="LFF (MDG-F)",MID(Proc[[#This Row],[Obj]],13,10),"")</f>
        <v/>
      </c>
      <c r="J3495" s="129" t="b">
        <f ca="1">Proc[[#This Row],[Requested]]=Proc[[#This Row],[CurrentParent]]</f>
        <v>1</v>
      </c>
      <c r="K3495" s="129" t="str">
        <f ca="1"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18</v>
      </c>
      <c r="R3495" s="115" t="s">
        <v>515</v>
      </c>
      <c r="S3495" s="129"/>
    </row>
    <row r="3496" spans="1:19" hidden="1">
      <c r="A3496" s="128" t="s">
        <v>5671</v>
      </c>
      <c r="B3496" s="138" t="str">
        <f ca="1">IFERROR(VLOOKUP(Proc[[#This Row],[App]],Table2[],3,0),"open")</f>
        <v>ok</v>
      </c>
      <c r="C3496" s="128" t="s">
        <v>369</v>
      </c>
      <c r="D3496" t="s">
        <v>5585</v>
      </c>
      <c r="E3496" t="s">
        <v>5670</v>
      </c>
      <c r="F3496" s="129" t="s">
        <v>5670</v>
      </c>
      <c r="G3496" s="128" t="s">
        <v>400</v>
      </c>
      <c r="H3496" s="129" t="str">
        <f ca="1">IF(Proc[[#This Row],[type]]="LFF (MDG-F)",MID(Proc[[#This Row],[Obj]],13,10),"")</f>
        <v/>
      </c>
      <c r="J3496" s="129" t="b">
        <f ca="1">Proc[[#This Row],[Requested]]=Proc[[#This Row],[CurrentParent]]</f>
        <v>1</v>
      </c>
      <c r="K3496" s="129" t="str">
        <f ca="1"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18</v>
      </c>
      <c r="R3496" s="115" t="s">
        <v>515</v>
      </c>
      <c r="S3496" s="129"/>
    </row>
    <row r="3497" spans="1:19" hidden="1">
      <c r="A3497" s="128" t="s">
        <v>5671</v>
      </c>
      <c r="B3497" s="138" t="str">
        <f ca="1">IFERROR(VLOOKUP(Proc[[#This Row],[App]],Table2[],3,0),"open")</f>
        <v>ok</v>
      </c>
      <c r="C3497" s="128" t="s">
        <v>369</v>
      </c>
      <c r="D3497" t="s">
        <v>5586</v>
      </c>
      <c r="E3497" t="s">
        <v>5670</v>
      </c>
      <c r="F3497" s="129" t="s">
        <v>5670</v>
      </c>
      <c r="G3497" s="128" t="s">
        <v>400</v>
      </c>
      <c r="H3497" s="129" t="str">
        <f ca="1">IF(Proc[[#This Row],[type]]="LFF (MDG-F)",MID(Proc[[#This Row],[Obj]],13,10),"")</f>
        <v/>
      </c>
      <c r="J3497" s="129" t="b">
        <f ca="1">Proc[[#This Row],[Requested]]=Proc[[#This Row],[CurrentParent]]</f>
        <v>1</v>
      </c>
      <c r="K3497" s="129" t="str">
        <f ca="1"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18</v>
      </c>
      <c r="R3497" s="115" t="s">
        <v>515</v>
      </c>
      <c r="S3497" s="129"/>
    </row>
    <row r="3498" spans="1:19" hidden="1">
      <c r="A3498" s="128" t="s">
        <v>5671</v>
      </c>
      <c r="B3498" s="138" t="str">
        <f ca="1">IFERROR(VLOOKUP(Proc[[#This Row],[App]],Table2[],3,0),"open")</f>
        <v>ok</v>
      </c>
      <c r="C3498" s="128" t="s">
        <v>369</v>
      </c>
      <c r="D3498" t="s">
        <v>5587</v>
      </c>
      <c r="E3498" t="s">
        <v>5670</v>
      </c>
      <c r="F3498" s="129" t="s">
        <v>5670</v>
      </c>
      <c r="G3498" s="128" t="s">
        <v>400</v>
      </c>
      <c r="H3498" s="129" t="str">
        <f ca="1">IF(Proc[[#This Row],[type]]="LFF (MDG-F)",MID(Proc[[#This Row],[Obj]],13,10),"")</f>
        <v/>
      </c>
      <c r="J3498" s="129" t="b">
        <f ca="1">Proc[[#This Row],[Requested]]=Proc[[#This Row],[CurrentParent]]</f>
        <v>1</v>
      </c>
      <c r="K3498" s="129" t="str">
        <f ca="1"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18</v>
      </c>
      <c r="R3498" s="115" t="s">
        <v>515</v>
      </c>
      <c r="S3498" s="129"/>
    </row>
    <row r="3499" spans="1:19" hidden="1">
      <c r="A3499" s="128" t="s">
        <v>5671</v>
      </c>
      <c r="B3499" s="138" t="str">
        <f ca="1">IFERROR(VLOOKUP(Proc[[#This Row],[App]],Table2[],3,0),"open")</f>
        <v>ok</v>
      </c>
      <c r="C3499" s="128" t="s">
        <v>369</v>
      </c>
      <c r="D3499" t="s">
        <v>5588</v>
      </c>
      <c r="E3499" t="s">
        <v>5670</v>
      </c>
      <c r="F3499" s="129" t="s">
        <v>5670</v>
      </c>
      <c r="G3499" s="128" t="s">
        <v>400</v>
      </c>
      <c r="H3499" s="129" t="str">
        <f ca="1">IF(Proc[[#This Row],[type]]="LFF (MDG-F)",MID(Proc[[#This Row],[Obj]],13,10),"")</f>
        <v/>
      </c>
      <c r="J3499" s="129" t="b">
        <f ca="1">Proc[[#This Row],[Requested]]=Proc[[#This Row],[CurrentParent]]</f>
        <v>1</v>
      </c>
      <c r="K3499" s="129" t="str">
        <f ca="1"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18</v>
      </c>
      <c r="R3499" s="115" t="s">
        <v>515</v>
      </c>
      <c r="S3499" s="129"/>
    </row>
    <row r="3500" spans="1:19" hidden="1">
      <c r="A3500" s="128" t="s">
        <v>5671</v>
      </c>
      <c r="B3500" s="138" t="str">
        <f ca="1">IFERROR(VLOOKUP(Proc[[#This Row],[App]],Table2[],3,0),"open")</f>
        <v>ok</v>
      </c>
      <c r="C3500" s="128" t="s">
        <v>369</v>
      </c>
      <c r="D3500" t="s">
        <v>5589</v>
      </c>
      <c r="E3500" t="s">
        <v>5670</v>
      </c>
      <c r="F3500" s="129" t="s">
        <v>5670</v>
      </c>
      <c r="G3500" s="128" t="s">
        <v>400</v>
      </c>
      <c r="H3500" s="129" t="str">
        <f ca="1">IF(Proc[[#This Row],[type]]="LFF (MDG-F)",MID(Proc[[#This Row],[Obj]],13,10),"")</f>
        <v/>
      </c>
      <c r="J3500" s="129" t="b">
        <f ca="1">Proc[[#This Row],[Requested]]=Proc[[#This Row],[CurrentParent]]</f>
        <v>1</v>
      </c>
      <c r="K3500" s="129" t="str">
        <f ca="1"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18</v>
      </c>
      <c r="R3500" s="115" t="s">
        <v>515</v>
      </c>
      <c r="S3500" s="129"/>
    </row>
    <row r="3501" spans="1:19" hidden="1">
      <c r="A3501" s="128" t="s">
        <v>5671</v>
      </c>
      <c r="B3501" s="138" t="str">
        <f ca="1">IFERROR(VLOOKUP(Proc[[#This Row],[App]],Table2[],3,0),"open")</f>
        <v>ok</v>
      </c>
      <c r="C3501" s="128" t="s">
        <v>369</v>
      </c>
      <c r="D3501" t="s">
        <v>5590</v>
      </c>
      <c r="E3501" t="s">
        <v>5670</v>
      </c>
      <c r="F3501" s="129" t="s">
        <v>5670</v>
      </c>
      <c r="G3501" s="128" t="s">
        <v>400</v>
      </c>
      <c r="H3501" s="129" t="str">
        <f ca="1">IF(Proc[[#This Row],[type]]="LFF (MDG-F)",MID(Proc[[#This Row],[Obj]],13,10),"")</f>
        <v/>
      </c>
      <c r="J3501" s="129" t="b">
        <f ca="1">Proc[[#This Row],[Requested]]=Proc[[#This Row],[CurrentParent]]</f>
        <v>1</v>
      </c>
      <c r="K3501" s="129" t="str">
        <f ca="1"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18</v>
      </c>
      <c r="R3501" s="115" t="s">
        <v>515</v>
      </c>
      <c r="S3501" s="129"/>
    </row>
    <row r="3502" spans="1:19" hidden="1">
      <c r="A3502" s="128" t="s">
        <v>5671</v>
      </c>
      <c r="B3502" s="138" t="str">
        <f ca="1">IFERROR(VLOOKUP(Proc[[#This Row],[App]],Table2[],3,0),"open")</f>
        <v>ok</v>
      </c>
      <c r="C3502" s="128" t="s">
        <v>369</v>
      </c>
      <c r="D3502" t="s">
        <v>5591</v>
      </c>
      <c r="E3502" t="s">
        <v>5670</v>
      </c>
      <c r="F3502" s="129" t="s">
        <v>5670</v>
      </c>
      <c r="G3502" s="128" t="s">
        <v>400</v>
      </c>
      <c r="H3502" s="129" t="str">
        <f ca="1">IF(Proc[[#This Row],[type]]="LFF (MDG-F)",MID(Proc[[#This Row],[Obj]],13,10),"")</f>
        <v/>
      </c>
      <c r="J3502" s="129" t="b">
        <f ca="1">Proc[[#This Row],[Requested]]=Proc[[#This Row],[CurrentParent]]</f>
        <v>1</v>
      </c>
      <c r="K3502" s="129" t="str">
        <f ca="1"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18</v>
      </c>
      <c r="R3502" s="115" t="s">
        <v>515</v>
      </c>
      <c r="S3502" s="129"/>
    </row>
    <row r="3503" spans="1:19" hidden="1">
      <c r="A3503" s="128" t="s">
        <v>5671</v>
      </c>
      <c r="B3503" s="138" t="str">
        <f ca="1">IFERROR(VLOOKUP(Proc[[#This Row],[App]],Table2[],3,0),"open")</f>
        <v>ok</v>
      </c>
      <c r="C3503" s="128" t="s">
        <v>369</v>
      </c>
      <c r="D3503" t="s">
        <v>5592</v>
      </c>
      <c r="E3503" t="s">
        <v>5670</v>
      </c>
      <c r="F3503" s="129" t="s">
        <v>5670</v>
      </c>
      <c r="G3503" s="128" t="s">
        <v>406</v>
      </c>
      <c r="H3503" s="129" t="str">
        <f ca="1">IF(Proc[[#This Row],[type]]="LFF (MDG-F)",MID(Proc[[#This Row],[Obj]],13,10),"")</f>
        <v>CH50GPO004</v>
      </c>
      <c r="J3503" s="129" t="b">
        <f ca="1">Proc[[#This Row],[Requested]]=Proc[[#This Row],[CurrentParent]]</f>
        <v>1</v>
      </c>
      <c r="K3503" s="129" t="str">
        <f ca="1"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18</v>
      </c>
      <c r="R3503" s="115" t="s">
        <v>515</v>
      </c>
      <c r="S3503" s="129"/>
    </row>
    <row r="3504" spans="1:19" hidden="1">
      <c r="A3504" s="128" t="s">
        <v>5671</v>
      </c>
      <c r="B3504" s="138" t="str">
        <f ca="1">IFERROR(VLOOKUP(Proc[[#This Row],[App]],Table2[],3,0),"open")</f>
        <v>ok</v>
      </c>
      <c r="C3504" s="128" t="s">
        <v>369</v>
      </c>
      <c r="D3504" t="s">
        <v>5593</v>
      </c>
      <c r="E3504" t="s">
        <v>5670</v>
      </c>
      <c r="F3504" s="129" t="s">
        <v>5670</v>
      </c>
      <c r="G3504" s="128" t="s">
        <v>406</v>
      </c>
      <c r="H3504" s="129" t="str">
        <f ca="1">IF(Proc[[#This Row],[type]]="LFF (MDG-F)",MID(Proc[[#This Row],[Obj]],13,10),"")</f>
        <v>CH50GPO101</v>
      </c>
      <c r="J3504" s="129" t="b">
        <f ca="1">Proc[[#This Row],[Requested]]=Proc[[#This Row],[CurrentParent]]</f>
        <v>1</v>
      </c>
      <c r="K3504" s="129" t="str">
        <f ca="1"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18</v>
      </c>
      <c r="R3504" s="115" t="s">
        <v>515</v>
      </c>
      <c r="S3504" s="129"/>
    </row>
    <row r="3505" spans="1:19" hidden="1">
      <c r="A3505" s="128" t="s">
        <v>5671</v>
      </c>
      <c r="B3505" s="138" t="str">
        <f ca="1">IFERROR(VLOOKUP(Proc[[#This Row],[App]],Table2[],3,0),"open")</f>
        <v>ok</v>
      </c>
      <c r="C3505" s="128" t="s">
        <v>369</v>
      </c>
      <c r="D3505" t="s">
        <v>5594</v>
      </c>
      <c r="E3505" t="s">
        <v>5670</v>
      </c>
      <c r="F3505" s="129" t="s">
        <v>5670</v>
      </c>
      <c r="G3505" s="128" t="s">
        <v>406</v>
      </c>
      <c r="H3505" s="129" t="str">
        <f ca="1">IF(Proc[[#This Row],[type]]="LFF (MDG-F)",MID(Proc[[#This Row],[Obj]],13,10),"")</f>
        <v>CH50GPO204</v>
      </c>
      <c r="J3505" s="129" t="b">
        <f ca="1">Proc[[#This Row],[Requested]]=Proc[[#This Row],[CurrentParent]]</f>
        <v>1</v>
      </c>
      <c r="K3505" s="129" t="str">
        <f ca="1"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18</v>
      </c>
      <c r="R3505" s="115" t="s">
        <v>515</v>
      </c>
      <c r="S3505" s="129"/>
    </row>
    <row r="3506" spans="1:19" hidden="1">
      <c r="A3506" s="128" t="s">
        <v>5671</v>
      </c>
      <c r="B3506" s="138" t="str">
        <f ca="1">IFERROR(VLOOKUP(Proc[[#This Row],[App]],Table2[],3,0),"open")</f>
        <v>ok</v>
      </c>
      <c r="C3506" s="128" t="s">
        <v>369</v>
      </c>
      <c r="D3506" t="s">
        <v>5595</v>
      </c>
      <c r="E3506" t="s">
        <v>5670</v>
      </c>
      <c r="F3506" s="129" t="s">
        <v>5670</v>
      </c>
      <c r="G3506" s="128" t="s">
        <v>406</v>
      </c>
      <c r="H3506" s="129" t="str">
        <f ca="1">IF(Proc[[#This Row],[type]]="LFF (MDG-F)",MID(Proc[[#This Row],[Obj]],13,10),"")</f>
        <v>CH65GPO001</v>
      </c>
      <c r="J3506" s="129" t="b">
        <f ca="1">Proc[[#This Row],[Requested]]=Proc[[#This Row],[CurrentParent]]</f>
        <v>1</v>
      </c>
      <c r="K3506" s="129" t="str">
        <f ca="1"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18</v>
      </c>
      <c r="R3506" s="115" t="s">
        <v>515</v>
      </c>
      <c r="S3506" s="129"/>
    </row>
    <row r="3507" spans="1:19" hidden="1">
      <c r="A3507" s="128" t="s">
        <v>5671</v>
      </c>
      <c r="B3507" s="138" t="str">
        <f ca="1">IFERROR(VLOOKUP(Proc[[#This Row],[App]],Table2[],3,0),"open")</f>
        <v>ok</v>
      </c>
      <c r="C3507" s="128" t="s">
        <v>369</v>
      </c>
      <c r="D3507" t="s">
        <v>5596</v>
      </c>
      <c r="E3507" t="s">
        <v>5670</v>
      </c>
      <c r="F3507" s="129" t="s">
        <v>5670</v>
      </c>
      <c r="G3507" s="128" t="s">
        <v>406</v>
      </c>
      <c r="H3507" s="129" t="str">
        <f ca="1">IF(Proc[[#This Row],[type]]="LFF (MDG-F)",MID(Proc[[#This Row],[Obj]],13,10),"")</f>
        <v>CN90GPO005</v>
      </c>
      <c r="J3507" s="129" t="b">
        <f ca="1">Proc[[#This Row],[Requested]]=Proc[[#This Row],[CurrentParent]]</f>
        <v>1</v>
      </c>
      <c r="K3507" s="129" t="str">
        <f ca="1"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18</v>
      </c>
      <c r="R3507" s="115" t="s">
        <v>515</v>
      </c>
      <c r="S3507" s="129"/>
    </row>
    <row r="3508" spans="1:19" hidden="1">
      <c r="A3508" s="128" t="s">
        <v>5671</v>
      </c>
      <c r="B3508" s="138" t="str">
        <f ca="1">IFERROR(VLOOKUP(Proc[[#This Row],[App]],Table2[],3,0),"open")</f>
        <v>ok</v>
      </c>
      <c r="C3508" s="128" t="s">
        <v>369</v>
      </c>
      <c r="D3508" t="s">
        <v>5597</v>
      </c>
      <c r="E3508" t="s">
        <v>5670</v>
      </c>
      <c r="F3508" s="129" t="s">
        <v>5670</v>
      </c>
      <c r="G3508" s="128" t="s">
        <v>406</v>
      </c>
      <c r="H3508" s="129" t="str">
        <f ca="1">IF(Proc[[#This Row],[type]]="LFF (MDG-F)",MID(Proc[[#This Row],[Obj]],13,10),"")</f>
        <v>DE10560000</v>
      </c>
      <c r="J3508" s="129" t="b">
        <f ca="1">Proc[[#This Row],[Requested]]=Proc[[#This Row],[CurrentParent]]</f>
        <v>1</v>
      </c>
      <c r="K3508" s="129" t="str">
        <f ca="1"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18</v>
      </c>
      <c r="R3508" s="115" t="s">
        <v>515</v>
      </c>
      <c r="S3508" s="129"/>
    </row>
    <row r="3509" spans="1:19" hidden="1">
      <c r="A3509" s="128" t="s">
        <v>5671</v>
      </c>
      <c r="B3509" s="138" t="str">
        <f ca="1">IFERROR(VLOOKUP(Proc[[#This Row],[App]],Table2[],3,0),"open")</f>
        <v>ok</v>
      </c>
      <c r="C3509" s="128" t="s">
        <v>369</v>
      </c>
      <c r="D3509" t="s">
        <v>5598</v>
      </c>
      <c r="E3509" t="s">
        <v>5670</v>
      </c>
      <c r="F3509" s="129" t="s">
        <v>5670</v>
      </c>
      <c r="G3509" s="128" t="s">
        <v>406</v>
      </c>
      <c r="H3509" s="129" t="str">
        <f ca="1">IF(Proc[[#This Row],[type]]="LFF (MDG-F)",MID(Proc[[#This Row],[Obj]],13,10),"")</f>
        <v>DE10661200</v>
      </c>
      <c r="J3509" s="129" t="b">
        <f ca="1">Proc[[#This Row],[Requested]]=Proc[[#This Row],[CurrentParent]]</f>
        <v>1</v>
      </c>
      <c r="K3509" s="129" t="str">
        <f ca="1"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18</v>
      </c>
      <c r="R3509" s="115" t="s">
        <v>515</v>
      </c>
      <c r="S3509" s="129"/>
    </row>
    <row r="3510" spans="1:19" hidden="1">
      <c r="A3510" s="128" t="s">
        <v>5671</v>
      </c>
      <c r="B3510" s="138" t="str">
        <f ca="1">IFERROR(VLOOKUP(Proc[[#This Row],[App]],Table2[],3,0),"open")</f>
        <v>ok</v>
      </c>
      <c r="C3510" s="128" t="s">
        <v>369</v>
      </c>
      <c r="D3510" t="s">
        <v>5599</v>
      </c>
      <c r="E3510" t="s">
        <v>5670</v>
      </c>
      <c r="F3510" s="129" t="s">
        <v>5670</v>
      </c>
      <c r="G3510" s="128" t="s">
        <v>406</v>
      </c>
      <c r="H3510" s="129" t="str">
        <f ca="1">IF(Proc[[#This Row],[type]]="LFF (MDG-F)",MID(Proc[[#This Row],[Obj]],13,10),"")</f>
        <v>DE10667900</v>
      </c>
      <c r="J3510" s="129" t="b">
        <f ca="1">Proc[[#This Row],[Requested]]=Proc[[#This Row],[CurrentParent]]</f>
        <v>1</v>
      </c>
      <c r="K3510" s="129" t="str">
        <f ca="1"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18</v>
      </c>
      <c r="R3510" s="115" t="s">
        <v>515</v>
      </c>
      <c r="S3510" s="129"/>
    </row>
    <row r="3511" spans="1:19" hidden="1">
      <c r="A3511" s="128" t="s">
        <v>5671</v>
      </c>
      <c r="B3511" s="138" t="str">
        <f ca="1">IFERROR(VLOOKUP(Proc[[#This Row],[App]],Table2[],3,0),"open")</f>
        <v>ok</v>
      </c>
      <c r="C3511" s="128" t="s">
        <v>369</v>
      </c>
      <c r="D3511" t="s">
        <v>5600</v>
      </c>
      <c r="E3511" t="s">
        <v>5670</v>
      </c>
      <c r="F3511" s="129" t="s">
        <v>5670</v>
      </c>
      <c r="G3511" s="128" t="s">
        <v>406</v>
      </c>
      <c r="H3511" s="129" t="str">
        <f ca="1">IF(Proc[[#This Row],[type]]="LFF (MDG-F)",MID(Proc[[#This Row],[Obj]],13,10),"")</f>
        <v>DE10672010</v>
      </c>
      <c r="J3511" s="129" t="b">
        <f ca="1">Proc[[#This Row],[Requested]]=Proc[[#This Row],[CurrentParent]]</f>
        <v>1</v>
      </c>
      <c r="K3511" s="129" t="str">
        <f ca="1"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18</v>
      </c>
      <c r="R3511" s="115" t="s">
        <v>515</v>
      </c>
      <c r="S3511" s="129"/>
    </row>
    <row r="3512" spans="1:19" hidden="1">
      <c r="A3512" s="128" t="s">
        <v>5671</v>
      </c>
      <c r="B3512" s="138" t="str">
        <f ca="1">IFERROR(VLOOKUP(Proc[[#This Row],[App]],Table2[],3,0),"open")</f>
        <v>ok</v>
      </c>
      <c r="C3512" s="128" t="s">
        <v>369</v>
      </c>
      <c r="D3512" t="s">
        <v>5601</v>
      </c>
      <c r="E3512" t="s">
        <v>5670</v>
      </c>
      <c r="F3512" s="129" t="s">
        <v>5670</v>
      </c>
      <c r="G3512" s="128" t="s">
        <v>406</v>
      </c>
      <c r="H3512" s="129" t="str">
        <f ca="1">IF(Proc[[#This Row],[type]]="LFF (MDG-F)",MID(Proc[[#This Row],[Obj]],13,10),"")</f>
        <v>DE65GPO001</v>
      </c>
      <c r="J3512" s="129" t="b">
        <f ca="1">Proc[[#This Row],[Requested]]=Proc[[#This Row],[CurrentParent]]</f>
        <v>1</v>
      </c>
      <c r="K3512" s="129" t="str">
        <f ca="1"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18</v>
      </c>
      <c r="R3512" s="115" t="s">
        <v>515</v>
      </c>
      <c r="S3512" s="129"/>
    </row>
    <row r="3513" spans="1:19" hidden="1">
      <c r="A3513" s="128" t="s">
        <v>5671</v>
      </c>
      <c r="B3513" s="138" t="str">
        <f ca="1">IFERROR(VLOOKUP(Proc[[#This Row],[App]],Table2[],3,0),"open")</f>
        <v>ok</v>
      </c>
      <c r="C3513" s="128" t="s">
        <v>369</v>
      </c>
      <c r="D3513" t="s">
        <v>5602</v>
      </c>
      <c r="E3513" t="s">
        <v>5670</v>
      </c>
      <c r="F3513" s="129" t="s">
        <v>5670</v>
      </c>
      <c r="G3513" s="128" t="s">
        <v>406</v>
      </c>
      <c r="H3513" s="129" t="str">
        <f ca="1">IF(Proc[[#This Row],[type]]="LFF (MDG-F)",MID(Proc[[#This Row],[Obj]],13,10),"")</f>
        <v>DK50GPO004</v>
      </c>
      <c r="J3513" s="129" t="b">
        <f ca="1">Proc[[#This Row],[Requested]]=Proc[[#This Row],[CurrentParent]]</f>
        <v>1</v>
      </c>
      <c r="K3513" s="129" t="str">
        <f ca="1"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18</v>
      </c>
      <c r="R3513" s="115" t="s">
        <v>515</v>
      </c>
      <c r="S3513" s="129"/>
    </row>
    <row r="3514" spans="1:19" hidden="1">
      <c r="A3514" s="128" t="s">
        <v>5671</v>
      </c>
      <c r="B3514" s="138" t="str">
        <f ca="1">IFERROR(VLOOKUP(Proc[[#This Row],[App]],Table2[],3,0),"open")</f>
        <v>ok</v>
      </c>
      <c r="C3514" s="128" t="s">
        <v>369</v>
      </c>
      <c r="D3514" t="s">
        <v>5603</v>
      </c>
      <c r="E3514" t="s">
        <v>5670</v>
      </c>
      <c r="F3514" s="129" t="s">
        <v>5670</v>
      </c>
      <c r="G3514" s="128" t="s">
        <v>406</v>
      </c>
      <c r="H3514" s="129" t="str">
        <f ca="1">IF(Proc[[#This Row],[type]]="LFF (MDG-F)",MID(Proc[[#This Row],[Obj]],13,10),"")</f>
        <v>ES50GPO792</v>
      </c>
      <c r="J3514" s="129" t="b">
        <f ca="1">Proc[[#This Row],[Requested]]=Proc[[#This Row],[CurrentParent]]</f>
        <v>1</v>
      </c>
      <c r="K3514" s="129" t="str">
        <f ca="1"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18</v>
      </c>
      <c r="R3514" s="115" t="s">
        <v>515</v>
      </c>
      <c r="S3514" s="129"/>
    </row>
    <row r="3515" spans="1:19" hidden="1">
      <c r="A3515" s="128" t="s">
        <v>5671</v>
      </c>
      <c r="B3515" s="138" t="str">
        <f ca="1">IFERROR(VLOOKUP(Proc[[#This Row],[App]],Table2[],3,0),"open")</f>
        <v>ok</v>
      </c>
      <c r="C3515" s="128" t="s">
        <v>369</v>
      </c>
      <c r="D3515" t="s">
        <v>5604</v>
      </c>
      <c r="E3515" t="s">
        <v>5670</v>
      </c>
      <c r="F3515" s="129" t="s">
        <v>5670</v>
      </c>
      <c r="G3515" s="128" t="s">
        <v>406</v>
      </c>
      <c r="H3515" s="129" t="str">
        <f ca="1">IF(Proc[[#This Row],[type]]="LFF (MDG-F)",MID(Proc[[#This Row],[Obj]],13,10),"")</f>
        <v>FR01GPO004</v>
      </c>
      <c r="J3515" s="129" t="b">
        <f ca="1">Proc[[#This Row],[Requested]]=Proc[[#This Row],[CurrentParent]]</f>
        <v>1</v>
      </c>
      <c r="K3515" s="129" t="str">
        <f ca="1"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18</v>
      </c>
      <c r="R3515" s="115" t="s">
        <v>515</v>
      </c>
      <c r="S3515" s="129"/>
    </row>
    <row r="3516" spans="1:19" hidden="1">
      <c r="A3516" s="128" t="s">
        <v>5671</v>
      </c>
      <c r="B3516" s="138" t="str">
        <f ca="1">IFERROR(VLOOKUP(Proc[[#This Row],[App]],Table2[],3,0),"open")</f>
        <v>ok</v>
      </c>
      <c r="C3516" s="128" t="s">
        <v>369</v>
      </c>
      <c r="D3516" t="s">
        <v>5605</v>
      </c>
      <c r="E3516" t="s">
        <v>5670</v>
      </c>
      <c r="F3516" s="129" t="s">
        <v>5670</v>
      </c>
      <c r="G3516" s="128" t="s">
        <v>406</v>
      </c>
      <c r="H3516" s="129" t="str">
        <f ca="1">IF(Proc[[#This Row],[type]]="LFF (MDG-F)",MID(Proc[[#This Row],[Obj]],13,10),"")</f>
        <v>IT50GPO004</v>
      </c>
      <c r="J3516" s="129" t="b">
        <f ca="1">Proc[[#This Row],[Requested]]=Proc[[#This Row],[CurrentParent]]</f>
        <v>1</v>
      </c>
      <c r="K3516" s="129" t="str">
        <f ca="1"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18</v>
      </c>
      <c r="R3516" s="115" t="s">
        <v>515</v>
      </c>
      <c r="S3516" s="129"/>
    </row>
    <row r="3517" spans="1:19" hidden="1">
      <c r="A3517" s="128" t="s">
        <v>5671</v>
      </c>
      <c r="B3517" s="138" t="str">
        <f ca="1">IFERROR(VLOOKUP(Proc[[#This Row],[App]],Table2[],3,0),"open")</f>
        <v>ok</v>
      </c>
      <c r="C3517" s="128" t="s">
        <v>369</v>
      </c>
      <c r="D3517" t="s">
        <v>5606</v>
      </c>
      <c r="E3517" t="s">
        <v>5670</v>
      </c>
      <c r="F3517" s="129" t="s">
        <v>5670</v>
      </c>
      <c r="G3517" s="128" t="s">
        <v>406</v>
      </c>
      <c r="H3517" s="129" t="str">
        <f ca="1">IF(Proc[[#This Row],[type]]="LFF (MDG-F)",MID(Proc[[#This Row],[Obj]],13,10),"")</f>
        <v>IT50GPO0C3</v>
      </c>
      <c r="J3517" s="129" t="b">
        <f ca="1">Proc[[#This Row],[Requested]]=Proc[[#This Row],[CurrentParent]]</f>
        <v>1</v>
      </c>
      <c r="K3517" s="129" t="str">
        <f ca="1"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18</v>
      </c>
      <c r="R3517" s="115" t="s">
        <v>515</v>
      </c>
      <c r="S3517" s="129"/>
    </row>
    <row r="3518" spans="1:19" hidden="1">
      <c r="A3518" s="128" t="s">
        <v>5671</v>
      </c>
      <c r="B3518" s="138" t="str">
        <f ca="1">IFERROR(VLOOKUP(Proc[[#This Row],[App]],Table2[],3,0),"open")</f>
        <v>ok</v>
      </c>
      <c r="C3518" s="128" t="s">
        <v>369</v>
      </c>
      <c r="D3518" t="s">
        <v>5607</v>
      </c>
      <c r="E3518" t="s">
        <v>5670</v>
      </c>
      <c r="F3518" s="129" t="s">
        <v>5670</v>
      </c>
      <c r="G3518" s="128" t="s">
        <v>406</v>
      </c>
      <c r="H3518" s="129" t="str">
        <f ca="1">IF(Proc[[#This Row],[type]]="LFF (MDG-F)",MID(Proc[[#This Row],[Obj]],13,10),"")</f>
        <v>JP01GPO302</v>
      </c>
      <c r="J3518" s="129" t="b">
        <f ca="1">Proc[[#This Row],[Requested]]=Proc[[#This Row],[CurrentParent]]</f>
        <v>1</v>
      </c>
      <c r="K3518" s="129" t="str">
        <f ca="1"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18</v>
      </c>
      <c r="R3518" s="115" t="s">
        <v>515</v>
      </c>
      <c r="S3518" s="129"/>
    </row>
    <row r="3519" spans="1:19" hidden="1">
      <c r="A3519" s="128" t="s">
        <v>5671</v>
      </c>
      <c r="B3519" s="138" t="str">
        <f ca="1">IFERROR(VLOOKUP(Proc[[#This Row],[App]],Table2[],3,0),"open")</f>
        <v>ok</v>
      </c>
      <c r="C3519" s="128" t="s">
        <v>369</v>
      </c>
      <c r="D3519" t="s">
        <v>5608</v>
      </c>
      <c r="E3519" t="s">
        <v>5670</v>
      </c>
      <c r="F3519" s="129" t="s">
        <v>5670</v>
      </c>
      <c r="G3519" s="128" t="s">
        <v>406</v>
      </c>
      <c r="H3519" s="129" t="str">
        <f ca="1">IF(Proc[[#This Row],[type]]="LFF (MDG-F)",MID(Proc[[#This Row],[Obj]],13,10),"")</f>
        <v>JP02GPO302</v>
      </c>
      <c r="J3519" s="129" t="b">
        <f ca="1">Proc[[#This Row],[Requested]]=Proc[[#This Row],[CurrentParent]]</f>
        <v>1</v>
      </c>
      <c r="K3519" s="129" t="str">
        <f ca="1"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18</v>
      </c>
      <c r="R3519" s="115" t="s">
        <v>515</v>
      </c>
      <c r="S3519" s="129"/>
    </row>
    <row r="3520" spans="1:19" hidden="1">
      <c r="A3520" s="128" t="s">
        <v>5671</v>
      </c>
      <c r="B3520" s="138" t="str">
        <f ca="1">IFERROR(VLOOKUP(Proc[[#This Row],[App]],Table2[],3,0),"open")</f>
        <v>ok</v>
      </c>
      <c r="C3520" s="128" t="s">
        <v>369</v>
      </c>
      <c r="D3520" t="s">
        <v>5609</v>
      </c>
      <c r="E3520" t="s">
        <v>5670</v>
      </c>
      <c r="F3520" s="129" t="s">
        <v>5670</v>
      </c>
      <c r="G3520" s="128" t="s">
        <v>406</v>
      </c>
      <c r="H3520" s="129" t="str">
        <f ca="1">IF(Proc[[#This Row],[type]]="LFF (MDG-F)",MID(Proc[[#This Row],[Obj]],13,10),"")</f>
        <v>KE50GPO004</v>
      </c>
      <c r="J3520" s="129" t="b">
        <f ca="1">Proc[[#This Row],[Requested]]=Proc[[#This Row],[CurrentParent]]</f>
        <v>1</v>
      </c>
      <c r="K3520" s="129" t="str">
        <f ca="1"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18</v>
      </c>
      <c r="R3520" s="115" t="s">
        <v>515</v>
      </c>
      <c r="S3520" s="129"/>
    </row>
    <row r="3521" spans="1:19" hidden="1">
      <c r="A3521" s="128" t="s">
        <v>5671</v>
      </c>
      <c r="B3521" s="138" t="str">
        <f ca="1">IFERROR(VLOOKUP(Proc[[#This Row],[App]],Table2[],3,0),"open")</f>
        <v>ok</v>
      </c>
      <c r="C3521" s="128" t="s">
        <v>369</v>
      </c>
      <c r="D3521" t="s">
        <v>5610</v>
      </c>
      <c r="E3521" t="s">
        <v>5670</v>
      </c>
      <c r="F3521" s="129" t="s">
        <v>5670</v>
      </c>
      <c r="G3521" s="128" t="s">
        <v>406</v>
      </c>
      <c r="H3521" s="129" t="str">
        <f ca="1">IF(Proc[[#This Row],[type]]="LFF (MDG-F)",MID(Proc[[#This Row],[Obj]],13,10),"")</f>
        <v>KR02GPO001</v>
      </c>
      <c r="J3521" s="129" t="b">
        <f ca="1">Proc[[#This Row],[Requested]]=Proc[[#This Row],[CurrentParent]]</f>
        <v>1</v>
      </c>
      <c r="K3521" s="129" t="str">
        <f ca="1"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18</v>
      </c>
      <c r="R3521" s="115" t="s">
        <v>515</v>
      </c>
      <c r="S3521" s="129"/>
    </row>
    <row r="3522" spans="1:19" hidden="1">
      <c r="A3522" s="128" t="s">
        <v>5671</v>
      </c>
      <c r="B3522" s="138" t="str">
        <f ca="1">IFERROR(VLOOKUP(Proc[[#This Row],[App]],Table2[],3,0),"open")</f>
        <v>ok</v>
      </c>
      <c r="C3522" s="128" t="s">
        <v>369</v>
      </c>
      <c r="D3522" t="s">
        <v>5611</v>
      </c>
      <c r="E3522" t="s">
        <v>5670</v>
      </c>
      <c r="F3522" s="129" t="s">
        <v>5670</v>
      </c>
      <c r="G3522" s="128" t="s">
        <v>406</v>
      </c>
      <c r="H3522" s="129" t="str">
        <f ca="1">IF(Proc[[#This Row],[type]]="LFF (MDG-F)",MID(Proc[[#This Row],[Obj]],13,10),"")</f>
        <v>TW02GPO004</v>
      </c>
      <c r="J3522" s="129" t="b">
        <f ca="1">Proc[[#This Row],[Requested]]=Proc[[#This Row],[CurrentParent]]</f>
        <v>1</v>
      </c>
      <c r="K3522" s="129" t="str">
        <f ca="1"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18</v>
      </c>
      <c r="R3522" s="115" t="s">
        <v>515</v>
      </c>
      <c r="S3522" s="129"/>
    </row>
    <row r="3523" spans="1:19" hidden="1">
      <c r="A3523" s="128" t="s">
        <v>5671</v>
      </c>
      <c r="B3523" s="138" t="str">
        <f ca="1">IFERROR(VLOOKUP(Proc[[#This Row],[App]],Table2[],3,0),"open")</f>
        <v>ok</v>
      </c>
      <c r="C3523" s="128" t="s">
        <v>369</v>
      </c>
      <c r="D3523" t="s">
        <v>5612</v>
      </c>
      <c r="E3523" t="s">
        <v>5670</v>
      </c>
      <c r="F3523" s="129" t="s">
        <v>5670</v>
      </c>
      <c r="G3523" s="128" t="s">
        <v>406</v>
      </c>
      <c r="H3523" s="129" t="str">
        <f ca="1">IF(Proc[[#This Row],[type]]="LFF (MDG-F)",MID(Proc[[#This Row],[Obj]],13,10),"")</f>
        <v>TW03GPO005</v>
      </c>
      <c r="J3523" s="129" t="b">
        <f ca="1">Proc[[#This Row],[Requested]]=Proc[[#This Row],[CurrentParent]]</f>
        <v>1</v>
      </c>
      <c r="K3523" s="129" t="str">
        <f ca="1"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18</v>
      </c>
      <c r="R3523" s="115" t="s">
        <v>515</v>
      </c>
      <c r="S3523" s="129"/>
    </row>
    <row r="3524" spans="1:19" hidden="1">
      <c r="A3524" s="128" t="s">
        <v>5671</v>
      </c>
      <c r="B3524" s="138" t="str">
        <f ca="1">IFERROR(VLOOKUP(Proc[[#This Row],[App]],Table2[],3,0),"open")</f>
        <v>ok</v>
      </c>
      <c r="C3524" s="128" t="s">
        <v>369</v>
      </c>
      <c r="D3524" t="s">
        <v>5613</v>
      </c>
      <c r="E3524" t="s">
        <v>5670</v>
      </c>
      <c r="F3524" s="129" t="s">
        <v>5670</v>
      </c>
      <c r="G3524" s="128" t="s">
        <v>406</v>
      </c>
      <c r="H3524" s="129" t="str">
        <f ca="1">IF(Proc[[#This Row],[type]]="LFF (MDG-F)",MID(Proc[[#This Row],[Obj]],13,10),"")</f>
        <v>US01GPO004</v>
      </c>
      <c r="J3524" s="129" t="b">
        <f ca="1">Proc[[#This Row],[Requested]]=Proc[[#This Row],[CurrentParent]]</f>
        <v>1</v>
      </c>
      <c r="K3524" s="129" t="str">
        <f ca="1"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18</v>
      </c>
      <c r="R3524" s="115" t="s">
        <v>515</v>
      </c>
      <c r="S3524" s="129"/>
    </row>
    <row r="3525" spans="1:19" hidden="1">
      <c r="A3525" s="128" t="s">
        <v>5671</v>
      </c>
      <c r="B3525" s="138" t="str">
        <f ca="1">IFERROR(VLOOKUP(Proc[[#This Row],[App]],Table2[],3,0),"open")</f>
        <v>ok</v>
      </c>
      <c r="C3525" s="128" t="s">
        <v>369</v>
      </c>
      <c r="D3525" t="s">
        <v>5614</v>
      </c>
      <c r="E3525" t="s">
        <v>5670</v>
      </c>
      <c r="F3525" s="129" t="s">
        <v>5670</v>
      </c>
      <c r="G3525" s="128" t="s">
        <v>406</v>
      </c>
      <c r="H3525" s="129" t="str">
        <f ca="1">IF(Proc[[#This Row],[type]]="LFF (MDG-F)",MID(Proc[[#This Row],[Obj]],13,10),"")</f>
        <v>US01GPO101</v>
      </c>
      <c r="J3525" s="129" t="b">
        <f ca="1">Proc[[#This Row],[Requested]]=Proc[[#This Row],[CurrentParent]]</f>
        <v>1</v>
      </c>
      <c r="K3525" s="129" t="str">
        <f ca="1"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18</v>
      </c>
      <c r="R3525" s="115" t="s">
        <v>515</v>
      </c>
      <c r="S3525" s="129"/>
    </row>
    <row r="3526" spans="1:19" hidden="1">
      <c r="A3526" s="128" t="s">
        <v>5671</v>
      </c>
      <c r="B3526" s="138" t="str">
        <f ca="1">IFERROR(VLOOKUP(Proc[[#This Row],[App]],Table2[],3,0),"open")</f>
        <v>ok</v>
      </c>
      <c r="C3526" s="128" t="s">
        <v>369</v>
      </c>
      <c r="D3526" t="s">
        <v>5615</v>
      </c>
      <c r="E3526" t="s">
        <v>5670</v>
      </c>
      <c r="F3526" s="129" t="s">
        <v>5670</v>
      </c>
      <c r="G3526" s="128" t="s">
        <v>406</v>
      </c>
      <c r="H3526" s="129" t="str">
        <f ca="1">IF(Proc[[#This Row],[type]]="LFF (MDG-F)",MID(Proc[[#This Row],[Obj]],13,10),"")</f>
        <v>US01GPO401</v>
      </c>
      <c r="J3526" s="129" t="b">
        <f ca="1">Proc[[#This Row],[Requested]]=Proc[[#This Row],[CurrentParent]]</f>
        <v>1</v>
      </c>
      <c r="K3526" s="129" t="str">
        <f ca="1"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18</v>
      </c>
      <c r="R3526" s="115" t="s">
        <v>515</v>
      </c>
      <c r="S3526" s="129"/>
    </row>
    <row r="3527" spans="1:19" hidden="1">
      <c r="A3527" s="128" t="s">
        <v>5671</v>
      </c>
      <c r="B3527" s="138" t="str">
        <f ca="1">IFERROR(VLOOKUP(Proc[[#This Row],[App]],Table2[],3,0),"open")</f>
        <v>ok</v>
      </c>
      <c r="C3527" s="128" t="s">
        <v>369</v>
      </c>
      <c r="D3527" t="s">
        <v>5616</v>
      </c>
      <c r="E3527" t="s">
        <v>5670</v>
      </c>
      <c r="F3527" s="129" t="s">
        <v>5670</v>
      </c>
      <c r="G3527" s="128" t="s">
        <v>406</v>
      </c>
      <c r="H3527" s="129" t="str">
        <f ca="1">IF(Proc[[#This Row],[type]]="LFF (MDG-F)",MID(Proc[[#This Row],[Obj]],13,10),"")</f>
        <v>VN50GPO005</v>
      </c>
      <c r="J3527" s="129" t="b">
        <f ca="1">Proc[[#This Row],[Requested]]=Proc[[#This Row],[CurrentParent]]</f>
        <v>1</v>
      </c>
      <c r="K3527" s="129" t="str">
        <f ca="1"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18</v>
      </c>
      <c r="R3527" s="115" t="s">
        <v>515</v>
      </c>
      <c r="S3527" s="129"/>
    </row>
    <row r="3528" spans="1:19" hidden="1">
      <c r="A3528" s="128" t="s">
        <v>5671</v>
      </c>
      <c r="B3528" s="138" t="str">
        <f ca="1">IFERROR(VLOOKUP(Proc[[#This Row],[App]],Table2[],3,0),"open")</f>
        <v>ok</v>
      </c>
      <c r="C3528" s="128" t="s">
        <v>369</v>
      </c>
      <c r="D3528" t="s">
        <v>5617</v>
      </c>
      <c r="E3528" t="s">
        <v>5670</v>
      </c>
      <c r="F3528" s="129" t="s">
        <v>5670</v>
      </c>
      <c r="G3528" s="128" t="s">
        <v>406</v>
      </c>
      <c r="H3528" s="129" t="str">
        <f ca="1">IF(Proc[[#This Row],[type]]="LFF (MDG-F)",MID(Proc[[#This Row],[Obj]],13,10),"")</f>
        <v>ZA50GPO004</v>
      </c>
      <c r="J3528" s="129" t="b">
        <f ca="1">Proc[[#This Row],[Requested]]=Proc[[#This Row],[CurrentParent]]</f>
        <v>1</v>
      </c>
      <c r="K3528" s="129" t="str">
        <f ca="1"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18</v>
      </c>
      <c r="R3528" s="115" t="s">
        <v>515</v>
      </c>
      <c r="S3528" s="129"/>
    </row>
    <row r="3529" spans="1:19" hidden="1">
      <c r="A3529" s="128" t="s">
        <v>5671</v>
      </c>
      <c r="B3529" s="138" t="str">
        <f ca="1">IFERROR(VLOOKUP(Proc[[#This Row],[App]],Table2[],3,0),"open")</f>
        <v>ok</v>
      </c>
      <c r="C3529" s="128" t="s">
        <v>369</v>
      </c>
      <c r="D3529" t="s">
        <v>5618</v>
      </c>
      <c r="E3529" t="s">
        <v>5670</v>
      </c>
      <c r="F3529" s="129" t="s">
        <v>5670</v>
      </c>
      <c r="G3529" s="128" t="s">
        <v>406</v>
      </c>
      <c r="H3529" s="129" t="str">
        <f ca="1">IF(Proc[[#This Row],[type]]="LFF (MDG-F)",MID(Proc[[#This Row],[Obj]],13,10),"")</f>
        <v>2031GPO004</v>
      </c>
      <c r="J3529" s="129" t="b">
        <f ca="1">Proc[[#This Row],[Requested]]=Proc[[#This Row],[CurrentParent]]</f>
        <v>1</v>
      </c>
      <c r="K3529" s="129" t="str">
        <f ca="1"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18</v>
      </c>
      <c r="R3529" s="115" t="s">
        <v>515</v>
      </c>
      <c r="S3529" s="129"/>
    </row>
    <row r="3530" spans="1:19" hidden="1">
      <c r="A3530" s="128" t="s">
        <v>5671</v>
      </c>
      <c r="B3530" s="138" t="str">
        <f ca="1">IFERROR(VLOOKUP(Proc[[#This Row],[App]],Table2[],3,0),"open")</f>
        <v>ok</v>
      </c>
      <c r="C3530" s="128" t="s">
        <v>369</v>
      </c>
      <c r="D3530" t="s">
        <v>5619</v>
      </c>
      <c r="E3530" t="s">
        <v>5670</v>
      </c>
      <c r="F3530" s="129" t="s">
        <v>5670</v>
      </c>
      <c r="G3530" s="128" t="s">
        <v>406</v>
      </c>
      <c r="H3530" s="129" t="str">
        <f ca="1">IF(Proc[[#This Row],[type]]="LFF (MDG-F)",MID(Proc[[#This Row],[Obj]],13,10),"")</f>
        <v>2057GPO008</v>
      </c>
      <c r="J3530" s="129" t="b">
        <f ca="1">Proc[[#This Row],[Requested]]=Proc[[#This Row],[CurrentParent]]</f>
        <v>1</v>
      </c>
      <c r="K3530" s="129" t="str">
        <f ca="1"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18</v>
      </c>
      <c r="R3530" s="115" t="s">
        <v>515</v>
      </c>
      <c r="S3530" s="129"/>
    </row>
    <row r="3531" spans="1:19" hidden="1">
      <c r="A3531" s="128" t="s">
        <v>5671</v>
      </c>
      <c r="B3531" s="138" t="str">
        <f ca="1">IFERROR(VLOOKUP(Proc[[#This Row],[App]],Table2[],3,0),"open")</f>
        <v>ok</v>
      </c>
      <c r="C3531" s="128" t="s">
        <v>369</v>
      </c>
      <c r="D3531" t="s">
        <v>5620</v>
      </c>
      <c r="E3531" t="s">
        <v>5670</v>
      </c>
      <c r="F3531" s="129" t="s">
        <v>5670</v>
      </c>
      <c r="G3531" s="128" t="s">
        <v>406</v>
      </c>
      <c r="H3531" s="129" t="str">
        <f ca="1">IF(Proc[[#This Row],[type]]="LFF (MDG-F)",MID(Proc[[#This Row],[Obj]],13,10),"")</f>
        <v>2102GPO003</v>
      </c>
      <c r="J3531" s="129" t="b">
        <f ca="1">Proc[[#This Row],[Requested]]=Proc[[#This Row],[CurrentParent]]</f>
        <v>1</v>
      </c>
      <c r="K3531" s="129" t="str">
        <f ca="1"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18</v>
      </c>
      <c r="R3531" s="115" t="s">
        <v>515</v>
      </c>
      <c r="S3531" s="129"/>
    </row>
    <row r="3532" spans="1:19" hidden="1">
      <c r="A3532" s="128" t="s">
        <v>5671</v>
      </c>
      <c r="B3532" s="138" t="str">
        <f ca="1">IFERROR(VLOOKUP(Proc[[#This Row],[App]],Table2[],3,0),"open")</f>
        <v>ok</v>
      </c>
      <c r="C3532" s="128" t="s">
        <v>369</v>
      </c>
      <c r="D3532" t="s">
        <v>5621</v>
      </c>
      <c r="E3532" t="s">
        <v>5670</v>
      </c>
      <c r="F3532" s="129" t="s">
        <v>5670</v>
      </c>
      <c r="G3532" s="128" t="s">
        <v>406</v>
      </c>
      <c r="H3532" s="129" t="str">
        <f ca="1">IF(Proc[[#This Row],[type]]="LFF (MDG-F)",MID(Proc[[#This Row],[Obj]],13,10),"")</f>
        <v>2123GPO001</v>
      </c>
      <c r="J3532" s="129" t="b">
        <f ca="1">Proc[[#This Row],[Requested]]=Proc[[#This Row],[CurrentParent]]</f>
        <v>1</v>
      </c>
      <c r="K3532" s="129" t="str">
        <f ca="1"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18</v>
      </c>
      <c r="R3532" s="115" t="s">
        <v>515</v>
      </c>
      <c r="S3532" s="129"/>
    </row>
    <row r="3533" spans="1:19" hidden="1">
      <c r="A3533" s="128" t="s">
        <v>5671</v>
      </c>
      <c r="B3533" s="138" t="str">
        <f ca="1">IFERROR(VLOOKUP(Proc[[#This Row],[App]],Table2[],3,0),"open")</f>
        <v>ok</v>
      </c>
      <c r="C3533" s="128" t="s">
        <v>369</v>
      </c>
      <c r="D3533" t="s">
        <v>5622</v>
      </c>
      <c r="E3533" t="s">
        <v>5670</v>
      </c>
      <c r="F3533" s="129" t="s">
        <v>5670</v>
      </c>
      <c r="G3533" s="128" t="s">
        <v>406</v>
      </c>
      <c r="H3533" s="129" t="str">
        <f ca="1">IF(Proc[[#This Row],[type]]="LFF (MDG-F)",MID(Proc[[#This Row],[Obj]],13,10),"")</f>
        <v>2128L40014</v>
      </c>
      <c r="J3533" s="129" t="b">
        <f ca="1">Proc[[#This Row],[Requested]]=Proc[[#This Row],[CurrentParent]]</f>
        <v>1</v>
      </c>
      <c r="K3533" s="129" t="str">
        <f ca="1"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18</v>
      </c>
      <c r="R3533" s="115" t="s">
        <v>515</v>
      </c>
      <c r="S3533" s="129"/>
    </row>
    <row r="3534" spans="1:19" hidden="1">
      <c r="A3534" s="128" t="s">
        <v>5671</v>
      </c>
      <c r="B3534" s="138" t="str">
        <f ca="1">IFERROR(VLOOKUP(Proc[[#This Row],[App]],Table2[],3,0),"open")</f>
        <v>ok</v>
      </c>
      <c r="C3534" s="128" t="s">
        <v>369</v>
      </c>
      <c r="D3534" t="s">
        <v>5623</v>
      </c>
      <c r="E3534" t="s">
        <v>5670</v>
      </c>
      <c r="F3534" s="129" t="s">
        <v>5670</v>
      </c>
      <c r="G3534" s="128" t="s">
        <v>406</v>
      </c>
      <c r="H3534" s="129" t="str">
        <f ca="1">IF(Proc[[#This Row],[type]]="LFF (MDG-F)",MID(Proc[[#This Row],[Obj]],13,10),"")</f>
        <v>2131GPO821</v>
      </c>
      <c r="J3534" s="129" t="b">
        <f ca="1">Proc[[#This Row],[Requested]]=Proc[[#This Row],[CurrentParent]]</f>
        <v>1</v>
      </c>
      <c r="K3534" s="129" t="str">
        <f ca="1"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18</v>
      </c>
      <c r="R3534" s="115" t="s">
        <v>515</v>
      </c>
      <c r="S3534" s="129"/>
    </row>
    <row r="3535" spans="1:19" hidden="1">
      <c r="A3535" s="128" t="s">
        <v>5671</v>
      </c>
      <c r="B3535" s="138" t="str">
        <f ca="1">IFERROR(VLOOKUP(Proc[[#This Row],[App]],Table2[],3,0),"open")</f>
        <v>ok</v>
      </c>
      <c r="C3535" s="128" t="s">
        <v>369</v>
      </c>
      <c r="D3535" t="s">
        <v>5624</v>
      </c>
      <c r="E3535" t="s">
        <v>5670</v>
      </c>
      <c r="F3535" s="129" t="s">
        <v>5670</v>
      </c>
      <c r="G3535" s="128" t="s">
        <v>406</v>
      </c>
      <c r="H3535" s="129" t="str">
        <f ca="1">IF(Proc[[#This Row],[type]]="LFF (MDG-F)",MID(Proc[[#This Row],[Obj]],13,10),"")</f>
        <v>KR03GPO001</v>
      </c>
      <c r="J3535" s="129" t="b">
        <f ca="1">Proc[[#This Row],[Requested]]=Proc[[#This Row],[CurrentParent]]</f>
        <v>1</v>
      </c>
      <c r="K3535" s="129" t="str">
        <f ca="1"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18</v>
      </c>
      <c r="R3535" s="115" t="s">
        <v>515</v>
      </c>
      <c r="S3535" s="129"/>
    </row>
    <row r="3536" spans="1:19" hidden="1">
      <c r="A3536" s="128" t="s">
        <v>5671</v>
      </c>
      <c r="B3536" s="138" t="str">
        <f ca="1">IFERROR(VLOOKUP(Proc[[#This Row],[App]],Table2[],3,0),"open")</f>
        <v>ok</v>
      </c>
      <c r="C3536" s="128" t="s">
        <v>369</v>
      </c>
      <c r="D3536" t="s">
        <v>5737</v>
      </c>
      <c r="E3536" t="s">
        <v>5670</v>
      </c>
      <c r="F3536" s="133" t="s">
        <v>5670</v>
      </c>
      <c r="G3536" s="128" t="s">
        <v>406</v>
      </c>
      <c r="H3536" s="129" t="str">
        <f ca="1">IF(Proc[[#This Row],[type]]="LFF (MDG-F)",MID(Proc[[#This Row],[Obj]],13,10),"")</f>
        <v>TW91GPO013</v>
      </c>
      <c r="J3536" s="129" t="b">
        <f ca="1">Proc[[#This Row],[Requested]]=Proc[[#This Row],[CurrentParent]]</f>
        <v>1</v>
      </c>
      <c r="K3536" s="129" t="str">
        <f ca="1"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18</v>
      </c>
      <c r="R3536" s="115" t="s">
        <v>515</v>
      </c>
      <c r="S3536" s="129"/>
    </row>
    <row r="3537" spans="1:19" hidden="1">
      <c r="A3537" s="128" t="s">
        <v>5671</v>
      </c>
      <c r="B3537" s="138" t="str">
        <f ca="1">IFERROR(VLOOKUP(Proc[[#This Row],[App]],Table2[],3,0),"open")</f>
        <v>ok</v>
      </c>
      <c r="C3537" s="133" t="s">
        <v>369</v>
      </c>
      <c r="D3537" t="s">
        <v>5625</v>
      </c>
      <c r="E3537" t="s">
        <v>5670</v>
      </c>
      <c r="F3537" s="129" t="s">
        <v>5670</v>
      </c>
      <c r="G3537" s="128" t="s">
        <v>406</v>
      </c>
      <c r="H3537" s="129" t="str">
        <f ca="1">IF(Proc[[#This Row],[type]]="LFF (MDG-F)",MID(Proc[[#This Row],[Obj]],13,10),"")</f>
        <v>US10GPO022</v>
      </c>
      <c r="J3537" s="129" t="b">
        <f ca="1">Proc[[#This Row],[Requested]]=Proc[[#This Row],[CurrentParent]]</f>
        <v>1</v>
      </c>
      <c r="K3537" s="129" t="str">
        <f ca="1"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18</v>
      </c>
      <c r="R3537" s="115" t="s">
        <v>515</v>
      </c>
      <c r="S3537" s="129"/>
    </row>
    <row r="3538" spans="1:19" hidden="1">
      <c r="A3538" s="128" t="s">
        <v>5671</v>
      </c>
      <c r="B3538" s="138" t="str">
        <f ca="1">IFERROR(VLOOKUP(Proc[[#This Row],[App]],Table2[],3,0),"open")</f>
        <v>ok</v>
      </c>
      <c r="C3538" s="133" t="s">
        <v>369</v>
      </c>
      <c r="D3538" t="s">
        <v>5626</v>
      </c>
      <c r="E3538" t="s">
        <v>5670</v>
      </c>
      <c r="F3538" s="129" t="s">
        <v>5670</v>
      </c>
      <c r="G3538" s="128" t="s">
        <v>406</v>
      </c>
      <c r="H3538" s="129" t="str">
        <f ca="1">IF(Proc[[#This Row],[type]]="LFF (MDG-F)",MID(Proc[[#This Row],[Obj]],13,10),"")</f>
        <v>US10GPO024</v>
      </c>
      <c r="J3538" s="129" t="b">
        <f ca="1">Proc[[#This Row],[Requested]]=Proc[[#This Row],[CurrentParent]]</f>
        <v>1</v>
      </c>
      <c r="K3538" s="129" t="str">
        <f ca="1"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18</v>
      </c>
      <c r="R3538" s="115" t="s">
        <v>515</v>
      </c>
      <c r="S3538" s="129"/>
    </row>
    <row r="3539" spans="1:19" hidden="1">
      <c r="A3539" s="128" t="s">
        <v>5671</v>
      </c>
      <c r="B3539" s="138" t="str">
        <f ca="1">IFERROR(VLOOKUP(Proc[[#This Row],[App]],Table2[],3,0),"open")</f>
        <v>ok</v>
      </c>
      <c r="C3539" s="128" t="s">
        <v>369</v>
      </c>
      <c r="D3539" t="s">
        <v>5627</v>
      </c>
      <c r="E3539" t="s">
        <v>5670</v>
      </c>
      <c r="F3539" s="129" t="s">
        <v>5670</v>
      </c>
      <c r="G3539" s="128" t="s">
        <v>400</v>
      </c>
      <c r="H3539" s="129" t="str">
        <f ca="1">IF(Proc[[#This Row],[type]]="LFF (MDG-F)",MID(Proc[[#This Row],[Obj]],13,10),"")</f>
        <v/>
      </c>
      <c r="J3539" s="129" t="b">
        <f ca="1">Proc[[#This Row],[Requested]]=Proc[[#This Row],[CurrentParent]]</f>
        <v>1</v>
      </c>
      <c r="K3539" s="129" t="str">
        <f ca="1"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18</v>
      </c>
      <c r="R3539" s="115" t="s">
        <v>515</v>
      </c>
      <c r="S3539" s="129"/>
    </row>
    <row r="3540" spans="1:19" hidden="1">
      <c r="A3540" s="128" t="s">
        <v>5671</v>
      </c>
      <c r="B3540" s="138" t="str">
        <f ca="1">IFERROR(VLOOKUP(Proc[[#This Row],[App]],Table2[],3,0),"open")</f>
        <v>ok</v>
      </c>
      <c r="C3540" s="128" t="s">
        <v>369</v>
      </c>
      <c r="D3540" t="s">
        <v>5628</v>
      </c>
      <c r="E3540" t="s">
        <v>5670</v>
      </c>
      <c r="F3540" s="129" t="s">
        <v>5670</v>
      </c>
      <c r="G3540" s="128" t="s">
        <v>400</v>
      </c>
      <c r="H3540" s="129" t="str">
        <f ca="1">IF(Proc[[#This Row],[type]]="LFF (MDG-F)",MID(Proc[[#This Row],[Obj]],13,10),"")</f>
        <v/>
      </c>
      <c r="J3540" s="129" t="b">
        <f ca="1">Proc[[#This Row],[Requested]]=Proc[[#This Row],[CurrentParent]]</f>
        <v>1</v>
      </c>
      <c r="K3540" s="129" t="str">
        <f ca="1"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18</v>
      </c>
      <c r="R3540" s="115" t="s">
        <v>515</v>
      </c>
      <c r="S3540" s="129"/>
    </row>
    <row r="3541" spans="1:19" hidden="1">
      <c r="A3541" s="128" t="s">
        <v>5671</v>
      </c>
      <c r="B3541" s="138" t="str">
        <f ca="1">IFERROR(VLOOKUP(Proc[[#This Row],[App]],Table2[],3,0),"open")</f>
        <v>ok</v>
      </c>
      <c r="C3541" s="128" t="s">
        <v>369</v>
      </c>
      <c r="D3541" t="s">
        <v>5629</v>
      </c>
      <c r="E3541" t="s">
        <v>5670</v>
      </c>
      <c r="F3541" s="129" t="s">
        <v>5670</v>
      </c>
      <c r="G3541" s="128" t="s">
        <v>400</v>
      </c>
      <c r="H3541" s="129" t="str">
        <f ca="1">IF(Proc[[#This Row],[type]]="LFF (MDG-F)",MID(Proc[[#This Row],[Obj]],13,10),"")</f>
        <v/>
      </c>
      <c r="J3541" s="129" t="b">
        <f ca="1">Proc[[#This Row],[Requested]]=Proc[[#This Row],[CurrentParent]]</f>
        <v>1</v>
      </c>
      <c r="K3541" s="129" t="str">
        <f ca="1"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18</v>
      </c>
      <c r="R3541" s="115" t="s">
        <v>515</v>
      </c>
      <c r="S3541" s="129"/>
    </row>
    <row r="3542" spans="1:19" hidden="1">
      <c r="A3542" s="128" t="s">
        <v>5671</v>
      </c>
      <c r="B3542" s="138" t="str">
        <f ca="1">IFERROR(VLOOKUP(Proc[[#This Row],[App]],Table2[],3,0),"open")</f>
        <v>ok</v>
      </c>
      <c r="C3542" s="128" t="s">
        <v>369</v>
      </c>
      <c r="D3542" t="s">
        <v>5630</v>
      </c>
      <c r="E3542" t="s">
        <v>5670</v>
      </c>
      <c r="F3542" s="129" t="s">
        <v>5670</v>
      </c>
      <c r="G3542" s="128" t="s">
        <v>400</v>
      </c>
      <c r="H3542" s="129" t="str">
        <f ca="1">IF(Proc[[#This Row],[type]]="LFF (MDG-F)",MID(Proc[[#This Row],[Obj]],13,10),"")</f>
        <v/>
      </c>
      <c r="J3542" s="129" t="b">
        <f ca="1">Proc[[#This Row],[Requested]]=Proc[[#This Row],[CurrentParent]]</f>
        <v>1</v>
      </c>
      <c r="K3542" s="129" t="str">
        <f ca="1"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18</v>
      </c>
      <c r="R3542" s="115" t="s">
        <v>515</v>
      </c>
      <c r="S3542" s="129"/>
    </row>
    <row r="3543" spans="1:19" hidden="1">
      <c r="A3543" s="128" t="s">
        <v>5671</v>
      </c>
      <c r="B3543" s="138" t="str">
        <f ca="1">IFERROR(VLOOKUP(Proc[[#This Row],[App]],Table2[],3,0),"open")</f>
        <v>ok</v>
      </c>
      <c r="C3543" s="128" t="s">
        <v>369</v>
      </c>
      <c r="D3543" t="s">
        <v>5631</v>
      </c>
      <c r="E3543" t="s">
        <v>5670</v>
      </c>
      <c r="F3543" s="129" t="s">
        <v>5670</v>
      </c>
      <c r="G3543" s="128" t="s">
        <v>400</v>
      </c>
      <c r="H3543" s="129" t="str">
        <f ca="1">IF(Proc[[#This Row],[type]]="LFF (MDG-F)",MID(Proc[[#This Row],[Obj]],13,10),"")</f>
        <v/>
      </c>
      <c r="J3543" s="129" t="b">
        <f ca="1">Proc[[#This Row],[Requested]]=Proc[[#This Row],[CurrentParent]]</f>
        <v>1</v>
      </c>
      <c r="K3543" s="129" t="str">
        <f ca="1"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18</v>
      </c>
      <c r="R3543" s="115" t="s">
        <v>515</v>
      </c>
      <c r="S3543" s="129"/>
    </row>
    <row r="3544" spans="1:19" hidden="1">
      <c r="A3544" s="128" t="s">
        <v>5671</v>
      </c>
      <c r="B3544" s="138" t="str">
        <f ca="1">IFERROR(VLOOKUP(Proc[[#This Row],[App]],Table2[],3,0),"open")</f>
        <v>ok</v>
      </c>
      <c r="C3544" s="128" t="s">
        <v>369</v>
      </c>
      <c r="D3544" t="s">
        <v>5632</v>
      </c>
      <c r="E3544" t="s">
        <v>5670</v>
      </c>
      <c r="F3544" s="129" t="s">
        <v>5670</v>
      </c>
      <c r="G3544" s="128" t="s">
        <v>400</v>
      </c>
      <c r="H3544" s="129" t="str">
        <f ca="1">IF(Proc[[#This Row],[type]]="LFF (MDG-F)",MID(Proc[[#This Row],[Obj]],13,10),"")</f>
        <v/>
      </c>
      <c r="J3544" s="129" t="b">
        <f ca="1">Proc[[#This Row],[Requested]]=Proc[[#This Row],[CurrentParent]]</f>
        <v>1</v>
      </c>
      <c r="K3544" s="129" t="str">
        <f ca="1"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18</v>
      </c>
      <c r="R3544" s="115" t="s">
        <v>515</v>
      </c>
      <c r="S3544" s="129"/>
    </row>
    <row r="3545" spans="1:19" hidden="1">
      <c r="A3545" s="128" t="s">
        <v>5671</v>
      </c>
      <c r="B3545" s="138" t="str">
        <f ca="1">IFERROR(VLOOKUP(Proc[[#This Row],[App]],Table2[],3,0),"open")</f>
        <v>ok</v>
      </c>
      <c r="C3545" s="128" t="s">
        <v>369</v>
      </c>
      <c r="D3545" t="s">
        <v>5633</v>
      </c>
      <c r="E3545" t="s">
        <v>5670</v>
      </c>
      <c r="F3545" s="129" t="s">
        <v>5670</v>
      </c>
      <c r="G3545" s="128" t="s">
        <v>400</v>
      </c>
      <c r="H3545" s="129" t="str">
        <f ca="1">IF(Proc[[#This Row],[type]]="LFF (MDG-F)",MID(Proc[[#This Row],[Obj]],13,10),"")</f>
        <v/>
      </c>
      <c r="J3545" s="129" t="b">
        <f ca="1">Proc[[#This Row],[Requested]]=Proc[[#This Row],[CurrentParent]]</f>
        <v>1</v>
      </c>
      <c r="K3545" s="129" t="str">
        <f ca="1"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18</v>
      </c>
      <c r="R3545" s="115" t="s">
        <v>515</v>
      </c>
      <c r="S3545" s="129"/>
    </row>
    <row r="3546" spans="1:19" hidden="1">
      <c r="A3546" s="128" t="s">
        <v>5671</v>
      </c>
      <c r="B3546" s="138" t="str">
        <f ca="1">IFERROR(VLOOKUP(Proc[[#This Row],[App]],Table2[],3,0),"open")</f>
        <v>ok</v>
      </c>
      <c r="C3546" s="128" t="s">
        <v>369</v>
      </c>
      <c r="D3546" t="s">
        <v>5634</v>
      </c>
      <c r="E3546" t="s">
        <v>5670</v>
      </c>
      <c r="F3546" s="129" t="s">
        <v>5670</v>
      </c>
      <c r="G3546" s="128" t="s">
        <v>400</v>
      </c>
      <c r="H3546" s="129" t="str">
        <f ca="1">IF(Proc[[#This Row],[type]]="LFF (MDG-F)",MID(Proc[[#This Row],[Obj]],13,10),"")</f>
        <v/>
      </c>
      <c r="J3546" s="129" t="b">
        <f ca="1">Proc[[#This Row],[Requested]]=Proc[[#This Row],[CurrentParent]]</f>
        <v>1</v>
      </c>
      <c r="K3546" s="129" t="str">
        <f ca="1"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18</v>
      </c>
      <c r="R3546" s="115" t="s">
        <v>515</v>
      </c>
      <c r="S3546" s="129"/>
    </row>
    <row r="3547" spans="1:19" hidden="1">
      <c r="A3547" s="128" t="s">
        <v>5671</v>
      </c>
      <c r="B3547" s="138" t="str">
        <f ca="1">IFERROR(VLOOKUP(Proc[[#This Row],[App]],Table2[],3,0),"open")</f>
        <v>ok</v>
      </c>
      <c r="C3547" s="128" t="s">
        <v>369</v>
      </c>
      <c r="D3547" t="s">
        <v>5635</v>
      </c>
      <c r="E3547" t="s">
        <v>5670</v>
      </c>
      <c r="F3547" s="129" t="s">
        <v>5670</v>
      </c>
      <c r="G3547" s="128" t="s">
        <v>400</v>
      </c>
      <c r="H3547" s="129" t="str">
        <f ca="1">IF(Proc[[#This Row],[type]]="LFF (MDG-F)",MID(Proc[[#This Row],[Obj]],13,10),"")</f>
        <v/>
      </c>
      <c r="J3547" s="129" t="b">
        <f ca="1">Proc[[#This Row],[Requested]]=Proc[[#This Row],[CurrentParent]]</f>
        <v>1</v>
      </c>
      <c r="K3547" s="129" t="str">
        <f ca="1"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18</v>
      </c>
      <c r="R3547" s="115" t="s">
        <v>515</v>
      </c>
      <c r="S3547" s="129"/>
    </row>
    <row r="3548" spans="1:19" hidden="1">
      <c r="A3548" s="128" t="s">
        <v>5671</v>
      </c>
      <c r="B3548" s="138" t="str">
        <f ca="1">IFERROR(VLOOKUP(Proc[[#This Row],[App]],Table2[],3,0),"open")</f>
        <v>ok</v>
      </c>
      <c r="C3548" s="128" t="s">
        <v>369</v>
      </c>
      <c r="D3548" t="s">
        <v>5636</v>
      </c>
      <c r="E3548" t="s">
        <v>5670</v>
      </c>
      <c r="F3548" s="129" t="s">
        <v>5670</v>
      </c>
      <c r="G3548" s="128" t="s">
        <v>400</v>
      </c>
      <c r="H3548" s="129" t="str">
        <f ca="1">IF(Proc[[#This Row],[type]]="LFF (MDG-F)",MID(Proc[[#This Row],[Obj]],13,10),"")</f>
        <v/>
      </c>
      <c r="J3548" s="129" t="b">
        <f ca="1">Proc[[#This Row],[Requested]]=Proc[[#This Row],[CurrentParent]]</f>
        <v>1</v>
      </c>
      <c r="K3548" s="129" t="str">
        <f ca="1"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18</v>
      </c>
      <c r="R3548" s="115" t="s">
        <v>515</v>
      </c>
      <c r="S3548" s="129"/>
    </row>
    <row r="3549" spans="1:19" hidden="1">
      <c r="A3549" s="128" t="s">
        <v>5671</v>
      </c>
      <c r="B3549" s="138" t="str">
        <f ca="1">IFERROR(VLOOKUP(Proc[[#This Row],[App]],Table2[],3,0),"open")</f>
        <v>ok</v>
      </c>
      <c r="C3549" s="128" t="s">
        <v>369</v>
      </c>
      <c r="D3549" t="s">
        <v>5637</v>
      </c>
      <c r="E3549" t="s">
        <v>5670</v>
      </c>
      <c r="F3549" s="129" t="s">
        <v>5670</v>
      </c>
      <c r="G3549" s="128" t="s">
        <v>400</v>
      </c>
      <c r="H3549" s="129" t="str">
        <f ca="1">IF(Proc[[#This Row],[type]]="LFF (MDG-F)",MID(Proc[[#This Row],[Obj]],13,10),"")</f>
        <v/>
      </c>
      <c r="J3549" s="129" t="b">
        <f ca="1">Proc[[#This Row],[Requested]]=Proc[[#This Row],[CurrentParent]]</f>
        <v>1</v>
      </c>
      <c r="K3549" s="129" t="str">
        <f ca="1"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18</v>
      </c>
      <c r="R3549" s="115" t="s">
        <v>515</v>
      </c>
      <c r="S3549" s="129"/>
    </row>
    <row r="3550" spans="1:19" hidden="1">
      <c r="A3550" s="128" t="s">
        <v>5671</v>
      </c>
      <c r="B3550" s="138" t="str">
        <f ca="1">IFERROR(VLOOKUP(Proc[[#This Row],[App]],Table2[],3,0),"open")</f>
        <v>ok</v>
      </c>
      <c r="C3550" s="128" t="s">
        <v>369</v>
      </c>
      <c r="D3550" t="s">
        <v>5638</v>
      </c>
      <c r="E3550" t="s">
        <v>5670</v>
      </c>
      <c r="F3550" s="129" t="s">
        <v>5670</v>
      </c>
      <c r="G3550" s="128" t="s">
        <v>400</v>
      </c>
      <c r="H3550" s="129" t="str">
        <f ca="1">IF(Proc[[#This Row],[type]]="LFF (MDG-F)",MID(Proc[[#This Row],[Obj]],13,10),"")</f>
        <v/>
      </c>
      <c r="J3550" s="129" t="b">
        <f ca="1">Proc[[#This Row],[Requested]]=Proc[[#This Row],[CurrentParent]]</f>
        <v>1</v>
      </c>
      <c r="K3550" s="129" t="str">
        <f ca="1"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18</v>
      </c>
      <c r="R3550" s="115" t="s">
        <v>515</v>
      </c>
      <c r="S3550" s="129"/>
    </row>
    <row r="3551" spans="1:19" hidden="1">
      <c r="A3551" s="128" t="s">
        <v>5671</v>
      </c>
      <c r="B3551" s="138" t="str">
        <f ca="1">IFERROR(VLOOKUP(Proc[[#This Row],[App]],Table2[],3,0),"open")</f>
        <v>ok</v>
      </c>
      <c r="C3551" s="128" t="s">
        <v>369</v>
      </c>
      <c r="D3551" t="s">
        <v>5639</v>
      </c>
      <c r="E3551" t="s">
        <v>5670</v>
      </c>
      <c r="F3551" s="129" t="s">
        <v>5670</v>
      </c>
      <c r="G3551" s="128" t="s">
        <v>400</v>
      </c>
      <c r="H3551" s="129" t="str">
        <f ca="1">IF(Proc[[#This Row],[type]]="LFF (MDG-F)",MID(Proc[[#This Row],[Obj]],13,10),"")</f>
        <v/>
      </c>
      <c r="J3551" s="129" t="b">
        <f ca="1">Proc[[#This Row],[Requested]]=Proc[[#This Row],[CurrentParent]]</f>
        <v>1</v>
      </c>
      <c r="K3551" s="129" t="str">
        <f ca="1"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18</v>
      </c>
      <c r="R3551" s="115" t="s">
        <v>515</v>
      </c>
      <c r="S3551" s="129"/>
    </row>
    <row r="3552" spans="1:19" hidden="1">
      <c r="A3552" s="128" t="s">
        <v>5671</v>
      </c>
      <c r="B3552" s="138" t="str">
        <f ca="1">IFERROR(VLOOKUP(Proc[[#This Row],[App]],Table2[],3,0),"open")</f>
        <v>ok</v>
      </c>
      <c r="C3552" s="128" t="s">
        <v>369</v>
      </c>
      <c r="D3552" t="s">
        <v>5640</v>
      </c>
      <c r="E3552" t="s">
        <v>5670</v>
      </c>
      <c r="F3552" s="129" t="s">
        <v>5670</v>
      </c>
      <c r="G3552" s="128" t="s">
        <v>400</v>
      </c>
      <c r="H3552" s="129" t="str">
        <f ca="1">IF(Proc[[#This Row],[type]]="LFF (MDG-F)",MID(Proc[[#This Row],[Obj]],13,10),"")</f>
        <v/>
      </c>
      <c r="J3552" s="129" t="b">
        <f ca="1">Proc[[#This Row],[Requested]]=Proc[[#This Row],[CurrentParent]]</f>
        <v>1</v>
      </c>
      <c r="K3552" s="129" t="str">
        <f ca="1"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18</v>
      </c>
      <c r="R3552" s="115" t="s">
        <v>515</v>
      </c>
      <c r="S3552" s="129"/>
    </row>
    <row r="3553" spans="1:19" hidden="1">
      <c r="A3553" s="128" t="s">
        <v>5671</v>
      </c>
      <c r="B3553" s="138" t="str">
        <f ca="1">IFERROR(VLOOKUP(Proc[[#This Row],[App]],Table2[],3,0),"open")</f>
        <v>ok</v>
      </c>
      <c r="C3553" s="128" t="s">
        <v>369</v>
      </c>
      <c r="D3553" t="s">
        <v>5641</v>
      </c>
      <c r="E3553" t="s">
        <v>5670</v>
      </c>
      <c r="F3553" s="129" t="s">
        <v>5670</v>
      </c>
      <c r="G3553" s="128" t="s">
        <v>400</v>
      </c>
      <c r="H3553" s="129" t="str">
        <f ca="1">IF(Proc[[#This Row],[type]]="LFF (MDG-F)",MID(Proc[[#This Row],[Obj]],13,10),"")</f>
        <v/>
      </c>
      <c r="J3553" s="129" t="b">
        <f ca="1">Proc[[#This Row],[Requested]]=Proc[[#This Row],[CurrentParent]]</f>
        <v>1</v>
      </c>
      <c r="K3553" s="129" t="str">
        <f ca="1"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18</v>
      </c>
      <c r="R3553" s="115" t="s">
        <v>515</v>
      </c>
      <c r="S3553" s="129"/>
    </row>
    <row r="3554" spans="1:19" hidden="1">
      <c r="A3554" s="128" t="s">
        <v>5671</v>
      </c>
      <c r="B3554" s="138" t="str">
        <f ca="1">IFERROR(VLOOKUP(Proc[[#This Row],[App]],Table2[],3,0),"open")</f>
        <v>ok</v>
      </c>
      <c r="C3554" s="128" t="s">
        <v>369</v>
      </c>
      <c r="D3554" t="s">
        <v>5642</v>
      </c>
      <c r="E3554" t="s">
        <v>5670</v>
      </c>
      <c r="F3554" s="129" t="s">
        <v>5670</v>
      </c>
      <c r="G3554" s="128" t="s">
        <v>400</v>
      </c>
      <c r="H3554" s="129" t="str">
        <f ca="1">IF(Proc[[#This Row],[type]]="LFF (MDG-F)",MID(Proc[[#This Row],[Obj]],13,10),"")</f>
        <v/>
      </c>
      <c r="J3554" s="129" t="b">
        <f ca="1">Proc[[#This Row],[Requested]]=Proc[[#This Row],[CurrentParent]]</f>
        <v>1</v>
      </c>
      <c r="K3554" s="129" t="str">
        <f ca="1"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18</v>
      </c>
      <c r="R3554" s="115" t="s">
        <v>515</v>
      </c>
      <c r="S3554" s="129"/>
    </row>
    <row r="3555" spans="1:19" hidden="1">
      <c r="A3555" s="128" t="s">
        <v>5671</v>
      </c>
      <c r="B3555" s="138" t="str">
        <f ca="1">IFERROR(VLOOKUP(Proc[[#This Row],[App]],Table2[],3,0),"open")</f>
        <v>ok</v>
      </c>
      <c r="C3555" s="128" t="s">
        <v>369</v>
      </c>
      <c r="D3555" t="s">
        <v>5643</v>
      </c>
      <c r="E3555" t="s">
        <v>5670</v>
      </c>
      <c r="F3555" s="129" t="s">
        <v>5670</v>
      </c>
      <c r="G3555" s="128" t="s">
        <v>400</v>
      </c>
      <c r="H3555" s="129" t="str">
        <f ca="1">IF(Proc[[#This Row],[type]]="LFF (MDG-F)",MID(Proc[[#This Row],[Obj]],13,10),"")</f>
        <v/>
      </c>
      <c r="J3555" s="129" t="b">
        <f ca="1">Proc[[#This Row],[Requested]]=Proc[[#This Row],[CurrentParent]]</f>
        <v>1</v>
      </c>
      <c r="K3555" s="129" t="str">
        <f ca="1"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18</v>
      </c>
      <c r="R3555" s="115" t="s">
        <v>515</v>
      </c>
      <c r="S3555" s="129"/>
    </row>
    <row r="3556" spans="1:19" hidden="1">
      <c r="A3556" s="128" t="s">
        <v>5671</v>
      </c>
      <c r="B3556" s="138" t="str">
        <f ca="1">IFERROR(VLOOKUP(Proc[[#This Row],[App]],Table2[],3,0),"open")</f>
        <v>ok</v>
      </c>
      <c r="C3556" s="128" t="s">
        <v>369</v>
      </c>
      <c r="D3556" t="s">
        <v>5644</v>
      </c>
      <c r="E3556" t="s">
        <v>5670</v>
      </c>
      <c r="F3556" s="129" t="s">
        <v>5670</v>
      </c>
      <c r="G3556" s="128" t="s">
        <v>400</v>
      </c>
      <c r="H3556" s="129" t="str">
        <f ca="1">IF(Proc[[#This Row],[type]]="LFF (MDG-F)",MID(Proc[[#This Row],[Obj]],13,10),"")</f>
        <v/>
      </c>
      <c r="J3556" s="129" t="b">
        <f ca="1">Proc[[#This Row],[Requested]]=Proc[[#This Row],[CurrentParent]]</f>
        <v>1</v>
      </c>
      <c r="K3556" s="129" t="str">
        <f ca="1"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18</v>
      </c>
      <c r="R3556" s="115" t="s">
        <v>515</v>
      </c>
      <c r="S3556" s="129"/>
    </row>
    <row r="3557" spans="1:19" hidden="1">
      <c r="A3557" s="128" t="s">
        <v>5671</v>
      </c>
      <c r="B3557" s="138" t="str">
        <f ca="1">IFERROR(VLOOKUP(Proc[[#This Row],[App]],Table2[],3,0),"open")</f>
        <v>ok</v>
      </c>
      <c r="C3557" s="128" t="s">
        <v>369</v>
      </c>
      <c r="D3557" t="s">
        <v>5645</v>
      </c>
      <c r="E3557" t="s">
        <v>5670</v>
      </c>
      <c r="F3557" s="129" t="s">
        <v>5670</v>
      </c>
      <c r="G3557" s="128" t="s">
        <v>400</v>
      </c>
      <c r="H3557" s="129" t="str">
        <f ca="1">IF(Proc[[#This Row],[type]]="LFF (MDG-F)",MID(Proc[[#This Row],[Obj]],13,10),"")</f>
        <v/>
      </c>
      <c r="J3557" s="129" t="b">
        <f ca="1">Proc[[#This Row],[Requested]]=Proc[[#This Row],[CurrentParent]]</f>
        <v>1</v>
      </c>
      <c r="K3557" s="129" t="str">
        <f ca="1"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18</v>
      </c>
      <c r="R3557" s="115" t="s">
        <v>515</v>
      </c>
      <c r="S3557" s="129"/>
    </row>
    <row r="3558" spans="1:19" hidden="1">
      <c r="A3558" s="128" t="s">
        <v>5671</v>
      </c>
      <c r="B3558" s="138" t="str">
        <f ca="1">IFERROR(VLOOKUP(Proc[[#This Row],[App]],Table2[],3,0),"open")</f>
        <v>ok</v>
      </c>
      <c r="C3558" s="128" t="s">
        <v>369</v>
      </c>
      <c r="D3558" t="s">
        <v>5646</v>
      </c>
      <c r="E3558" t="s">
        <v>5670</v>
      </c>
      <c r="F3558" s="129" t="s">
        <v>5670</v>
      </c>
      <c r="G3558" s="128" t="s">
        <v>400</v>
      </c>
      <c r="H3558" s="129" t="str">
        <f ca="1">IF(Proc[[#This Row],[type]]="LFF (MDG-F)",MID(Proc[[#This Row],[Obj]],13,10),"")</f>
        <v/>
      </c>
      <c r="J3558" s="129" t="b">
        <f ca="1">Proc[[#This Row],[Requested]]=Proc[[#This Row],[CurrentParent]]</f>
        <v>1</v>
      </c>
      <c r="K3558" s="129" t="str">
        <f ca="1"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18</v>
      </c>
      <c r="R3558" s="115" t="s">
        <v>515</v>
      </c>
      <c r="S3558" s="129"/>
    </row>
    <row r="3559" spans="1:19" hidden="1">
      <c r="A3559" s="128" t="s">
        <v>5671</v>
      </c>
      <c r="B3559" s="138" t="str">
        <f ca="1">IFERROR(VLOOKUP(Proc[[#This Row],[App]],Table2[],3,0),"open")</f>
        <v>ok</v>
      </c>
      <c r="C3559" s="128" t="s">
        <v>369</v>
      </c>
      <c r="D3559" t="s">
        <v>5647</v>
      </c>
      <c r="E3559" t="s">
        <v>5670</v>
      </c>
      <c r="F3559" s="129" t="s">
        <v>5670</v>
      </c>
      <c r="G3559" s="128" t="s">
        <v>400</v>
      </c>
      <c r="H3559" s="129" t="str">
        <f ca="1">IF(Proc[[#This Row],[type]]="LFF (MDG-F)",MID(Proc[[#This Row],[Obj]],13,10),"")</f>
        <v/>
      </c>
      <c r="J3559" s="129" t="b">
        <f ca="1">Proc[[#This Row],[Requested]]=Proc[[#This Row],[CurrentParent]]</f>
        <v>1</v>
      </c>
      <c r="K3559" s="129" t="str">
        <f ca="1"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18</v>
      </c>
      <c r="R3559" s="115" t="s">
        <v>515</v>
      </c>
      <c r="S3559" s="129"/>
    </row>
    <row r="3560" spans="1:19" hidden="1">
      <c r="A3560" s="128" t="s">
        <v>5671</v>
      </c>
      <c r="B3560" s="138" t="str">
        <f ca="1">IFERROR(VLOOKUP(Proc[[#This Row],[App]],Table2[],3,0),"open")</f>
        <v>ok</v>
      </c>
      <c r="C3560" s="128" t="s">
        <v>369</v>
      </c>
      <c r="D3560" t="s">
        <v>5648</v>
      </c>
      <c r="E3560" t="s">
        <v>5670</v>
      </c>
      <c r="F3560" s="129" t="s">
        <v>5670</v>
      </c>
      <c r="G3560" s="128" t="s">
        <v>400</v>
      </c>
      <c r="H3560" s="129" t="str">
        <f ca="1">IF(Proc[[#This Row],[type]]="LFF (MDG-F)",MID(Proc[[#This Row],[Obj]],13,10),"")</f>
        <v/>
      </c>
      <c r="J3560" s="129" t="b">
        <f ca="1">Proc[[#This Row],[Requested]]=Proc[[#This Row],[CurrentParent]]</f>
        <v>1</v>
      </c>
      <c r="K3560" s="129" t="str">
        <f ca="1"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18</v>
      </c>
      <c r="R3560" s="115" t="s">
        <v>515</v>
      </c>
      <c r="S3560" s="129"/>
    </row>
    <row r="3561" spans="1:19" hidden="1">
      <c r="A3561" s="128" t="s">
        <v>5671</v>
      </c>
      <c r="B3561" s="138" t="str">
        <f ca="1">IFERROR(VLOOKUP(Proc[[#This Row],[App]],Table2[],3,0),"open")</f>
        <v>ok</v>
      </c>
      <c r="C3561" s="128" t="s">
        <v>369</v>
      </c>
      <c r="D3561" t="s">
        <v>5649</v>
      </c>
      <c r="E3561" t="s">
        <v>5670</v>
      </c>
      <c r="F3561" s="129" t="s">
        <v>5670</v>
      </c>
      <c r="G3561" s="128" t="s">
        <v>400</v>
      </c>
      <c r="H3561" s="129" t="str">
        <f ca="1">IF(Proc[[#This Row],[type]]="LFF (MDG-F)",MID(Proc[[#This Row],[Obj]],13,10),"")</f>
        <v/>
      </c>
      <c r="J3561" s="129" t="b">
        <f ca="1">Proc[[#This Row],[Requested]]=Proc[[#This Row],[CurrentParent]]</f>
        <v>1</v>
      </c>
      <c r="K3561" s="129" t="str">
        <f ca="1"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18</v>
      </c>
      <c r="R3561" s="115" t="s">
        <v>515</v>
      </c>
      <c r="S3561" s="129"/>
    </row>
    <row r="3562" spans="1:19" hidden="1">
      <c r="A3562" s="128" t="s">
        <v>5671</v>
      </c>
      <c r="B3562" s="138" t="str">
        <f ca="1">IFERROR(VLOOKUP(Proc[[#This Row],[App]],Table2[],3,0),"open")</f>
        <v>ok</v>
      </c>
      <c r="C3562" s="128" t="s">
        <v>369</v>
      </c>
      <c r="D3562" t="s">
        <v>5650</v>
      </c>
      <c r="E3562" t="s">
        <v>5670</v>
      </c>
      <c r="F3562" s="129" t="s">
        <v>5670</v>
      </c>
      <c r="G3562" s="128" t="s">
        <v>400</v>
      </c>
      <c r="H3562" s="129" t="str">
        <f ca="1">IF(Proc[[#This Row],[type]]="LFF (MDG-F)",MID(Proc[[#This Row],[Obj]],13,10),"")</f>
        <v/>
      </c>
      <c r="J3562" s="129" t="b">
        <f ca="1">Proc[[#This Row],[Requested]]=Proc[[#This Row],[CurrentParent]]</f>
        <v>1</v>
      </c>
      <c r="K3562" s="129" t="str">
        <f ca="1"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18</v>
      </c>
      <c r="R3562" s="115" t="s">
        <v>515</v>
      </c>
      <c r="S3562" s="129"/>
    </row>
    <row r="3563" spans="1:19" hidden="1">
      <c r="A3563" s="128" t="s">
        <v>5671</v>
      </c>
      <c r="B3563" s="138" t="str">
        <f ca="1">IFERROR(VLOOKUP(Proc[[#This Row],[App]],Table2[],3,0),"open")</f>
        <v>ok</v>
      </c>
      <c r="C3563" s="128" t="s">
        <v>369</v>
      </c>
      <c r="D3563" t="s">
        <v>5651</v>
      </c>
      <c r="E3563" t="s">
        <v>5670</v>
      </c>
      <c r="F3563" s="129" t="s">
        <v>5670</v>
      </c>
      <c r="G3563" s="128" t="s">
        <v>400</v>
      </c>
      <c r="H3563" s="129" t="str">
        <f ca="1">IF(Proc[[#This Row],[type]]="LFF (MDG-F)",MID(Proc[[#This Row],[Obj]],13,10),"")</f>
        <v/>
      </c>
      <c r="J3563" s="129" t="b">
        <f ca="1">Proc[[#This Row],[Requested]]=Proc[[#This Row],[CurrentParent]]</f>
        <v>1</v>
      </c>
      <c r="K3563" s="129" t="str">
        <f ca="1"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18</v>
      </c>
      <c r="R3563" s="115" t="s">
        <v>515</v>
      </c>
      <c r="S3563" s="129"/>
    </row>
    <row r="3564" spans="1:19" hidden="1">
      <c r="A3564" s="128" t="s">
        <v>5671</v>
      </c>
      <c r="B3564" s="138" t="str">
        <f ca="1">IFERROR(VLOOKUP(Proc[[#This Row],[App]],Table2[],3,0),"open")</f>
        <v>ok</v>
      </c>
      <c r="C3564" s="128" t="s">
        <v>369</v>
      </c>
      <c r="D3564" t="s">
        <v>5652</v>
      </c>
      <c r="E3564" t="s">
        <v>5670</v>
      </c>
      <c r="F3564" s="129" t="s">
        <v>5670</v>
      </c>
      <c r="G3564" s="128" t="s">
        <v>400</v>
      </c>
      <c r="H3564" s="129" t="str">
        <f ca="1">IF(Proc[[#This Row],[type]]="LFF (MDG-F)",MID(Proc[[#This Row],[Obj]],13,10),"")</f>
        <v/>
      </c>
      <c r="J3564" s="129" t="b">
        <f ca="1">Proc[[#This Row],[Requested]]=Proc[[#This Row],[CurrentParent]]</f>
        <v>1</v>
      </c>
      <c r="K3564" s="129" t="str">
        <f ca="1"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18</v>
      </c>
      <c r="R3564" s="115" t="s">
        <v>515</v>
      </c>
      <c r="S3564" s="129"/>
    </row>
    <row r="3565" spans="1:19" hidden="1">
      <c r="A3565" s="128" t="s">
        <v>5671</v>
      </c>
      <c r="B3565" s="138" t="str">
        <f ca="1">IFERROR(VLOOKUP(Proc[[#This Row],[App]],Table2[],3,0),"open")</f>
        <v>ok</v>
      </c>
      <c r="C3565" s="128" t="s">
        <v>369</v>
      </c>
      <c r="D3565" t="s">
        <v>5653</v>
      </c>
      <c r="E3565" t="s">
        <v>5670</v>
      </c>
      <c r="F3565" s="129" t="s">
        <v>5670</v>
      </c>
      <c r="G3565" s="128" t="s">
        <v>400</v>
      </c>
      <c r="H3565" s="129" t="str">
        <f ca="1">IF(Proc[[#This Row],[type]]="LFF (MDG-F)",MID(Proc[[#This Row],[Obj]],13,10),"")</f>
        <v/>
      </c>
      <c r="J3565" s="129" t="b">
        <f ca="1">Proc[[#This Row],[Requested]]=Proc[[#This Row],[CurrentParent]]</f>
        <v>1</v>
      </c>
      <c r="K3565" s="129" t="str">
        <f ca="1"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18</v>
      </c>
      <c r="R3565" s="115" t="s">
        <v>515</v>
      </c>
      <c r="S3565" s="129"/>
    </row>
    <row r="3566" spans="1:19" hidden="1">
      <c r="A3566" s="128" t="s">
        <v>5671</v>
      </c>
      <c r="B3566" s="138" t="str">
        <f ca="1">IFERROR(VLOOKUP(Proc[[#This Row],[App]],Table2[],3,0),"open")</f>
        <v>ok</v>
      </c>
      <c r="C3566" s="128" t="s">
        <v>369</v>
      </c>
      <c r="D3566" t="s">
        <v>5654</v>
      </c>
      <c r="E3566" t="s">
        <v>5670</v>
      </c>
      <c r="F3566" s="129" t="s">
        <v>5670</v>
      </c>
      <c r="G3566" s="128" t="s">
        <v>400</v>
      </c>
      <c r="H3566" s="129" t="str">
        <f ca="1">IF(Proc[[#This Row],[type]]="LFF (MDG-F)",MID(Proc[[#This Row],[Obj]],13,10),"")</f>
        <v/>
      </c>
      <c r="J3566" s="129" t="b">
        <f ca="1">Proc[[#This Row],[Requested]]=Proc[[#This Row],[CurrentParent]]</f>
        <v>1</v>
      </c>
      <c r="K3566" s="129" t="str">
        <f ca="1"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18</v>
      </c>
      <c r="R3566" s="115" t="s">
        <v>515</v>
      </c>
      <c r="S3566" s="129"/>
    </row>
    <row r="3567" spans="1:19" hidden="1">
      <c r="A3567" s="128" t="s">
        <v>5671</v>
      </c>
      <c r="B3567" s="138" t="str">
        <f ca="1">IFERROR(VLOOKUP(Proc[[#This Row],[App]],Table2[],3,0),"open")</f>
        <v>ok</v>
      </c>
      <c r="C3567" s="128" t="s">
        <v>369</v>
      </c>
      <c r="D3567" t="s">
        <v>5655</v>
      </c>
      <c r="E3567" t="s">
        <v>5670</v>
      </c>
      <c r="F3567" s="129" t="s">
        <v>5670</v>
      </c>
      <c r="G3567" s="128" t="s">
        <v>400</v>
      </c>
      <c r="H3567" s="129" t="str">
        <f ca="1">IF(Proc[[#This Row],[type]]="LFF (MDG-F)",MID(Proc[[#This Row],[Obj]],13,10),"")</f>
        <v/>
      </c>
      <c r="J3567" s="129" t="b">
        <f ca="1">Proc[[#This Row],[Requested]]=Proc[[#This Row],[CurrentParent]]</f>
        <v>1</v>
      </c>
      <c r="K3567" s="129" t="str">
        <f ca="1"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18</v>
      </c>
      <c r="R3567" s="115" t="s">
        <v>515</v>
      </c>
      <c r="S3567" s="129"/>
    </row>
    <row r="3568" spans="1:19" hidden="1">
      <c r="A3568" s="128" t="s">
        <v>5671</v>
      </c>
      <c r="B3568" s="138" t="str">
        <f ca="1">IFERROR(VLOOKUP(Proc[[#This Row],[App]],Table2[],3,0),"open")</f>
        <v>ok</v>
      </c>
      <c r="C3568" s="128" t="s">
        <v>369</v>
      </c>
      <c r="D3568" t="s">
        <v>5656</v>
      </c>
      <c r="E3568" t="s">
        <v>5670</v>
      </c>
      <c r="F3568" s="129" t="s">
        <v>5670</v>
      </c>
      <c r="G3568" s="128" t="s">
        <v>400</v>
      </c>
      <c r="H3568" s="129" t="str">
        <f ca="1">IF(Proc[[#This Row],[type]]="LFF (MDG-F)",MID(Proc[[#This Row],[Obj]],13,10),"")</f>
        <v/>
      </c>
      <c r="J3568" s="129" t="b">
        <f ca="1">Proc[[#This Row],[Requested]]=Proc[[#This Row],[CurrentParent]]</f>
        <v>1</v>
      </c>
      <c r="K3568" s="129" t="str">
        <f ca="1"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18</v>
      </c>
      <c r="R3568" s="115" t="s">
        <v>515</v>
      </c>
      <c r="S3568" s="129"/>
    </row>
    <row r="3569" spans="1:19" hidden="1">
      <c r="A3569" s="128" t="s">
        <v>5671</v>
      </c>
      <c r="B3569" s="138" t="str">
        <f ca="1">IFERROR(VLOOKUP(Proc[[#This Row],[App]],Table2[],3,0),"open")</f>
        <v>ok</v>
      </c>
      <c r="C3569" s="128" t="s">
        <v>369</v>
      </c>
      <c r="D3569" t="s">
        <v>5657</v>
      </c>
      <c r="E3569" t="s">
        <v>5670</v>
      </c>
      <c r="F3569" s="129" t="s">
        <v>5670</v>
      </c>
      <c r="G3569" s="128" t="s">
        <v>400</v>
      </c>
      <c r="H3569" s="129" t="str">
        <f ca="1">IF(Proc[[#This Row],[type]]="LFF (MDG-F)",MID(Proc[[#This Row],[Obj]],13,10),"")</f>
        <v/>
      </c>
      <c r="J3569" s="129" t="b">
        <f ca="1">Proc[[#This Row],[Requested]]=Proc[[#This Row],[CurrentParent]]</f>
        <v>1</v>
      </c>
      <c r="K3569" s="129" t="str">
        <f ca="1"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18</v>
      </c>
      <c r="R3569" s="115" t="s">
        <v>515</v>
      </c>
      <c r="S3569" s="129"/>
    </row>
    <row r="3570" spans="1:19" hidden="1">
      <c r="A3570" s="128" t="s">
        <v>5671</v>
      </c>
      <c r="B3570" s="138" t="str">
        <f ca="1">IFERROR(VLOOKUP(Proc[[#This Row],[App]],Table2[],3,0),"open")</f>
        <v>ok</v>
      </c>
      <c r="C3570" s="128" t="s">
        <v>369</v>
      </c>
      <c r="D3570" t="s">
        <v>5658</v>
      </c>
      <c r="E3570" t="s">
        <v>5670</v>
      </c>
      <c r="F3570" s="129" t="s">
        <v>5670</v>
      </c>
      <c r="G3570" s="128" t="s">
        <v>400</v>
      </c>
      <c r="H3570" s="129" t="str">
        <f ca="1">IF(Proc[[#This Row],[type]]="LFF (MDG-F)",MID(Proc[[#This Row],[Obj]],13,10),"")</f>
        <v/>
      </c>
      <c r="J3570" s="129" t="b">
        <f ca="1">Proc[[#This Row],[Requested]]=Proc[[#This Row],[CurrentParent]]</f>
        <v>1</v>
      </c>
      <c r="K3570" s="129" t="str">
        <f ca="1"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18</v>
      </c>
      <c r="R3570" s="115" t="s">
        <v>515</v>
      </c>
      <c r="S3570" s="129"/>
    </row>
    <row r="3571" spans="1:19" hidden="1">
      <c r="A3571" s="128" t="s">
        <v>5671</v>
      </c>
      <c r="B3571" s="138" t="str">
        <f ca="1">IFERROR(VLOOKUP(Proc[[#This Row],[App]],Table2[],3,0),"open")</f>
        <v>ok</v>
      </c>
      <c r="C3571" s="128" t="s">
        <v>369</v>
      </c>
      <c r="D3571" t="s">
        <v>5659</v>
      </c>
      <c r="E3571" t="s">
        <v>5670</v>
      </c>
      <c r="F3571" s="129" t="s">
        <v>5670</v>
      </c>
      <c r="G3571" s="128" t="s">
        <v>400</v>
      </c>
      <c r="H3571" s="129" t="str">
        <f ca="1">IF(Proc[[#This Row],[type]]="LFF (MDG-F)",MID(Proc[[#This Row],[Obj]],13,10),"")</f>
        <v/>
      </c>
      <c r="J3571" s="129" t="b">
        <f ca="1">Proc[[#This Row],[Requested]]=Proc[[#This Row],[CurrentParent]]</f>
        <v>1</v>
      </c>
      <c r="K3571" s="129" t="str">
        <f ca="1"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18</v>
      </c>
      <c r="R3571" s="115" t="s">
        <v>515</v>
      </c>
      <c r="S3571" s="129"/>
    </row>
    <row r="3572" spans="1:19" hidden="1">
      <c r="A3572" s="128" t="s">
        <v>5671</v>
      </c>
      <c r="B3572" s="138" t="str">
        <f ca="1">IFERROR(VLOOKUP(Proc[[#This Row],[App]],Table2[],3,0),"open")</f>
        <v>ok</v>
      </c>
      <c r="C3572" s="128" t="s">
        <v>369</v>
      </c>
      <c r="D3572" t="s">
        <v>5660</v>
      </c>
      <c r="E3572" t="s">
        <v>5670</v>
      </c>
      <c r="F3572" s="129" t="s">
        <v>5670</v>
      </c>
      <c r="G3572" s="128" t="s">
        <v>400</v>
      </c>
      <c r="H3572" s="129" t="str">
        <f ca="1">IF(Proc[[#This Row],[type]]="LFF (MDG-F)",MID(Proc[[#This Row],[Obj]],13,10),"")</f>
        <v/>
      </c>
      <c r="J3572" s="129" t="b">
        <f ca="1">Proc[[#This Row],[Requested]]=Proc[[#This Row],[CurrentParent]]</f>
        <v>1</v>
      </c>
      <c r="K3572" s="129" t="str">
        <f ca="1"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18</v>
      </c>
      <c r="R3572" s="115" t="s">
        <v>515</v>
      </c>
      <c r="S3572" s="129"/>
    </row>
    <row r="3573" spans="1:19" hidden="1">
      <c r="A3573" s="128" t="s">
        <v>5671</v>
      </c>
      <c r="B3573" s="138" t="str">
        <f ca="1">IFERROR(VLOOKUP(Proc[[#This Row],[App]],Table2[],3,0),"open")</f>
        <v>ok</v>
      </c>
      <c r="C3573" s="128" t="s">
        <v>369</v>
      </c>
      <c r="D3573" t="s">
        <v>5661</v>
      </c>
      <c r="E3573" t="s">
        <v>5670</v>
      </c>
      <c r="F3573" s="129" t="s">
        <v>5670</v>
      </c>
      <c r="G3573" s="128" t="s">
        <v>400</v>
      </c>
      <c r="H3573" s="129" t="str">
        <f ca="1">IF(Proc[[#This Row],[type]]="LFF (MDG-F)",MID(Proc[[#This Row],[Obj]],13,10),"")</f>
        <v/>
      </c>
      <c r="J3573" s="129" t="b">
        <f ca="1">Proc[[#This Row],[Requested]]=Proc[[#This Row],[CurrentParent]]</f>
        <v>1</v>
      </c>
      <c r="K3573" s="129" t="str">
        <f ca="1"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18</v>
      </c>
      <c r="R3573" s="115" t="s">
        <v>515</v>
      </c>
      <c r="S3573" s="129"/>
    </row>
    <row r="3574" spans="1:19" hidden="1">
      <c r="A3574" s="128" t="s">
        <v>5671</v>
      </c>
      <c r="B3574" s="138" t="str">
        <f ca="1">IFERROR(VLOOKUP(Proc[[#This Row],[App]],Table2[],3,0),"open")</f>
        <v>ok</v>
      </c>
      <c r="C3574" s="128" t="s">
        <v>369</v>
      </c>
      <c r="D3574" t="s">
        <v>5662</v>
      </c>
      <c r="E3574" t="s">
        <v>5670</v>
      </c>
      <c r="F3574" s="129" t="s">
        <v>5670</v>
      </c>
      <c r="G3574" s="128" t="s">
        <v>400</v>
      </c>
      <c r="H3574" s="129" t="str">
        <f ca="1">IF(Proc[[#This Row],[type]]="LFF (MDG-F)",MID(Proc[[#This Row],[Obj]],13,10),"")</f>
        <v/>
      </c>
      <c r="J3574" s="129" t="b">
        <f ca="1">Proc[[#This Row],[Requested]]=Proc[[#This Row],[CurrentParent]]</f>
        <v>1</v>
      </c>
      <c r="K3574" s="129" t="str">
        <f ca="1"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18</v>
      </c>
      <c r="R3574" s="115" t="s">
        <v>515</v>
      </c>
      <c r="S3574" s="129"/>
    </row>
    <row r="3575" spans="1:19" hidden="1">
      <c r="A3575" s="128" t="s">
        <v>5671</v>
      </c>
      <c r="B3575" s="138" t="str">
        <f ca="1">IFERROR(VLOOKUP(Proc[[#This Row],[App]],Table2[],3,0),"open")</f>
        <v>ok</v>
      </c>
      <c r="C3575" s="128" t="s">
        <v>369</v>
      </c>
      <c r="D3575" t="s">
        <v>5663</v>
      </c>
      <c r="E3575" t="s">
        <v>5670</v>
      </c>
      <c r="F3575" s="129" t="s">
        <v>5670</v>
      </c>
      <c r="G3575" s="128" t="s">
        <v>400</v>
      </c>
      <c r="H3575" s="129" t="str">
        <f ca="1">IF(Proc[[#This Row],[type]]="LFF (MDG-F)",MID(Proc[[#This Row],[Obj]],13,10),"")</f>
        <v/>
      </c>
      <c r="J3575" s="129" t="b">
        <f ca="1">Proc[[#This Row],[Requested]]=Proc[[#This Row],[CurrentParent]]</f>
        <v>1</v>
      </c>
      <c r="K3575" s="129" t="str">
        <f ca="1"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18</v>
      </c>
      <c r="R3575" s="115" t="s">
        <v>515</v>
      </c>
      <c r="S3575" s="129"/>
    </row>
    <row r="3576" spans="1:19" hidden="1">
      <c r="A3576" s="128" t="s">
        <v>5671</v>
      </c>
      <c r="B3576" s="138" t="str">
        <f ca="1">IFERROR(VLOOKUP(Proc[[#This Row],[App]],Table2[],3,0),"open")</f>
        <v>ok</v>
      </c>
      <c r="C3576" s="128" t="s">
        <v>369</v>
      </c>
      <c r="D3576" t="s">
        <v>5664</v>
      </c>
      <c r="E3576" t="s">
        <v>5670</v>
      </c>
      <c r="F3576" s="129" t="s">
        <v>5670</v>
      </c>
      <c r="G3576" s="128" t="s">
        <v>400</v>
      </c>
      <c r="H3576" s="129" t="str">
        <f ca="1">IF(Proc[[#This Row],[type]]="LFF (MDG-F)",MID(Proc[[#This Row],[Obj]],13,10),"")</f>
        <v/>
      </c>
      <c r="J3576" s="129" t="b">
        <f ca="1">Proc[[#This Row],[Requested]]=Proc[[#This Row],[CurrentParent]]</f>
        <v>1</v>
      </c>
      <c r="K3576" s="129" t="str">
        <f ca="1"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18</v>
      </c>
      <c r="R3576" s="115" t="s">
        <v>515</v>
      </c>
      <c r="S3576" s="129"/>
    </row>
    <row r="3577" spans="1:19" hidden="1">
      <c r="A3577" s="128" t="s">
        <v>5671</v>
      </c>
      <c r="B3577" s="138" t="str">
        <f ca="1">IFERROR(VLOOKUP(Proc[[#This Row],[App]],Table2[],3,0),"open")</f>
        <v>ok</v>
      </c>
      <c r="C3577" s="128" t="s">
        <v>369</v>
      </c>
      <c r="D3577" t="s">
        <v>5665</v>
      </c>
      <c r="E3577" t="s">
        <v>5670</v>
      </c>
      <c r="F3577" s="129" t="s">
        <v>5670</v>
      </c>
      <c r="G3577" s="128" t="s">
        <v>400</v>
      </c>
      <c r="H3577" s="129" t="str">
        <f ca="1">IF(Proc[[#This Row],[type]]="LFF (MDG-F)",MID(Proc[[#This Row],[Obj]],13,10),"")</f>
        <v/>
      </c>
      <c r="J3577" s="129" t="b">
        <f ca="1">Proc[[#This Row],[Requested]]=Proc[[#This Row],[CurrentParent]]</f>
        <v>1</v>
      </c>
      <c r="K3577" s="129" t="str">
        <f ca="1"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18</v>
      </c>
      <c r="R3577" s="115" t="s">
        <v>515</v>
      </c>
      <c r="S3577" s="129"/>
    </row>
    <row r="3578" spans="1:19" hidden="1">
      <c r="A3578" s="128" t="s">
        <v>5671</v>
      </c>
      <c r="B3578" s="138" t="str">
        <f ca="1">IFERROR(VLOOKUP(Proc[[#This Row],[App]],Table2[],3,0),"open")</f>
        <v>ok</v>
      </c>
      <c r="C3578" s="128" t="s">
        <v>369</v>
      </c>
      <c r="D3578" t="s">
        <v>5666</v>
      </c>
      <c r="E3578" t="s">
        <v>5670</v>
      </c>
      <c r="F3578" s="129" t="s">
        <v>5670</v>
      </c>
      <c r="G3578" s="128" t="s">
        <v>400</v>
      </c>
      <c r="H3578" s="129" t="str">
        <f ca="1">IF(Proc[[#This Row],[type]]="LFF (MDG-F)",MID(Proc[[#This Row],[Obj]],13,10),"")</f>
        <v/>
      </c>
      <c r="J3578" s="129" t="b">
        <f ca="1">Proc[[#This Row],[Requested]]=Proc[[#This Row],[CurrentParent]]</f>
        <v>1</v>
      </c>
      <c r="K3578" s="129" t="str">
        <f ca="1"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18</v>
      </c>
      <c r="R3578" s="115" t="s">
        <v>515</v>
      </c>
      <c r="S3578" s="129"/>
    </row>
    <row r="3579" spans="1:19" hidden="1">
      <c r="A3579" s="128" t="s">
        <v>5671</v>
      </c>
      <c r="B3579" s="138" t="str">
        <f ca="1">IFERROR(VLOOKUP(Proc[[#This Row],[App]],Table2[],3,0),"open")</f>
        <v>ok</v>
      </c>
      <c r="C3579" s="128" t="s">
        <v>369</v>
      </c>
      <c r="D3579" t="s">
        <v>5667</v>
      </c>
      <c r="E3579" t="s">
        <v>5670</v>
      </c>
      <c r="F3579" s="129" t="s">
        <v>5670</v>
      </c>
      <c r="G3579" s="128" t="s">
        <v>400</v>
      </c>
      <c r="H3579" s="129" t="str">
        <f ca="1">IF(Proc[[#This Row],[type]]="LFF (MDG-F)",MID(Proc[[#This Row],[Obj]],13,10),"")</f>
        <v/>
      </c>
      <c r="J3579" s="129" t="b">
        <f ca="1">Proc[[#This Row],[Requested]]=Proc[[#This Row],[CurrentParent]]</f>
        <v>1</v>
      </c>
      <c r="K3579" s="129" t="str">
        <f ca="1"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18</v>
      </c>
      <c r="R3579" s="115" t="s">
        <v>515</v>
      </c>
      <c r="S3579" s="129"/>
    </row>
    <row r="3580" spans="1:19" hidden="1">
      <c r="A3580" s="128" t="s">
        <v>5671</v>
      </c>
      <c r="B3580" s="138" t="str">
        <f ca="1">IFERROR(VLOOKUP(Proc[[#This Row],[App]],Table2[],3,0),"open")</f>
        <v>ok</v>
      </c>
      <c r="C3580" s="128" t="s">
        <v>369</v>
      </c>
      <c r="D3580" t="s">
        <v>5668</v>
      </c>
      <c r="E3580" t="s">
        <v>5670</v>
      </c>
      <c r="F3580" s="129" t="s">
        <v>5670</v>
      </c>
      <c r="G3580" s="128" t="s">
        <v>400</v>
      </c>
      <c r="H3580" s="129" t="str">
        <f ca="1">IF(Proc[[#This Row],[type]]="LFF (MDG-F)",MID(Proc[[#This Row],[Obj]],13,10),"")</f>
        <v/>
      </c>
      <c r="J3580" s="129" t="b">
        <f ca="1">Proc[[#This Row],[Requested]]=Proc[[#This Row],[CurrentParent]]</f>
        <v>1</v>
      </c>
      <c r="K3580" s="129" t="str">
        <f ca="1"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18</v>
      </c>
      <c r="R3580" s="115" t="s">
        <v>515</v>
      </c>
      <c r="S3580" s="129"/>
    </row>
    <row r="3581" spans="1:19" hidden="1">
      <c r="A3581" s="128" t="s">
        <v>5671</v>
      </c>
      <c r="B3581" s="138" t="str">
        <f ca="1">IFERROR(VLOOKUP(Proc[[#This Row],[App]],Table2[],3,0),"open")</f>
        <v>ok</v>
      </c>
      <c r="C3581" s="128" t="s">
        <v>369</v>
      </c>
      <c r="D3581" t="s">
        <v>5669</v>
      </c>
      <c r="E3581" t="s">
        <v>5670</v>
      </c>
      <c r="F3581" s="129" t="s">
        <v>5670</v>
      </c>
      <c r="G3581" s="128" t="s">
        <v>400</v>
      </c>
      <c r="H3581" s="129" t="str">
        <f ca="1">IF(Proc[[#This Row],[type]]="LFF (MDG-F)",MID(Proc[[#This Row],[Obj]],13,10),"")</f>
        <v/>
      </c>
      <c r="J3581" s="129" t="b">
        <f ca="1">Proc[[#This Row],[Requested]]=Proc[[#This Row],[CurrentParent]]</f>
        <v>1</v>
      </c>
      <c r="K3581" s="129" t="str">
        <f ca="1"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18</v>
      </c>
      <c r="R3581" s="115" t="s">
        <v>515</v>
      </c>
      <c r="S3581" s="129"/>
    </row>
    <row r="3582" spans="1:19" hidden="1">
      <c r="A3582" t="s">
        <v>5672</v>
      </c>
      <c r="B3582" s="138" t="str">
        <f ca="1">IFERROR(VLOOKUP(Proc[[#This Row],[App]],Table2[],3,0),"open")</f>
        <v>ok</v>
      </c>
      <c r="C3582" s="128" t="s">
        <v>369</v>
      </c>
      <c r="D3582" t="s">
        <v>5701</v>
      </c>
      <c r="E3582" t="s">
        <v>5673</v>
      </c>
      <c r="F3582" s="129" t="s">
        <v>5673</v>
      </c>
      <c r="G3582" s="128" t="s">
        <v>400</v>
      </c>
      <c r="H3582" s="129" t="str">
        <f ca="1">IF(Proc[[#This Row],[type]]="LFF (MDG-F)",MID(Proc[[#This Row],[Obj]],13,10),"")</f>
        <v/>
      </c>
      <c r="J3582" s="129" t="b">
        <f ca="1">Proc[[#This Row],[Requested]]=Proc[[#This Row],[CurrentParent]]</f>
        <v>1</v>
      </c>
      <c r="K3582" s="129" t="str">
        <f ca="1"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18</v>
      </c>
      <c r="R3582" s="115" t="s">
        <v>1262</v>
      </c>
      <c r="S3582" s="129"/>
    </row>
    <row r="3583" spans="1:19" hidden="1">
      <c r="A3583" t="s">
        <v>5674</v>
      </c>
      <c r="B3583" s="138" t="str">
        <f ca="1">IFERROR(VLOOKUP(Proc[[#This Row],[App]],Table2[],3,0),"open")</f>
        <v>ok</v>
      </c>
      <c r="C3583" s="128" t="s">
        <v>369</v>
      </c>
      <c r="D3583" t="s">
        <v>5675</v>
      </c>
      <c r="E3583" t="s">
        <v>5681</v>
      </c>
      <c r="F3583" s="129" t="s">
        <v>5681</v>
      </c>
      <c r="G3583" t="s">
        <v>400</v>
      </c>
      <c r="H3583" s="129" t="str">
        <f ca="1">IF(Proc[[#This Row],[type]]="LFF (MDG-F)",MID(Proc[[#This Row],[Obj]],13,10),"")</f>
        <v/>
      </c>
      <c r="J3583" s="129" t="b">
        <f ca="1">Proc[[#This Row],[Requested]]=Proc[[#This Row],[CurrentParent]]</f>
        <v>1</v>
      </c>
      <c r="K3583" s="129" t="str">
        <f ca="1"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17</v>
      </c>
      <c r="R3583" s="130" t="s">
        <v>5684</v>
      </c>
      <c r="S3583" s="129"/>
    </row>
    <row r="3584" spans="1:19" hidden="1">
      <c r="A3584" s="128" t="s">
        <v>5674</v>
      </c>
      <c r="B3584" s="138" t="str">
        <f ca="1">IFERROR(VLOOKUP(Proc[[#This Row],[App]],Table2[],3,0),"open")</f>
        <v>ok</v>
      </c>
      <c r="C3584" s="128" t="s">
        <v>369</v>
      </c>
      <c r="D3584" t="s">
        <v>5676</v>
      </c>
      <c r="E3584" t="s">
        <v>5682</v>
      </c>
      <c r="F3584" s="129" t="s">
        <v>5682</v>
      </c>
      <c r="G3584" s="128" t="s">
        <v>400</v>
      </c>
      <c r="H3584" s="129" t="str">
        <f ca="1">IF(Proc[[#This Row],[type]]="LFF (MDG-F)",MID(Proc[[#This Row],[Obj]],13,10),"")</f>
        <v/>
      </c>
      <c r="J3584" s="129" t="b">
        <f ca="1">Proc[[#This Row],[Requested]]=Proc[[#This Row],[CurrentParent]]</f>
        <v>1</v>
      </c>
      <c r="K3584" s="129" t="str">
        <f ca="1"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17</v>
      </c>
      <c r="R3584" s="130" t="s">
        <v>5684</v>
      </c>
      <c r="S3584" s="129"/>
    </row>
    <row r="3585" spans="1:19" hidden="1">
      <c r="A3585" s="128" t="s">
        <v>5674</v>
      </c>
      <c r="B3585" s="138" t="str">
        <f ca="1">IFERROR(VLOOKUP(Proc[[#This Row],[App]],Table2[],3,0),"open")</f>
        <v>ok</v>
      </c>
      <c r="C3585" s="128" t="s">
        <v>369</v>
      </c>
      <c r="D3585" t="s">
        <v>5677</v>
      </c>
      <c r="E3585" t="s">
        <v>5682</v>
      </c>
      <c r="F3585" s="129" t="s">
        <v>5682</v>
      </c>
      <c r="G3585" s="128" t="s">
        <v>400</v>
      </c>
      <c r="H3585" s="129" t="str">
        <f ca="1">IF(Proc[[#This Row],[type]]="LFF (MDG-F)",MID(Proc[[#This Row],[Obj]],13,10),"")</f>
        <v/>
      </c>
      <c r="J3585" s="129" t="b">
        <f ca="1">Proc[[#This Row],[Requested]]=Proc[[#This Row],[CurrentParent]]</f>
        <v>1</v>
      </c>
      <c r="K3585" s="129" t="str">
        <f ca="1"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17</v>
      </c>
      <c r="R3585" s="130" t="s">
        <v>5684</v>
      </c>
      <c r="S3585" s="129"/>
    </row>
    <row r="3586" spans="1:19" hidden="1">
      <c r="A3586" s="128" t="s">
        <v>5674</v>
      </c>
      <c r="B3586" s="138" t="str">
        <f ca="1">IFERROR(VLOOKUP(Proc[[#This Row],[App]],Table2[],3,0),"open")</f>
        <v>ok</v>
      </c>
      <c r="C3586" s="128" t="s">
        <v>369</v>
      </c>
      <c r="D3586" t="s">
        <v>5678</v>
      </c>
      <c r="E3586" t="s">
        <v>5683</v>
      </c>
      <c r="F3586" s="129" t="s">
        <v>5683</v>
      </c>
      <c r="G3586" s="128" t="s">
        <v>400</v>
      </c>
      <c r="H3586" s="129" t="str">
        <f ca="1">IF(Proc[[#This Row],[type]]="LFF (MDG-F)",MID(Proc[[#This Row],[Obj]],13,10),"")</f>
        <v/>
      </c>
      <c r="J3586" s="129" t="b">
        <f ca="1">Proc[[#This Row],[Requested]]=Proc[[#This Row],[CurrentParent]]</f>
        <v>1</v>
      </c>
      <c r="K3586" s="129" t="str">
        <f ca="1"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17</v>
      </c>
      <c r="R3586" s="130" t="s">
        <v>5684</v>
      </c>
      <c r="S3586" s="129"/>
    </row>
    <row r="3587" spans="1:19" hidden="1">
      <c r="A3587" s="128" t="s">
        <v>5674</v>
      </c>
      <c r="B3587" s="138" t="str">
        <f ca="1">IFERROR(VLOOKUP(Proc[[#This Row],[App]],Table2[],3,0),"open")</f>
        <v>ok</v>
      </c>
      <c r="C3587" s="128" t="s">
        <v>369</v>
      </c>
      <c r="D3587" t="s">
        <v>5679</v>
      </c>
      <c r="E3587" t="s">
        <v>5681</v>
      </c>
      <c r="F3587" s="129" t="s">
        <v>5681</v>
      </c>
      <c r="G3587" s="128" t="s">
        <v>400</v>
      </c>
      <c r="H3587" s="129" t="str">
        <f ca="1">IF(Proc[[#This Row],[type]]="LFF (MDG-F)",MID(Proc[[#This Row],[Obj]],13,10),"")</f>
        <v/>
      </c>
      <c r="J3587" s="129" t="b">
        <f ca="1">Proc[[#This Row],[Requested]]=Proc[[#This Row],[CurrentParent]]</f>
        <v>1</v>
      </c>
      <c r="K3587" s="129" t="str">
        <f ca="1"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17</v>
      </c>
      <c r="R3587" s="130" t="s">
        <v>5684</v>
      </c>
      <c r="S3587" s="129"/>
    </row>
    <row r="3588" spans="1:19" hidden="1">
      <c r="A3588" s="128" t="s">
        <v>5674</v>
      </c>
      <c r="B3588" s="138" t="str">
        <f ca="1">IFERROR(VLOOKUP(Proc[[#This Row],[App]],Table2[],3,0),"open")</f>
        <v>ok</v>
      </c>
      <c r="C3588" s="128" t="s">
        <v>369</v>
      </c>
      <c r="D3588" t="s">
        <v>5680</v>
      </c>
      <c r="E3588" t="s">
        <v>5681</v>
      </c>
      <c r="F3588" s="129" t="s">
        <v>5681</v>
      </c>
      <c r="G3588" s="128" t="s">
        <v>400</v>
      </c>
      <c r="H3588" s="129" t="str">
        <f ca="1">IF(Proc[[#This Row],[type]]="LFF (MDG-F)",MID(Proc[[#This Row],[Obj]],13,10),"")</f>
        <v/>
      </c>
      <c r="J3588" s="129" t="b">
        <f ca="1">Proc[[#This Row],[Requested]]=Proc[[#This Row],[CurrentParent]]</f>
        <v>1</v>
      </c>
      <c r="K3588" s="129" t="str">
        <f ca="1"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17</v>
      </c>
      <c r="R3588" s="130" t="s">
        <v>5684</v>
      </c>
      <c r="S3588" s="129"/>
    </row>
    <row r="3589" spans="1:19" hidden="1">
      <c r="A3589" t="s">
        <v>5685</v>
      </c>
      <c r="B3589" s="138" t="str">
        <f ca="1">IFERROR(VLOOKUP(Proc[[#This Row],[App]],Table2[],3,0),"open")</f>
        <v>ok</v>
      </c>
      <c r="C3589" s="128" t="s">
        <v>369</v>
      </c>
      <c r="D3589" t="s">
        <v>5686</v>
      </c>
      <c r="E3589" t="s">
        <v>2161</v>
      </c>
      <c r="F3589" s="129" t="s">
        <v>2161</v>
      </c>
      <c r="G3589" s="128" t="s">
        <v>400</v>
      </c>
      <c r="H3589" s="129" t="str">
        <f ca="1">IF(Proc[[#This Row],[type]]="LFF (MDG-F)",MID(Proc[[#This Row],[Obj]],13,10),"")</f>
        <v/>
      </c>
      <c r="J3589" s="129" t="b">
        <f ca="1">Proc[[#This Row],[Requested]]=Proc[[#This Row],[CurrentParent]]</f>
        <v>1</v>
      </c>
      <c r="K3589" s="129" t="str">
        <f ca="1"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17</v>
      </c>
      <c r="R3589" s="130" t="s">
        <v>5684</v>
      </c>
      <c r="S3589" s="129"/>
    </row>
    <row r="3590" spans="1:19" hidden="1">
      <c r="A3590" s="128" t="s">
        <v>5685</v>
      </c>
      <c r="B3590" s="138" t="str">
        <f ca="1">IFERROR(VLOOKUP(Proc[[#This Row],[App]],Table2[],3,0),"open")</f>
        <v>ok</v>
      </c>
      <c r="C3590" s="128" t="s">
        <v>369</v>
      </c>
      <c r="D3590" t="s">
        <v>5687</v>
      </c>
      <c r="E3590" t="s">
        <v>2161</v>
      </c>
      <c r="F3590" s="129" t="s">
        <v>2161</v>
      </c>
      <c r="G3590" s="128" t="s">
        <v>400</v>
      </c>
      <c r="H3590" s="129" t="str">
        <f ca="1">IF(Proc[[#This Row],[type]]="LFF (MDG-F)",MID(Proc[[#This Row],[Obj]],13,10),"")</f>
        <v/>
      </c>
      <c r="J3590" s="129" t="b">
        <f ca="1">Proc[[#This Row],[Requested]]=Proc[[#This Row],[CurrentParent]]</f>
        <v>1</v>
      </c>
      <c r="K3590" s="129" t="str">
        <f ca="1"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17</v>
      </c>
      <c r="R3590" s="130" t="s">
        <v>5684</v>
      </c>
      <c r="S3590" s="129"/>
    </row>
    <row r="3591" spans="1:19" hidden="1">
      <c r="A3591" s="128" t="s">
        <v>5685</v>
      </c>
      <c r="B3591" s="138" t="str">
        <f ca="1">IFERROR(VLOOKUP(Proc[[#This Row],[App]],Table2[],3,0),"open")</f>
        <v>ok</v>
      </c>
      <c r="C3591" s="128" t="s">
        <v>369</v>
      </c>
      <c r="D3591" t="s">
        <v>5688</v>
      </c>
      <c r="E3591" t="s">
        <v>2161</v>
      </c>
      <c r="F3591" s="129" t="s">
        <v>2161</v>
      </c>
      <c r="G3591" s="128" t="s">
        <v>400</v>
      </c>
      <c r="H3591" s="129" t="str">
        <f ca="1">IF(Proc[[#This Row],[type]]="LFF (MDG-F)",MID(Proc[[#This Row],[Obj]],13,10),"")</f>
        <v/>
      </c>
      <c r="J3591" s="129" t="b">
        <f ca="1">Proc[[#This Row],[Requested]]=Proc[[#This Row],[CurrentParent]]</f>
        <v>1</v>
      </c>
      <c r="K3591" s="129" t="str">
        <f ca="1"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17</v>
      </c>
      <c r="R3591" s="130" t="s">
        <v>5684</v>
      </c>
      <c r="S3591" s="129"/>
    </row>
    <row r="3592" spans="1:19" hidden="1">
      <c r="A3592" s="128" t="s">
        <v>5685</v>
      </c>
      <c r="B3592" s="138" t="str">
        <f ca="1">IFERROR(VLOOKUP(Proc[[#This Row],[App]],Table2[],3,0),"open")</f>
        <v>ok</v>
      </c>
      <c r="C3592" s="128" t="s">
        <v>369</v>
      </c>
      <c r="D3592" t="s">
        <v>5689</v>
      </c>
      <c r="E3592" t="s">
        <v>2161</v>
      </c>
      <c r="F3592" s="129" t="s">
        <v>2161</v>
      </c>
      <c r="G3592" s="128" t="s">
        <v>400</v>
      </c>
      <c r="H3592" s="129" t="str">
        <f ca="1">IF(Proc[[#This Row],[type]]="LFF (MDG-F)",MID(Proc[[#This Row],[Obj]],13,10),"")</f>
        <v/>
      </c>
      <c r="J3592" s="129" t="b">
        <f ca="1">Proc[[#This Row],[Requested]]=Proc[[#This Row],[CurrentParent]]</f>
        <v>1</v>
      </c>
      <c r="K3592" s="129" t="str">
        <f ca="1"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17</v>
      </c>
      <c r="R3592" s="130" t="s">
        <v>5684</v>
      </c>
      <c r="S3592" s="129"/>
    </row>
    <row r="3593" spans="1:19" hidden="1">
      <c r="A3593" s="128" t="s">
        <v>5685</v>
      </c>
      <c r="B3593" s="138" t="str">
        <f ca="1">IFERROR(VLOOKUP(Proc[[#This Row],[App]],Table2[],3,0),"open")</f>
        <v>ok</v>
      </c>
      <c r="C3593" s="128" t="s">
        <v>369</v>
      </c>
      <c r="D3593" t="s">
        <v>5690</v>
      </c>
      <c r="E3593" t="s">
        <v>2161</v>
      </c>
      <c r="F3593" s="129" t="s">
        <v>2161</v>
      </c>
      <c r="G3593" s="128" t="s">
        <v>400</v>
      </c>
      <c r="H3593" s="129" t="str">
        <f ca="1">IF(Proc[[#This Row],[type]]="LFF (MDG-F)",MID(Proc[[#This Row],[Obj]],13,10),"")</f>
        <v/>
      </c>
      <c r="J3593" s="129" t="b">
        <f ca="1">Proc[[#This Row],[Requested]]=Proc[[#This Row],[CurrentParent]]</f>
        <v>1</v>
      </c>
      <c r="K3593" s="129" t="str">
        <f ca="1"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17</v>
      </c>
      <c r="R3593" s="130" t="s">
        <v>5684</v>
      </c>
      <c r="S3593" s="129"/>
    </row>
    <row r="3594" spans="1:19" hidden="1">
      <c r="A3594" s="128" t="s">
        <v>5685</v>
      </c>
      <c r="B3594" s="138" t="str">
        <f ca="1">IFERROR(VLOOKUP(Proc[[#This Row],[App]],Table2[],3,0),"open")</f>
        <v>ok</v>
      </c>
      <c r="C3594" s="128" t="s">
        <v>369</v>
      </c>
      <c r="D3594" t="s">
        <v>5691</v>
      </c>
      <c r="E3594" t="s">
        <v>2161</v>
      </c>
      <c r="F3594" s="129" t="s">
        <v>2161</v>
      </c>
      <c r="G3594" s="128" t="s">
        <v>400</v>
      </c>
      <c r="H3594" s="129" t="str">
        <f ca="1">IF(Proc[[#This Row],[type]]="LFF (MDG-F)",MID(Proc[[#This Row],[Obj]],13,10),"")</f>
        <v/>
      </c>
      <c r="J3594" s="129" t="b">
        <f ca="1">Proc[[#This Row],[Requested]]=Proc[[#This Row],[CurrentParent]]</f>
        <v>1</v>
      </c>
      <c r="K3594" s="129" t="str">
        <f ca="1"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17</v>
      </c>
      <c r="R3594" s="130" t="s">
        <v>5684</v>
      </c>
      <c r="S3594" s="129"/>
    </row>
    <row r="3595" spans="1:19" hidden="1">
      <c r="A3595" s="128" t="s">
        <v>5685</v>
      </c>
      <c r="B3595" s="138" t="str">
        <f ca="1">IFERROR(VLOOKUP(Proc[[#This Row],[App]],Table2[],3,0),"open")</f>
        <v>ok</v>
      </c>
      <c r="C3595" s="128" t="s">
        <v>369</v>
      </c>
      <c r="D3595" t="s">
        <v>5692</v>
      </c>
      <c r="E3595" t="s">
        <v>2161</v>
      </c>
      <c r="F3595" s="129" t="s">
        <v>2161</v>
      </c>
      <c r="G3595" s="128" t="s">
        <v>400</v>
      </c>
      <c r="H3595" s="129" t="str">
        <f ca="1">IF(Proc[[#This Row],[type]]="LFF (MDG-F)",MID(Proc[[#This Row],[Obj]],13,10),"")</f>
        <v/>
      </c>
      <c r="J3595" s="129" t="b">
        <f ca="1">Proc[[#This Row],[Requested]]=Proc[[#This Row],[CurrentParent]]</f>
        <v>1</v>
      </c>
      <c r="K3595" s="129" t="str">
        <f ca="1"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17</v>
      </c>
      <c r="R3595" s="130" t="s">
        <v>5684</v>
      </c>
      <c r="S3595" s="129"/>
    </row>
    <row r="3596" spans="1:19" hidden="1">
      <c r="A3596" s="128" t="s">
        <v>5685</v>
      </c>
      <c r="B3596" s="138" t="str">
        <f ca="1">IFERROR(VLOOKUP(Proc[[#This Row],[App]],Table2[],3,0),"open")</f>
        <v>ok</v>
      </c>
      <c r="C3596" s="128" t="s">
        <v>369</v>
      </c>
      <c r="D3596" t="s">
        <v>5693</v>
      </c>
      <c r="E3596" t="s">
        <v>2161</v>
      </c>
      <c r="F3596" s="129" t="s">
        <v>2161</v>
      </c>
      <c r="G3596" s="128" t="s">
        <v>400</v>
      </c>
      <c r="H3596" s="129" t="str">
        <f ca="1">IF(Proc[[#This Row],[type]]="LFF (MDG-F)",MID(Proc[[#This Row],[Obj]],13,10),"")</f>
        <v/>
      </c>
      <c r="J3596" s="129" t="b">
        <f ca="1">Proc[[#This Row],[Requested]]=Proc[[#This Row],[CurrentParent]]</f>
        <v>1</v>
      </c>
      <c r="K3596" s="129" t="str">
        <f ca="1"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17</v>
      </c>
      <c r="R3596" s="130" t="s">
        <v>5684</v>
      </c>
      <c r="S3596" s="129"/>
    </row>
    <row r="3597" spans="1:19" hidden="1">
      <c r="A3597" s="128" t="s">
        <v>5685</v>
      </c>
      <c r="B3597" s="138" t="str">
        <f ca="1">IFERROR(VLOOKUP(Proc[[#This Row],[App]],Table2[],3,0),"open")</f>
        <v>ok</v>
      </c>
      <c r="C3597" s="128" t="s">
        <v>369</v>
      </c>
      <c r="D3597" t="s">
        <v>5694</v>
      </c>
      <c r="E3597" t="s">
        <v>2161</v>
      </c>
      <c r="F3597" s="129" t="s">
        <v>2161</v>
      </c>
      <c r="G3597" s="128" t="s">
        <v>400</v>
      </c>
      <c r="H3597" s="129" t="str">
        <f ca="1">IF(Proc[[#This Row],[type]]="LFF (MDG-F)",MID(Proc[[#This Row],[Obj]],13,10),"")</f>
        <v/>
      </c>
      <c r="J3597" s="129" t="b">
        <f ca="1">Proc[[#This Row],[Requested]]=Proc[[#This Row],[CurrentParent]]</f>
        <v>1</v>
      </c>
      <c r="K3597" s="129" t="str">
        <f ca="1"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17</v>
      </c>
      <c r="R3597" s="130" t="s">
        <v>5684</v>
      </c>
      <c r="S3597" s="129"/>
    </row>
    <row r="3598" spans="1:19" hidden="1">
      <c r="A3598" s="128" t="s">
        <v>5685</v>
      </c>
      <c r="B3598" s="138" t="str">
        <f ca="1">IFERROR(VLOOKUP(Proc[[#This Row],[App]],Table2[],3,0),"open")</f>
        <v>ok</v>
      </c>
      <c r="C3598" s="128" t="s">
        <v>369</v>
      </c>
      <c r="D3598" t="s">
        <v>5695</v>
      </c>
      <c r="E3598" t="s">
        <v>2161</v>
      </c>
      <c r="F3598" s="129" t="s">
        <v>2161</v>
      </c>
      <c r="G3598" s="128" t="s">
        <v>400</v>
      </c>
      <c r="H3598" s="129" t="str">
        <f ca="1">IF(Proc[[#This Row],[type]]="LFF (MDG-F)",MID(Proc[[#This Row],[Obj]],13,10),"")</f>
        <v/>
      </c>
      <c r="J3598" s="129" t="b">
        <f ca="1">Proc[[#This Row],[Requested]]=Proc[[#This Row],[CurrentParent]]</f>
        <v>1</v>
      </c>
      <c r="K3598" s="129" t="str">
        <f ca="1"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17</v>
      </c>
      <c r="R3598" s="130" t="s">
        <v>5684</v>
      </c>
      <c r="S3598" s="129"/>
    </row>
    <row r="3599" spans="1:19" hidden="1">
      <c r="A3599" s="128" t="s">
        <v>5685</v>
      </c>
      <c r="B3599" s="138" t="str">
        <f ca="1">IFERROR(VLOOKUP(Proc[[#This Row],[App]],Table2[],3,0),"open")</f>
        <v>ok</v>
      </c>
      <c r="C3599" s="128" t="s">
        <v>369</v>
      </c>
      <c r="D3599" t="s">
        <v>5696</v>
      </c>
      <c r="E3599" t="s">
        <v>2161</v>
      </c>
      <c r="F3599" s="129" t="s">
        <v>2161</v>
      </c>
      <c r="G3599" s="128" t="s">
        <v>400</v>
      </c>
      <c r="H3599" s="129" t="str">
        <f ca="1">IF(Proc[[#This Row],[type]]="LFF (MDG-F)",MID(Proc[[#This Row],[Obj]],13,10),"")</f>
        <v/>
      </c>
      <c r="J3599" s="129" t="b">
        <f ca="1">Proc[[#This Row],[Requested]]=Proc[[#This Row],[CurrentParent]]</f>
        <v>1</v>
      </c>
      <c r="K3599" s="129" t="str">
        <f ca="1"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17</v>
      </c>
      <c r="R3599" s="130" t="s">
        <v>5684</v>
      </c>
      <c r="S3599" s="129"/>
    </row>
    <row r="3600" spans="1:19" hidden="1">
      <c r="A3600" s="128" t="s">
        <v>5685</v>
      </c>
      <c r="B3600" s="138" t="str">
        <f ca="1">IFERROR(VLOOKUP(Proc[[#This Row],[App]],Table2[],3,0),"open")</f>
        <v>ok</v>
      </c>
      <c r="C3600" s="128" t="s">
        <v>369</v>
      </c>
      <c r="D3600" t="s">
        <v>5697</v>
      </c>
      <c r="E3600" t="s">
        <v>2161</v>
      </c>
      <c r="F3600" s="129" t="s">
        <v>2161</v>
      </c>
      <c r="G3600" s="128" t="s">
        <v>400</v>
      </c>
      <c r="H3600" s="129" t="str">
        <f ca="1">IF(Proc[[#This Row],[type]]="LFF (MDG-F)",MID(Proc[[#This Row],[Obj]],13,10),"")</f>
        <v/>
      </c>
      <c r="J3600" s="129" t="b">
        <f ca="1">Proc[[#This Row],[Requested]]=Proc[[#This Row],[CurrentParent]]</f>
        <v>1</v>
      </c>
      <c r="K3600" s="129" t="str">
        <f ca="1"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17</v>
      </c>
      <c r="R3600" s="130" t="s">
        <v>5684</v>
      </c>
      <c r="S3600" s="129"/>
    </row>
    <row r="3601" spans="1:19" hidden="1">
      <c r="A3601" t="s">
        <v>5698</v>
      </c>
      <c r="B3601" s="138" t="str">
        <f ca="1">IFERROR(VLOOKUP(Proc[[#This Row],[App]],Table2[],3,0),"open")</f>
        <v>ok</v>
      </c>
      <c r="C3601" s="128" t="s">
        <v>369</v>
      </c>
      <c r="D3601" t="s">
        <v>5699</v>
      </c>
      <c r="E3601" t="s">
        <v>5700</v>
      </c>
      <c r="F3601" s="129" t="s">
        <v>5700</v>
      </c>
      <c r="G3601" s="128" t="s">
        <v>400</v>
      </c>
      <c r="H3601" s="129" t="str">
        <f ca="1">IF(Proc[[#This Row],[type]]="LFF (MDG-F)",MID(Proc[[#This Row],[Obj]],13,10),"")</f>
        <v/>
      </c>
      <c r="J3601" s="129" t="b">
        <f ca="1">Proc[[#This Row],[Requested]]=Proc[[#This Row],[CurrentParent]]</f>
        <v>1</v>
      </c>
      <c r="K3601" s="129" t="str">
        <f ca="1"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17</v>
      </c>
      <c r="R3601" s="130" t="s">
        <v>5684</v>
      </c>
      <c r="S3601" s="129"/>
    </row>
    <row r="3602" spans="1:19" hidden="1">
      <c r="A3602" t="s">
        <v>5702</v>
      </c>
      <c r="B3602" s="138" t="str">
        <f ca="1">IFERROR(VLOOKUP(Proc[[#This Row],[App]],Table2[],3,0),"open")</f>
        <v>ok</v>
      </c>
      <c r="C3602" s="133" t="s">
        <v>369</v>
      </c>
      <c r="D3602" t="s">
        <v>5704</v>
      </c>
      <c r="E3602" t="s">
        <v>419</v>
      </c>
      <c r="F3602" s="129" t="s">
        <v>419</v>
      </c>
      <c r="G3602" s="128" t="s">
        <v>400</v>
      </c>
      <c r="H3602" s="129" t="str">
        <f ca="1">IF(Proc[[#This Row],[type]]="LFF (MDG-F)",MID(Proc[[#This Row],[Obj]],13,10),"")</f>
        <v/>
      </c>
      <c r="J3602" s="129" t="b">
        <f ca="1">Proc[[#This Row],[Requested]]=Proc[[#This Row],[CurrentParent]]</f>
        <v>1</v>
      </c>
      <c r="K3602" s="129" t="str">
        <f ca="1"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16</v>
      </c>
      <c r="R3602" s="130" t="s">
        <v>780</v>
      </c>
      <c r="S3602" s="129"/>
    </row>
    <row r="3603" spans="1:19" hidden="1">
      <c r="A3603" s="128" t="s">
        <v>5702</v>
      </c>
      <c r="B3603" s="138" t="str">
        <f ca="1">IFERROR(VLOOKUP(Proc[[#This Row],[App]],Table2[],3,0),"open")</f>
        <v>ok</v>
      </c>
      <c r="C3603" s="133" t="s">
        <v>369</v>
      </c>
      <c r="D3603" t="s">
        <v>5705</v>
      </c>
      <c r="E3603" t="s">
        <v>418</v>
      </c>
      <c r="F3603" s="129" t="s">
        <v>418</v>
      </c>
      <c r="G3603" s="128" t="s">
        <v>400</v>
      </c>
      <c r="H3603" s="129" t="str">
        <f ca="1">IF(Proc[[#This Row],[type]]="LFF (MDG-F)",MID(Proc[[#This Row],[Obj]],13,10),"")</f>
        <v/>
      </c>
      <c r="J3603" s="129" t="b">
        <f ca="1">Proc[[#This Row],[Requested]]=Proc[[#This Row],[CurrentParent]]</f>
        <v>1</v>
      </c>
      <c r="K3603" s="129" t="str">
        <f ca="1"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16</v>
      </c>
      <c r="R3603" s="130" t="s">
        <v>780</v>
      </c>
      <c r="S3603" s="129"/>
    </row>
    <row r="3604" spans="1:19" hidden="1">
      <c r="A3604" s="128" t="s">
        <v>5702</v>
      </c>
      <c r="B3604" s="138" t="str">
        <f ca="1">IFERROR(VLOOKUP(Proc[[#This Row],[App]],Table2[],3,0),"open")</f>
        <v>ok</v>
      </c>
      <c r="C3604" s="133" t="s">
        <v>369</v>
      </c>
      <c r="D3604" t="s">
        <v>5706</v>
      </c>
      <c r="E3604" t="s">
        <v>418</v>
      </c>
      <c r="F3604" s="129" t="s">
        <v>418</v>
      </c>
      <c r="G3604" s="128" t="s">
        <v>400</v>
      </c>
      <c r="H3604" s="129" t="str">
        <f ca="1">IF(Proc[[#This Row],[type]]="LFF (MDG-F)",MID(Proc[[#This Row],[Obj]],13,10),"")</f>
        <v/>
      </c>
      <c r="J3604" s="129" t="b">
        <f ca="1">Proc[[#This Row],[Requested]]=Proc[[#This Row],[CurrentParent]]</f>
        <v>1</v>
      </c>
      <c r="K3604" s="129" t="str">
        <f ca="1"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16</v>
      </c>
      <c r="R3604" s="130" t="s">
        <v>780</v>
      </c>
      <c r="S3604" s="129"/>
    </row>
    <row r="3605" spans="1:19" hidden="1">
      <c r="A3605" s="128" t="s">
        <v>5702</v>
      </c>
      <c r="B3605" s="138" t="str">
        <f ca="1">IFERROR(VLOOKUP(Proc[[#This Row],[App]],Table2[],3,0),"open")</f>
        <v>ok</v>
      </c>
      <c r="C3605" s="133" t="s">
        <v>369</v>
      </c>
      <c r="D3605" t="s">
        <v>5707</v>
      </c>
      <c r="E3605" t="s">
        <v>2430</v>
      </c>
      <c r="F3605" s="129" t="s">
        <v>2430</v>
      </c>
      <c r="G3605" s="128" t="s">
        <v>400</v>
      </c>
      <c r="H3605" s="129" t="str">
        <f ca="1">IF(Proc[[#This Row],[type]]="LFF (MDG-F)",MID(Proc[[#This Row],[Obj]],13,10),"")</f>
        <v/>
      </c>
      <c r="J3605" s="129" t="b">
        <f ca="1">Proc[[#This Row],[Requested]]=Proc[[#This Row],[CurrentParent]]</f>
        <v>1</v>
      </c>
      <c r="K3605" s="129" t="str">
        <f ca="1"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16</v>
      </c>
      <c r="R3605" s="130" t="s">
        <v>780</v>
      </c>
      <c r="S3605" s="129"/>
    </row>
    <row r="3606" spans="1:19" hidden="1">
      <c r="A3606" s="128" t="s">
        <v>5702</v>
      </c>
      <c r="B3606" s="138" t="str">
        <f ca="1">IFERROR(VLOOKUP(Proc[[#This Row],[App]],Table2[],3,0),"open")</f>
        <v>ok</v>
      </c>
      <c r="C3606" s="133" t="s">
        <v>369</v>
      </c>
      <c r="D3606" t="s">
        <v>5703</v>
      </c>
      <c r="E3606" t="s">
        <v>4133</v>
      </c>
      <c r="F3606" s="129" t="s">
        <v>4133</v>
      </c>
      <c r="G3606" s="128" t="s">
        <v>400</v>
      </c>
      <c r="H3606" s="129" t="str">
        <f ca="1">IF(Proc[[#This Row],[type]]="LFF (MDG-F)",MID(Proc[[#This Row],[Obj]],13,10),"")</f>
        <v/>
      </c>
      <c r="J3606" s="129" t="b">
        <f ca="1">Proc[[#This Row],[Requested]]=Proc[[#This Row],[CurrentParent]]</f>
        <v>1</v>
      </c>
      <c r="K3606" s="129" t="str">
        <f ca="1"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16</v>
      </c>
      <c r="R3606" s="130" t="s">
        <v>780</v>
      </c>
      <c r="S3606" s="129"/>
    </row>
    <row r="3607" spans="1:19" hidden="1">
      <c r="A3607" t="s">
        <v>5710</v>
      </c>
      <c r="B3607" s="138" t="str">
        <f ca="1">IFERROR(VLOOKUP(Proc[[#This Row],[App]],Table2[],3,0),"open")</f>
        <v>ok</v>
      </c>
      <c r="C3607" t="s">
        <v>369</v>
      </c>
      <c r="D3607" t="s">
        <v>5708</v>
      </c>
      <c r="E3607" t="s">
        <v>5709</v>
      </c>
      <c r="F3607" s="129" t="s">
        <v>5709</v>
      </c>
      <c r="G3607" t="s">
        <v>406</v>
      </c>
      <c r="H3607" s="129" t="str">
        <f ca="1">IF(Proc[[#This Row],[type]]="LFF (MDG-F)",MID(Proc[[#This Row],[Obj]],13,10),"")</f>
        <v>TW03TATA02</v>
      </c>
      <c r="J3607" s="129" t="b">
        <f ca="1">Proc[[#This Row],[Requested]]=Proc[[#This Row],[CurrentParent]]</f>
        <v>1</v>
      </c>
      <c r="K3607" s="129" t="str">
        <f ca="1"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16</v>
      </c>
      <c r="R3607" s="130" t="s">
        <v>5711</v>
      </c>
      <c r="S3607" s="129"/>
    </row>
    <row r="3608" spans="1:19" hidden="1">
      <c r="A3608" t="s">
        <v>5712</v>
      </c>
      <c r="B3608" s="138" t="str">
        <f ca="1">IFERROR(VLOOKUP(Proc[[#This Row],[App]],Table2[],3,0),"open")</f>
        <v>ok</v>
      </c>
      <c r="C3608" t="s">
        <v>369</v>
      </c>
      <c r="D3608" t="s">
        <v>5713</v>
      </c>
      <c r="E3608" t="s">
        <v>2109</v>
      </c>
      <c r="F3608" s="129" t="s">
        <v>2109</v>
      </c>
      <c r="G3608" s="128" t="s">
        <v>400</v>
      </c>
      <c r="H3608" s="129" t="str">
        <f ca="1">IF(Proc[[#This Row],[type]]="LFF (MDG-F)",MID(Proc[[#This Row],[Obj]],13,10),"")</f>
        <v/>
      </c>
      <c r="J3608" s="129" t="b">
        <f ca="1">Proc[[#This Row],[Requested]]=Proc[[#This Row],[CurrentParent]]</f>
        <v>1</v>
      </c>
      <c r="K3608" s="129" t="str">
        <f ca="1"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16</v>
      </c>
      <c r="R3608" s="130" t="s">
        <v>738</v>
      </c>
      <c r="S3608" s="129"/>
    </row>
    <row r="3609" spans="1:19" hidden="1">
      <c r="A3609" s="128" t="s">
        <v>5712</v>
      </c>
      <c r="B3609" s="138" t="str">
        <f ca="1">IFERROR(VLOOKUP(Proc[[#This Row],[App]],Table2[],3,0),"open")</f>
        <v>ok</v>
      </c>
      <c r="C3609" s="135" t="s">
        <v>369</v>
      </c>
      <c r="D3609" t="s">
        <v>5714</v>
      </c>
      <c r="E3609" t="s">
        <v>2117</v>
      </c>
      <c r="F3609" s="129" t="s">
        <v>2117</v>
      </c>
      <c r="G3609" s="128" t="s">
        <v>400</v>
      </c>
      <c r="H3609" s="129" t="str">
        <f ca="1">IF(Proc[[#This Row],[type]]="LFF (MDG-F)",MID(Proc[[#This Row],[Obj]],13,10),"")</f>
        <v/>
      </c>
      <c r="I3609" s="128"/>
      <c r="J3609" s="129" t="b">
        <f ca="1">Proc[[#This Row],[Requested]]=Proc[[#This Row],[CurrentParent]]</f>
        <v>1</v>
      </c>
      <c r="K3609" s="129" t="str">
        <f ca="1"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16</v>
      </c>
      <c r="R3609" s="130" t="s">
        <v>738</v>
      </c>
      <c r="S3609" s="129"/>
    </row>
    <row r="3610" spans="1:19" hidden="1">
      <c r="A3610" s="128" t="s">
        <v>5712</v>
      </c>
      <c r="B3610" s="138" t="str">
        <f ca="1">IFERROR(VLOOKUP(Proc[[#This Row],[App]],Table2[],3,0),"open")</f>
        <v>ok</v>
      </c>
      <c r="C3610" s="135" t="s">
        <v>369</v>
      </c>
      <c r="D3610" t="s">
        <v>5715</v>
      </c>
      <c r="E3610" t="s">
        <v>2117</v>
      </c>
      <c r="F3610" s="129" t="s">
        <v>2117</v>
      </c>
      <c r="G3610" s="128" t="s">
        <v>400</v>
      </c>
      <c r="H3610" s="129" t="str">
        <f ca="1">IF(Proc[[#This Row],[type]]="LFF (MDG-F)",MID(Proc[[#This Row],[Obj]],13,10),"")</f>
        <v/>
      </c>
      <c r="I3610" s="128"/>
      <c r="J3610" s="129" t="b">
        <f ca="1">Proc[[#This Row],[Requested]]=Proc[[#This Row],[CurrentParent]]</f>
        <v>1</v>
      </c>
      <c r="K3610" s="129" t="str">
        <f ca="1"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16</v>
      </c>
      <c r="R3610" s="130" t="s">
        <v>738</v>
      </c>
      <c r="S3610" s="129"/>
    </row>
    <row r="3611" spans="1:19" hidden="1">
      <c r="A3611" s="128" t="s">
        <v>5712</v>
      </c>
      <c r="B3611" s="138" t="str">
        <f ca="1">IFERROR(VLOOKUP(Proc[[#This Row],[App]],Table2[],3,0),"open")</f>
        <v>ok</v>
      </c>
      <c r="C3611" s="135" t="s">
        <v>369</v>
      </c>
      <c r="D3611" t="s">
        <v>5716</v>
      </c>
      <c r="E3611" t="s">
        <v>2117</v>
      </c>
      <c r="F3611" s="129" t="s">
        <v>2117</v>
      </c>
      <c r="G3611" s="128" t="s">
        <v>400</v>
      </c>
      <c r="H3611" s="129" t="str">
        <f ca="1">IF(Proc[[#This Row],[type]]="LFF (MDG-F)",MID(Proc[[#This Row],[Obj]],13,10),"")</f>
        <v/>
      </c>
      <c r="I3611" s="128"/>
      <c r="J3611" s="129" t="b">
        <f ca="1">Proc[[#This Row],[Requested]]=Proc[[#This Row],[CurrentParent]]</f>
        <v>1</v>
      </c>
      <c r="K3611" s="129" t="str">
        <f ca="1"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16</v>
      </c>
      <c r="R3611" s="130" t="s">
        <v>738</v>
      </c>
      <c r="S3611" s="129"/>
    </row>
    <row r="3612" spans="1:19" hidden="1">
      <c r="A3612" s="128" t="s">
        <v>5712</v>
      </c>
      <c r="B3612" s="138" t="str">
        <f ca="1">IFERROR(VLOOKUP(Proc[[#This Row],[App]],Table2[],3,0),"open")</f>
        <v>ok</v>
      </c>
      <c r="C3612" s="135" t="s">
        <v>369</v>
      </c>
      <c r="D3612" t="s">
        <v>5717</v>
      </c>
      <c r="E3612" t="s">
        <v>2117</v>
      </c>
      <c r="F3612" s="129" t="s">
        <v>2117</v>
      </c>
      <c r="G3612" s="128" t="s">
        <v>400</v>
      </c>
      <c r="H3612" s="129" t="str">
        <f ca="1">IF(Proc[[#This Row],[type]]="LFF (MDG-F)",MID(Proc[[#This Row],[Obj]],13,10),"")</f>
        <v/>
      </c>
      <c r="I3612" s="128"/>
      <c r="J3612" s="129" t="b">
        <f ca="1">Proc[[#This Row],[Requested]]=Proc[[#This Row],[CurrentParent]]</f>
        <v>1</v>
      </c>
      <c r="K3612" s="129" t="str">
        <f ca="1"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16</v>
      </c>
      <c r="R3612" s="130" t="s">
        <v>738</v>
      </c>
      <c r="S3612" s="129"/>
    </row>
    <row r="3613" spans="1:19" hidden="1">
      <c r="A3613" s="128" t="s">
        <v>5712</v>
      </c>
      <c r="B3613" s="138" t="str">
        <f ca="1">IFERROR(VLOOKUP(Proc[[#This Row],[App]],Table2[],3,0),"open")</f>
        <v>ok</v>
      </c>
      <c r="C3613" s="135" t="s">
        <v>369</v>
      </c>
      <c r="D3613" t="s">
        <v>5740</v>
      </c>
      <c r="E3613" t="s">
        <v>5722</v>
      </c>
      <c r="F3613" s="129" t="s">
        <v>5722</v>
      </c>
      <c r="G3613" s="128" t="s">
        <v>400</v>
      </c>
      <c r="H3613" s="129" t="str">
        <f ca="1">IF(Proc[[#This Row],[type]]="LFF (MDG-F)",MID(Proc[[#This Row],[Obj]],13,10),"")</f>
        <v/>
      </c>
      <c r="I3613" s="128"/>
      <c r="J3613" s="129" t="b">
        <f ca="1">Proc[[#This Row],[Requested]]=Proc[[#This Row],[CurrentParent]]</f>
        <v>1</v>
      </c>
      <c r="K3613" s="129" t="str">
        <f ca="1"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16</v>
      </c>
      <c r="R3613" s="130" t="s">
        <v>738</v>
      </c>
      <c r="S3613" s="129"/>
    </row>
    <row r="3614" spans="1:19" hidden="1">
      <c r="A3614" s="128" t="s">
        <v>5712</v>
      </c>
      <c r="B3614" s="138" t="str">
        <f ca="1">IFERROR(VLOOKUP(Proc[[#This Row],[App]],Table2[],3,0),"open")</f>
        <v>ok</v>
      </c>
      <c r="C3614" s="135" t="s">
        <v>369</v>
      </c>
      <c r="D3614" t="s">
        <v>5718</v>
      </c>
      <c r="E3614" t="s">
        <v>5722</v>
      </c>
      <c r="F3614" s="129" t="s">
        <v>5722</v>
      </c>
      <c r="G3614" s="128" t="s">
        <v>400</v>
      </c>
      <c r="H3614" s="129" t="str">
        <f ca="1">IF(Proc[[#This Row],[type]]="LFF (MDG-F)",MID(Proc[[#This Row],[Obj]],13,10),"")</f>
        <v/>
      </c>
      <c r="I3614" s="128"/>
      <c r="J3614" s="129" t="b">
        <f ca="1">Proc[[#This Row],[Requested]]=Proc[[#This Row],[CurrentParent]]</f>
        <v>1</v>
      </c>
      <c r="K3614" s="129" t="str">
        <f ca="1"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16</v>
      </c>
      <c r="R3614" s="130" t="s">
        <v>738</v>
      </c>
      <c r="S3614" s="129"/>
    </row>
    <row r="3615" spans="1:19" hidden="1">
      <c r="A3615" s="128" t="s">
        <v>5712</v>
      </c>
      <c r="B3615" s="138" t="str">
        <f ca="1">IFERROR(VLOOKUP(Proc[[#This Row],[App]],Table2[],3,0),"open")</f>
        <v>ok</v>
      </c>
      <c r="C3615" s="135" t="s">
        <v>369</v>
      </c>
      <c r="D3615" t="s">
        <v>5719</v>
      </c>
      <c r="E3615" t="s">
        <v>5722</v>
      </c>
      <c r="F3615" s="129" t="s">
        <v>5722</v>
      </c>
      <c r="G3615" s="128" t="s">
        <v>400</v>
      </c>
      <c r="H3615" s="129" t="str">
        <f ca="1">IF(Proc[[#This Row],[type]]="LFF (MDG-F)",MID(Proc[[#This Row],[Obj]],13,10),"")</f>
        <v/>
      </c>
      <c r="I3615" s="128"/>
      <c r="J3615" s="129" t="b">
        <f ca="1">Proc[[#This Row],[Requested]]=Proc[[#This Row],[CurrentParent]]</f>
        <v>1</v>
      </c>
      <c r="K3615" s="129" t="str">
        <f ca="1"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16</v>
      </c>
      <c r="R3615" s="130" t="s">
        <v>738</v>
      </c>
      <c r="S3615" s="129"/>
    </row>
    <row r="3616" spans="1:19" hidden="1">
      <c r="A3616" s="128" t="s">
        <v>5712</v>
      </c>
      <c r="B3616" s="138" t="str">
        <f ca="1">IFERROR(VLOOKUP(Proc[[#This Row],[App]],Table2[],3,0),"open")</f>
        <v>ok</v>
      </c>
      <c r="C3616" s="135" t="s">
        <v>369</v>
      </c>
      <c r="D3616" t="s">
        <v>5720</v>
      </c>
      <c r="E3616" t="s">
        <v>5722</v>
      </c>
      <c r="F3616" s="129" t="s">
        <v>5722</v>
      </c>
      <c r="G3616" s="128" t="s">
        <v>400</v>
      </c>
      <c r="H3616" s="129" t="str">
        <f ca="1">IF(Proc[[#This Row],[type]]="LFF (MDG-F)",MID(Proc[[#This Row],[Obj]],13,10),"")</f>
        <v/>
      </c>
      <c r="I3616" s="128"/>
      <c r="J3616" s="129" t="b">
        <f ca="1">Proc[[#This Row],[Requested]]=Proc[[#This Row],[CurrentParent]]</f>
        <v>1</v>
      </c>
      <c r="K3616" s="129" t="str">
        <f ca="1"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16</v>
      </c>
      <c r="R3616" s="130" t="s">
        <v>738</v>
      </c>
      <c r="S3616" s="129"/>
    </row>
    <row r="3617" spans="1:19" hidden="1">
      <c r="A3617" s="128" t="s">
        <v>5712</v>
      </c>
      <c r="B3617" s="138" t="str">
        <f ca="1">IFERROR(VLOOKUP(Proc[[#This Row],[App]],Table2[],3,0),"open")</f>
        <v>ok</v>
      </c>
      <c r="C3617" s="135" t="s">
        <v>369</v>
      </c>
      <c r="D3617" t="s">
        <v>5741</v>
      </c>
      <c r="E3617" t="s">
        <v>5722</v>
      </c>
      <c r="F3617" s="129" t="s">
        <v>5722</v>
      </c>
      <c r="G3617" s="128" t="s">
        <v>400</v>
      </c>
      <c r="H3617" s="129" t="str">
        <f ca="1">IF(Proc[[#This Row],[type]]="LFF (MDG-F)",MID(Proc[[#This Row],[Obj]],13,10),"")</f>
        <v/>
      </c>
      <c r="I3617" s="128"/>
      <c r="J3617" s="129" t="b">
        <f ca="1">Proc[[#This Row],[Requested]]=Proc[[#This Row],[CurrentParent]]</f>
        <v>1</v>
      </c>
      <c r="K3617" s="129" t="str">
        <f ca="1"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16</v>
      </c>
      <c r="R3617" s="130" t="s">
        <v>738</v>
      </c>
      <c r="S3617" s="129"/>
    </row>
    <row r="3618" spans="1:19" hidden="1">
      <c r="A3618" s="128" t="s">
        <v>5712</v>
      </c>
      <c r="B3618" s="138" t="str">
        <f ca="1">IFERROR(VLOOKUP(Proc[[#This Row],[App]],Table2[],3,0),"open")</f>
        <v>ok</v>
      </c>
      <c r="C3618" s="135" t="s">
        <v>369</v>
      </c>
      <c r="D3618" t="s">
        <v>5721</v>
      </c>
      <c r="E3618" t="s">
        <v>5722</v>
      </c>
      <c r="F3618" s="129" t="s">
        <v>5722</v>
      </c>
      <c r="G3618" s="128" t="s">
        <v>400</v>
      </c>
      <c r="H3618" s="129" t="str">
        <f ca="1">IF(Proc[[#This Row],[type]]="LFF (MDG-F)",MID(Proc[[#This Row],[Obj]],13,10),"")</f>
        <v/>
      </c>
      <c r="I3618" s="128"/>
      <c r="J3618" s="129" t="b">
        <f ca="1">Proc[[#This Row],[Requested]]=Proc[[#This Row],[CurrentParent]]</f>
        <v>1</v>
      </c>
      <c r="K3618" s="129" t="str">
        <f ca="1"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16</v>
      </c>
      <c r="R3618" s="130" t="s">
        <v>738</v>
      </c>
      <c r="S3618" s="129"/>
    </row>
    <row r="3619" spans="1:19" hidden="1">
      <c r="A3619" s="128" t="s">
        <v>5712</v>
      </c>
      <c r="B3619" s="138" t="str">
        <f ca="1">IFERROR(VLOOKUP(Proc[[#This Row],[App]],Table2[],3,0),"open")</f>
        <v>ok</v>
      </c>
      <c r="C3619" s="135" t="s">
        <v>369</v>
      </c>
      <c r="D3619" t="s">
        <v>5742</v>
      </c>
      <c r="E3619" t="s">
        <v>5722</v>
      </c>
      <c r="F3619" s="129" t="s">
        <v>5722</v>
      </c>
      <c r="G3619" s="128" t="s">
        <v>400</v>
      </c>
      <c r="H3619" s="129" t="str">
        <f ca="1">IF(Proc[[#This Row],[type]]="LFF (MDG-F)",MID(Proc[[#This Row],[Obj]],13,10),"")</f>
        <v/>
      </c>
      <c r="I3619" s="128"/>
      <c r="J3619" s="129" t="b">
        <f ca="1">Proc[[#This Row],[Requested]]=Proc[[#This Row],[CurrentParent]]</f>
        <v>1</v>
      </c>
      <c r="K3619" s="129" t="str">
        <f ca="1"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16</v>
      </c>
      <c r="R3619" s="130" t="s">
        <v>738</v>
      </c>
      <c r="S3619" s="129"/>
    </row>
    <row r="3620" spans="1:19" hidden="1">
      <c r="A3620" t="s">
        <v>5723</v>
      </c>
      <c r="B3620" s="138" t="str">
        <f ca="1">IFERROR(VLOOKUP(Proc[[#This Row],[App]],Table2[],3,0),"open")</f>
        <v>ok</v>
      </c>
      <c r="C3620" s="135" t="s">
        <v>369</v>
      </c>
      <c r="D3620" t="s">
        <v>5724</v>
      </c>
      <c r="E3620" s="134" t="s">
        <v>3603</v>
      </c>
      <c r="F3620" s="129" t="s">
        <v>3603</v>
      </c>
      <c r="G3620" s="133" t="s">
        <v>400</v>
      </c>
      <c r="H3620" s="129" t="str">
        <f ca="1">IF(Proc[[#This Row],[type]]="LFF (MDG-F)",MID(Proc[[#This Row],[Obj]],13,10),"")</f>
        <v/>
      </c>
      <c r="J3620" s="129" t="b">
        <f ca="1">Proc[[#This Row],[Requested]]=Proc[[#This Row],[CurrentParent]]</f>
        <v>1</v>
      </c>
      <c r="K3620" s="129" t="str">
        <f ca="1"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15</v>
      </c>
      <c r="R3620" s="130" t="s">
        <v>738</v>
      </c>
      <c r="S3620" s="129"/>
    </row>
    <row r="3621" spans="1:19" hidden="1">
      <c r="A3621" s="132" t="s">
        <v>5723</v>
      </c>
      <c r="B3621" s="138" t="str">
        <f ca="1">IFERROR(VLOOKUP(Proc[[#This Row],[App]],Table2[],3,0),"open")</f>
        <v>ok</v>
      </c>
      <c r="C3621" s="135" t="s">
        <v>369</v>
      </c>
      <c r="D3621" t="s">
        <v>5725</v>
      </c>
      <c r="E3621" t="s">
        <v>5726</v>
      </c>
      <c r="F3621" s="129" t="s">
        <v>5726</v>
      </c>
      <c r="G3621" s="133" t="s">
        <v>400</v>
      </c>
      <c r="H3621" s="129" t="str">
        <f ca="1">IF(Proc[[#This Row],[type]]="LFF (MDG-F)",MID(Proc[[#This Row],[Obj]],13,10),"")</f>
        <v/>
      </c>
      <c r="J3621" s="129" t="b">
        <f ca="1">Proc[[#This Row],[Requested]]=Proc[[#This Row],[CurrentParent]]</f>
        <v>1</v>
      </c>
      <c r="K3621" s="129" t="str">
        <f ca="1"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15</v>
      </c>
      <c r="R3621" s="130" t="s">
        <v>738</v>
      </c>
      <c r="S3621" s="129"/>
    </row>
    <row r="3622" spans="1:19" hidden="1">
      <c r="A3622" s="132" t="s">
        <v>5723</v>
      </c>
      <c r="B3622" s="138" t="str">
        <f ca="1">IFERROR(VLOOKUP(Proc[[#This Row],[App]],Table2[],3,0),"open")</f>
        <v>ok</v>
      </c>
      <c r="C3622" s="135" t="s">
        <v>369</v>
      </c>
      <c r="D3622" t="s">
        <v>5727</v>
      </c>
      <c r="E3622" t="s">
        <v>2161</v>
      </c>
      <c r="F3622" s="129" t="s">
        <v>2161</v>
      </c>
      <c r="G3622" s="133" t="s">
        <v>400</v>
      </c>
      <c r="H3622" s="129" t="str">
        <f ca="1">IF(Proc[[#This Row],[type]]="LFF (MDG-F)",MID(Proc[[#This Row],[Obj]],13,10),"")</f>
        <v/>
      </c>
      <c r="J3622" s="129" t="b">
        <f ca="1">Proc[[#This Row],[Requested]]=Proc[[#This Row],[CurrentParent]]</f>
        <v>1</v>
      </c>
      <c r="K3622" s="129" t="str">
        <f ca="1"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15</v>
      </c>
      <c r="R3622" s="130" t="s">
        <v>738</v>
      </c>
      <c r="S3622" s="129"/>
    </row>
    <row r="3623" spans="1:19" hidden="1">
      <c r="A3623" s="132" t="s">
        <v>5723</v>
      </c>
      <c r="B3623" s="138" t="str">
        <f ca="1">IFERROR(VLOOKUP(Proc[[#This Row],[App]],Table2[],3,0),"open")</f>
        <v>ok</v>
      </c>
      <c r="C3623" s="135" t="s">
        <v>369</v>
      </c>
      <c r="D3623" t="s">
        <v>5728</v>
      </c>
      <c r="E3623" t="s">
        <v>2161</v>
      </c>
      <c r="F3623" s="129" t="s">
        <v>2161</v>
      </c>
      <c r="G3623" s="133" t="s">
        <v>400</v>
      </c>
      <c r="H3623" s="129" t="str">
        <f ca="1">IF(Proc[[#This Row],[type]]="LFF (MDG-F)",MID(Proc[[#This Row],[Obj]],13,10),"")</f>
        <v/>
      </c>
      <c r="J3623" s="129" t="b">
        <f ca="1">Proc[[#This Row],[Requested]]=Proc[[#This Row],[CurrentParent]]</f>
        <v>1</v>
      </c>
      <c r="K3623" s="129" t="str">
        <f ca="1"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15</v>
      </c>
      <c r="R3623" s="130" t="s">
        <v>738</v>
      </c>
      <c r="S3623" s="129"/>
    </row>
    <row r="3624" spans="1:19" hidden="1">
      <c r="A3624" s="132" t="s">
        <v>5723</v>
      </c>
      <c r="B3624" s="138" t="str">
        <f ca="1">IFERROR(VLOOKUP(Proc[[#This Row],[App]],Table2[],3,0),"open")</f>
        <v>ok</v>
      </c>
      <c r="C3624" s="135" t="s">
        <v>369</v>
      </c>
      <c r="D3624" t="s">
        <v>5729</v>
      </c>
      <c r="E3624" t="s">
        <v>2161</v>
      </c>
      <c r="F3624" s="129" t="s">
        <v>2161</v>
      </c>
      <c r="G3624" s="133" t="s">
        <v>400</v>
      </c>
      <c r="H3624" s="129" t="str">
        <f ca="1">IF(Proc[[#This Row],[type]]="LFF (MDG-F)",MID(Proc[[#This Row],[Obj]],13,10),"")</f>
        <v/>
      </c>
      <c r="J3624" s="129" t="b">
        <f ca="1">Proc[[#This Row],[Requested]]=Proc[[#This Row],[CurrentParent]]</f>
        <v>1</v>
      </c>
      <c r="K3624" s="129" t="str">
        <f ca="1"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15</v>
      </c>
      <c r="R3624" s="130" t="s">
        <v>738</v>
      </c>
      <c r="S3624" s="129"/>
    </row>
    <row r="3625" spans="1:19" hidden="1">
      <c r="A3625" s="132" t="s">
        <v>5723</v>
      </c>
      <c r="B3625" s="138" t="str">
        <f ca="1">IFERROR(VLOOKUP(Proc[[#This Row],[App]],Table2[],3,0),"open")</f>
        <v>ok</v>
      </c>
      <c r="C3625" s="135" t="s">
        <v>369</v>
      </c>
      <c r="D3625" t="s">
        <v>5730</v>
      </c>
      <c r="E3625" t="s">
        <v>2161</v>
      </c>
      <c r="F3625" s="129" t="s">
        <v>2161</v>
      </c>
      <c r="G3625" s="133" t="s">
        <v>400</v>
      </c>
      <c r="H3625" s="129" t="str">
        <f ca="1">IF(Proc[[#This Row],[type]]="LFF (MDG-F)",MID(Proc[[#This Row],[Obj]],13,10),"")</f>
        <v/>
      </c>
      <c r="J3625" s="129" t="b">
        <f ca="1">Proc[[#This Row],[Requested]]=Proc[[#This Row],[CurrentParent]]</f>
        <v>1</v>
      </c>
      <c r="K3625" s="129" t="str">
        <f ca="1"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15</v>
      </c>
      <c r="R3625" s="130" t="s">
        <v>738</v>
      </c>
      <c r="S3625" s="129"/>
    </row>
    <row r="3626" spans="1:19" hidden="1">
      <c r="A3626" s="132" t="s">
        <v>5723</v>
      </c>
      <c r="B3626" s="138" t="str">
        <f ca="1">IFERROR(VLOOKUP(Proc[[#This Row],[App]],Table2[],3,0),"open")</f>
        <v>ok</v>
      </c>
      <c r="C3626" s="135" t="s">
        <v>369</v>
      </c>
      <c r="D3626" t="s">
        <v>5731</v>
      </c>
      <c r="E3626" t="s">
        <v>2161</v>
      </c>
      <c r="F3626" s="129" t="s">
        <v>2161</v>
      </c>
      <c r="G3626" s="133" t="s">
        <v>400</v>
      </c>
      <c r="H3626" s="129" t="str">
        <f ca="1">IF(Proc[[#This Row],[type]]="LFF (MDG-F)",MID(Proc[[#This Row],[Obj]],13,10),"")</f>
        <v/>
      </c>
      <c r="J3626" s="129" t="b">
        <f ca="1">Proc[[#This Row],[Requested]]=Proc[[#This Row],[CurrentParent]]</f>
        <v>1</v>
      </c>
      <c r="K3626" s="129" t="str">
        <f ca="1"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15</v>
      </c>
      <c r="R3626" s="130" t="s">
        <v>738</v>
      </c>
      <c r="S3626" s="129"/>
    </row>
    <row r="3627" spans="1:19" hidden="1">
      <c r="A3627" s="132" t="s">
        <v>5723</v>
      </c>
      <c r="B3627" s="138" t="str">
        <f ca="1">IFERROR(VLOOKUP(Proc[[#This Row],[App]],Table2[],3,0),"open")</f>
        <v>ok</v>
      </c>
      <c r="C3627" s="135" t="s">
        <v>369</v>
      </c>
      <c r="D3627" t="s">
        <v>5732</v>
      </c>
      <c r="E3627" t="s">
        <v>2161</v>
      </c>
      <c r="F3627" s="129" t="s">
        <v>2161</v>
      </c>
      <c r="G3627" s="133" t="s">
        <v>400</v>
      </c>
      <c r="H3627" s="129" t="str">
        <f ca="1">IF(Proc[[#This Row],[type]]="LFF (MDG-F)",MID(Proc[[#This Row],[Obj]],13,10),"")</f>
        <v/>
      </c>
      <c r="J3627" s="129" t="b">
        <f ca="1">Proc[[#This Row],[Requested]]=Proc[[#This Row],[CurrentParent]]</f>
        <v>1</v>
      </c>
      <c r="K3627" s="129" t="str">
        <f ca="1"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15</v>
      </c>
      <c r="R3627" s="130" t="s">
        <v>738</v>
      </c>
      <c r="S3627" s="129"/>
    </row>
    <row r="3628" spans="1:19" hidden="1">
      <c r="A3628" t="s">
        <v>5733</v>
      </c>
      <c r="B3628" s="138" t="str">
        <f ca="1">IFERROR(VLOOKUP(Proc[[#This Row],[App]],Table2[],3,0),"open")</f>
        <v>ok</v>
      </c>
      <c r="C3628" s="135" t="s">
        <v>369</v>
      </c>
      <c r="D3628" t="s">
        <v>5734</v>
      </c>
      <c r="E3628" t="s">
        <v>496</v>
      </c>
      <c r="F3628" s="135" t="s">
        <v>496</v>
      </c>
      <c r="G3628" s="133" t="s">
        <v>400</v>
      </c>
      <c r="H3628" s="129" t="str">
        <f ca="1">IF(Proc[[#This Row],[type]]="LFF (MDG-F)",MID(Proc[[#This Row],[Obj]],13,10),"")</f>
        <v/>
      </c>
      <c r="J3628" s="129" t="b">
        <f ca="1">Proc[[#This Row],[Requested]]=Proc[[#This Row],[CurrentParent]]</f>
        <v>1</v>
      </c>
      <c r="K3628" s="129" t="str">
        <f ca="1"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15</v>
      </c>
      <c r="R3628" s="130" t="s">
        <v>489</v>
      </c>
      <c r="S3628" s="129"/>
    </row>
    <row r="3629" spans="1:19" hidden="1">
      <c r="A3629" s="133" t="s">
        <v>5733</v>
      </c>
      <c r="B3629" s="138" t="str">
        <f ca="1">IFERROR(VLOOKUP(Proc[[#This Row],[App]],Table2[],3,0),"open")</f>
        <v>ok</v>
      </c>
      <c r="C3629" s="135" t="s">
        <v>369</v>
      </c>
      <c r="D3629" t="s">
        <v>5735</v>
      </c>
      <c r="E3629" t="s">
        <v>496</v>
      </c>
      <c r="F3629" s="135" t="s">
        <v>496</v>
      </c>
      <c r="G3629" s="133" t="s">
        <v>400</v>
      </c>
      <c r="H3629" s="129" t="str">
        <f ca="1">IF(Proc[[#This Row],[type]]="LFF (MDG-F)",MID(Proc[[#This Row],[Obj]],13,10),"")</f>
        <v/>
      </c>
      <c r="J3629" s="129" t="b">
        <f ca="1">Proc[[#This Row],[Requested]]=Proc[[#This Row],[CurrentParent]]</f>
        <v>1</v>
      </c>
      <c r="K3629" s="129" t="str">
        <f ca="1"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15</v>
      </c>
      <c r="R3629" s="130" t="s">
        <v>489</v>
      </c>
      <c r="S3629" s="129"/>
    </row>
    <row r="3630" spans="1:19" hidden="1">
      <c r="A3630" t="s">
        <v>5736</v>
      </c>
      <c r="B3630" s="138" t="str">
        <f ca="1">IFERROR(VLOOKUP(Proc[[#This Row],[App]],Table2[],3,0),"open")</f>
        <v>ok</v>
      </c>
      <c r="C3630" s="135" t="s">
        <v>369</v>
      </c>
      <c r="D3630" t="s">
        <v>5577</v>
      </c>
      <c r="E3630" t="s">
        <v>3523</v>
      </c>
      <c r="F3630" s="129" t="s">
        <v>3523</v>
      </c>
      <c r="G3630" s="133" t="s">
        <v>400</v>
      </c>
      <c r="H3630" s="129" t="str">
        <f ca="1">IF(Proc[[#This Row],[type]]="LFF (MDG-F)",MID(Proc[[#This Row],[Obj]],13,10),"")</f>
        <v/>
      </c>
      <c r="J3630" s="129" t="b">
        <f ca="1">Proc[[#This Row],[Requested]]=Proc[[#This Row],[CurrentParent]]</f>
        <v>1</v>
      </c>
      <c r="K3630" s="129" t="str">
        <f ca="1"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15</v>
      </c>
      <c r="R3630" s="130" t="s">
        <v>1262</v>
      </c>
      <c r="S3630" s="129"/>
    </row>
    <row r="3631" spans="1:19" hidden="1">
      <c r="A3631" t="s">
        <v>5739</v>
      </c>
      <c r="B3631" s="138" t="str">
        <f ca="1">IFERROR(VLOOKUP(Proc[[#This Row],[App]],Table2[],3,0),"open")</f>
        <v>ok</v>
      </c>
      <c r="C3631" s="135" t="s">
        <v>369</v>
      </c>
      <c r="D3631" s="135" t="s">
        <v>5738</v>
      </c>
      <c r="E3631" t="s">
        <v>3515</v>
      </c>
      <c r="F3631" s="129" t="s">
        <v>3515</v>
      </c>
      <c r="G3631" s="135" t="s">
        <v>400</v>
      </c>
      <c r="H3631" s="129" t="str">
        <f ca="1">IF(Proc[[#This Row],[type]]="LFF (MDG-F)",MID(Proc[[#This Row],[Obj]],13,10),"")</f>
        <v/>
      </c>
      <c r="J3631" s="129" t="b">
        <f ca="1">Proc[[#This Row],[Requested]]=Proc[[#This Row],[CurrentParent]]</f>
        <v>1</v>
      </c>
      <c r="K3631" s="129" t="str">
        <f ca="1">IF(Proc[[#This Row],[Author]]="Marcela Urrego",VLOOKUP(LEFT(Proc[[#This Row],[Requested]],1),Table3[#All],2,0),VLOOKUP(Proc[[#This Row],[Author]],Table4[],2,0))</f>
        <v>LS</v>
      </c>
      <c r="L3631" s="129" t="s">
        <v>4896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15</v>
      </c>
      <c r="R3631" s="130" t="s">
        <v>972</v>
      </c>
      <c r="S3631" s="129"/>
    </row>
    <row r="3632" spans="1:19" hidden="1">
      <c r="A3632" t="s">
        <v>5743</v>
      </c>
      <c r="B3632" s="138" t="str">
        <f ca="1">IFERROR(VLOOKUP(Proc[[#This Row],[App]],Table2[],3,0),"open")</f>
        <v>ok</v>
      </c>
      <c r="C3632" s="135" t="s">
        <v>369</v>
      </c>
      <c r="D3632" t="s">
        <v>5744</v>
      </c>
      <c r="E3632" t="s">
        <v>5272</v>
      </c>
      <c r="F3632" s="129" t="s">
        <v>5272</v>
      </c>
      <c r="G3632" t="s">
        <v>400</v>
      </c>
      <c r="H3632" s="129" t="str">
        <f ca="1">IF(Proc[[#This Row],[type]]="LFF (MDG-F)",MID(Proc[[#This Row],[Obj]],13,10),"")</f>
        <v/>
      </c>
      <c r="J3632" s="129" t="b">
        <f ca="1">Proc[[#This Row],[Requested]]=Proc[[#This Row],[CurrentParent]]</f>
        <v>1</v>
      </c>
      <c r="K3632" s="129" t="str">
        <f ca="1">IF(Proc[[#This Row],[Author]]="Marcela Urrego",VLOOKUP(LEFT(Proc[[#This Row],[Requested]],1),Table3[#All],2,0),VLOOKUP(Proc[[#This Row],[Author]],Table4[],2,0))</f>
        <v>LS</v>
      </c>
      <c r="L3632" s="129" t="s">
        <v>4896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12</v>
      </c>
      <c r="R3632" s="130" t="s">
        <v>489</v>
      </c>
      <c r="S3632" s="129"/>
    </row>
    <row r="3633" spans="1:19" hidden="1">
      <c r="A3633" s="135" t="s">
        <v>5743</v>
      </c>
      <c r="B3633" s="138" t="str">
        <f ca="1">IFERROR(VLOOKUP(Proc[[#This Row],[App]],Table2[],3,0),"open")</f>
        <v>ok</v>
      </c>
      <c r="C3633" s="135" t="s">
        <v>369</v>
      </c>
      <c r="D3633" t="s">
        <v>5745</v>
      </c>
      <c r="E3633" t="s">
        <v>5272</v>
      </c>
      <c r="F3633" s="129" t="s">
        <v>5272</v>
      </c>
      <c r="G3633" s="135" t="s">
        <v>400</v>
      </c>
      <c r="H3633" s="129" t="str">
        <f ca="1">IF(Proc[[#This Row],[type]]="LFF (MDG-F)",MID(Proc[[#This Row],[Obj]],13,10),"")</f>
        <v/>
      </c>
      <c r="J3633" s="129" t="b">
        <f ca="1">Proc[[#This Row],[Requested]]=Proc[[#This Row],[CurrentParent]]</f>
        <v>1</v>
      </c>
      <c r="K3633" s="129" t="str">
        <f ca="1">IF(Proc[[#This Row],[Author]]="Marcela Urrego",VLOOKUP(LEFT(Proc[[#This Row],[Requested]],1),Table3[#All],2,0),VLOOKUP(Proc[[#This Row],[Author]],Table4[],2,0))</f>
        <v>LS</v>
      </c>
      <c r="L3633" s="129" t="s">
        <v>4896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12</v>
      </c>
      <c r="R3633" s="130" t="s">
        <v>489</v>
      </c>
      <c r="S3633" s="129"/>
    </row>
    <row r="3634" spans="1:19" hidden="1">
      <c r="A3634" s="135" t="s">
        <v>5743</v>
      </c>
      <c r="B3634" s="138" t="str">
        <f ca="1">IFERROR(VLOOKUP(Proc[[#This Row],[App]],Table2[],3,0),"open")</f>
        <v>ok</v>
      </c>
      <c r="C3634" s="135" t="s">
        <v>369</v>
      </c>
      <c r="D3634" t="s">
        <v>5746</v>
      </c>
      <c r="E3634" t="s">
        <v>5272</v>
      </c>
      <c r="F3634" s="129" t="s">
        <v>5272</v>
      </c>
      <c r="G3634" s="135" t="s">
        <v>400</v>
      </c>
      <c r="H3634" s="129" t="str">
        <f ca="1">IF(Proc[[#This Row],[type]]="LFF (MDG-F)",MID(Proc[[#This Row],[Obj]],13,10),"")</f>
        <v/>
      </c>
      <c r="J3634" s="129" t="b">
        <f ca="1">Proc[[#This Row],[Requested]]=Proc[[#This Row],[CurrentParent]]</f>
        <v>1</v>
      </c>
      <c r="K3634" s="129" t="str">
        <f ca="1">IF(Proc[[#This Row],[Author]]="Marcela Urrego",VLOOKUP(LEFT(Proc[[#This Row],[Requested]],1),Table3[#All],2,0),VLOOKUP(Proc[[#This Row],[Author]],Table4[],2,0))</f>
        <v>LS</v>
      </c>
      <c r="L3634" s="129" t="s">
        <v>4896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12</v>
      </c>
      <c r="R3634" s="130" t="s">
        <v>489</v>
      </c>
      <c r="S3634" s="129"/>
    </row>
    <row r="3635" spans="1:19" hidden="1">
      <c r="A3635" s="135" t="s">
        <v>5743</v>
      </c>
      <c r="B3635" s="138" t="str">
        <f ca="1">IFERROR(VLOOKUP(Proc[[#This Row],[App]],Table2[],3,0),"open")</f>
        <v>ok</v>
      </c>
      <c r="C3635" s="135" t="s">
        <v>369</v>
      </c>
      <c r="D3635" t="s">
        <v>5747</v>
      </c>
      <c r="E3635" t="s">
        <v>5272</v>
      </c>
      <c r="F3635" s="129" t="s">
        <v>5272</v>
      </c>
      <c r="G3635" s="135" t="s">
        <v>400</v>
      </c>
      <c r="H3635" s="129" t="str">
        <f ca="1">IF(Proc[[#This Row],[type]]="LFF (MDG-F)",MID(Proc[[#This Row],[Obj]],13,10),"")</f>
        <v/>
      </c>
      <c r="J3635" s="129" t="b">
        <f ca="1">Proc[[#This Row],[Requested]]=Proc[[#This Row],[CurrentParent]]</f>
        <v>1</v>
      </c>
      <c r="K3635" s="129" t="str">
        <f ca="1">IF(Proc[[#This Row],[Author]]="Marcela Urrego",VLOOKUP(LEFT(Proc[[#This Row],[Requested]],1),Table3[#All],2,0),VLOOKUP(Proc[[#This Row],[Author]],Table4[],2,0))</f>
        <v>LS</v>
      </c>
      <c r="L3635" s="129" t="s">
        <v>4896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12</v>
      </c>
      <c r="R3635" s="130" t="s">
        <v>489</v>
      </c>
      <c r="S3635" s="129"/>
    </row>
    <row r="3636" spans="1:19" hidden="1">
      <c r="A3636" s="135" t="s">
        <v>5743</v>
      </c>
      <c r="B3636" s="138" t="str">
        <f ca="1">IFERROR(VLOOKUP(Proc[[#This Row],[App]],Table2[],3,0),"open")</f>
        <v>ok</v>
      </c>
      <c r="C3636" s="135" t="s">
        <v>369</v>
      </c>
      <c r="D3636" t="s">
        <v>5748</v>
      </c>
      <c r="E3636" t="s">
        <v>5272</v>
      </c>
      <c r="F3636" s="129" t="s">
        <v>5272</v>
      </c>
      <c r="G3636" s="135" t="s">
        <v>400</v>
      </c>
      <c r="H3636" s="129" t="str">
        <f ca="1">IF(Proc[[#This Row],[type]]="LFF (MDG-F)",MID(Proc[[#This Row],[Obj]],13,10),"")</f>
        <v/>
      </c>
      <c r="J3636" s="129" t="b">
        <f ca="1">Proc[[#This Row],[Requested]]=Proc[[#This Row],[CurrentParent]]</f>
        <v>1</v>
      </c>
      <c r="K3636" s="129" t="str">
        <f ca="1">IF(Proc[[#This Row],[Author]]="Marcela Urrego",VLOOKUP(LEFT(Proc[[#This Row],[Requested]],1),Table3[#All],2,0),VLOOKUP(Proc[[#This Row],[Author]],Table4[],2,0))</f>
        <v>LS</v>
      </c>
      <c r="L3636" s="129" t="s">
        <v>4896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12</v>
      </c>
      <c r="R3636" s="130" t="s">
        <v>489</v>
      </c>
      <c r="S3636" s="129"/>
    </row>
    <row r="3637" spans="1:19" hidden="1">
      <c r="A3637" s="135" t="s">
        <v>5743</v>
      </c>
      <c r="B3637" s="138" t="str">
        <f ca="1">IFERROR(VLOOKUP(Proc[[#This Row],[App]],Table2[],3,0),"open")</f>
        <v>ok</v>
      </c>
      <c r="C3637" s="135" t="s">
        <v>369</v>
      </c>
      <c r="D3637" t="s">
        <v>5749</v>
      </c>
      <c r="E3637" t="s">
        <v>5272</v>
      </c>
      <c r="F3637" s="129" t="s">
        <v>5272</v>
      </c>
      <c r="G3637" s="135" t="s">
        <v>400</v>
      </c>
      <c r="H3637" s="129" t="str">
        <f ca="1">IF(Proc[[#This Row],[type]]="LFF (MDG-F)",MID(Proc[[#This Row],[Obj]],13,10),"")</f>
        <v/>
      </c>
      <c r="J3637" s="129" t="b">
        <f ca="1">Proc[[#This Row],[Requested]]=Proc[[#This Row],[CurrentParent]]</f>
        <v>1</v>
      </c>
      <c r="K3637" s="129" t="str">
        <f ca="1">IF(Proc[[#This Row],[Author]]="Marcela Urrego",VLOOKUP(LEFT(Proc[[#This Row],[Requested]],1),Table3[#All],2,0),VLOOKUP(Proc[[#This Row],[Author]],Table4[],2,0))</f>
        <v>LS</v>
      </c>
      <c r="L3637" s="129" t="s">
        <v>4896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12</v>
      </c>
      <c r="R3637" s="130" t="s">
        <v>489</v>
      </c>
      <c r="S3637" s="129"/>
    </row>
    <row r="3638" spans="1:19" hidden="1">
      <c r="A3638" s="135" t="s">
        <v>5743</v>
      </c>
      <c r="B3638" s="138" t="str">
        <f ca="1">IFERROR(VLOOKUP(Proc[[#This Row],[App]],Table2[],3,0),"open")</f>
        <v>ok</v>
      </c>
      <c r="C3638" s="135" t="s">
        <v>369</v>
      </c>
      <c r="D3638" t="s">
        <v>5750</v>
      </c>
      <c r="E3638" t="s">
        <v>5272</v>
      </c>
      <c r="F3638" s="129" t="s">
        <v>5272</v>
      </c>
      <c r="G3638" s="135" t="s">
        <v>400</v>
      </c>
      <c r="H3638" s="129" t="str">
        <f ca="1">IF(Proc[[#This Row],[type]]="LFF (MDG-F)",MID(Proc[[#This Row],[Obj]],13,10),"")</f>
        <v/>
      </c>
      <c r="J3638" s="129" t="b">
        <f ca="1">Proc[[#This Row],[Requested]]=Proc[[#This Row],[CurrentParent]]</f>
        <v>1</v>
      </c>
      <c r="K3638" s="129" t="str">
        <f ca="1">IF(Proc[[#This Row],[Author]]="Marcela Urrego",VLOOKUP(LEFT(Proc[[#This Row],[Requested]],1),Table3[#All],2,0),VLOOKUP(Proc[[#This Row],[Author]],Table4[],2,0))</f>
        <v>LS</v>
      </c>
      <c r="L3638" s="129" t="s">
        <v>4896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12</v>
      </c>
      <c r="R3638" s="130" t="s">
        <v>489</v>
      </c>
      <c r="S3638" s="129"/>
    </row>
    <row r="3639" spans="1:19" hidden="1">
      <c r="A3639" s="135" t="s">
        <v>5743</v>
      </c>
      <c r="B3639" s="138" t="str">
        <f ca="1">IFERROR(VLOOKUP(Proc[[#This Row],[App]],Table2[],3,0),"open")</f>
        <v>ok</v>
      </c>
      <c r="C3639" s="135" t="s">
        <v>369</v>
      </c>
      <c r="D3639" t="s">
        <v>5751</v>
      </c>
      <c r="E3639" t="s">
        <v>5272</v>
      </c>
      <c r="F3639" s="129" t="s">
        <v>5272</v>
      </c>
      <c r="G3639" s="135" t="s">
        <v>400</v>
      </c>
      <c r="H3639" s="129" t="str">
        <f ca="1">IF(Proc[[#This Row],[type]]="LFF (MDG-F)",MID(Proc[[#This Row],[Obj]],13,10),"")</f>
        <v/>
      </c>
      <c r="J3639" s="129" t="b">
        <f ca="1">Proc[[#This Row],[Requested]]=Proc[[#This Row],[CurrentParent]]</f>
        <v>1</v>
      </c>
      <c r="K3639" s="129" t="str">
        <f ca="1">IF(Proc[[#This Row],[Author]]="Marcela Urrego",VLOOKUP(LEFT(Proc[[#This Row],[Requested]],1),Table3[#All],2,0),VLOOKUP(Proc[[#This Row],[Author]],Table4[],2,0))</f>
        <v>LS</v>
      </c>
      <c r="L3639" s="129" t="s">
        <v>4896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12</v>
      </c>
      <c r="R3639" s="130" t="s">
        <v>489</v>
      </c>
      <c r="S3639" s="129"/>
    </row>
    <row r="3640" spans="1:19" hidden="1">
      <c r="A3640" s="135" t="s">
        <v>5743</v>
      </c>
      <c r="B3640" s="138" t="str">
        <f ca="1">IFERROR(VLOOKUP(Proc[[#This Row],[App]],Table2[],3,0),"open")</f>
        <v>ok</v>
      </c>
      <c r="C3640" s="135" t="s">
        <v>369</v>
      </c>
      <c r="D3640" t="s">
        <v>5752</v>
      </c>
      <c r="E3640" t="s">
        <v>5272</v>
      </c>
      <c r="F3640" s="129" t="s">
        <v>5272</v>
      </c>
      <c r="G3640" s="135" t="s">
        <v>400</v>
      </c>
      <c r="H3640" s="129" t="str">
        <f ca="1">IF(Proc[[#This Row],[type]]="LFF (MDG-F)",MID(Proc[[#This Row],[Obj]],13,10),"")</f>
        <v/>
      </c>
      <c r="J3640" s="129" t="b">
        <f ca="1">Proc[[#This Row],[Requested]]=Proc[[#This Row],[CurrentParent]]</f>
        <v>1</v>
      </c>
      <c r="K3640" s="129" t="str">
        <f ca="1">IF(Proc[[#This Row],[Author]]="Marcela Urrego",VLOOKUP(LEFT(Proc[[#This Row],[Requested]],1),Table3[#All],2,0),VLOOKUP(Proc[[#This Row],[Author]],Table4[],2,0))</f>
        <v>LS</v>
      </c>
      <c r="L3640" s="129" t="s">
        <v>4896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12</v>
      </c>
      <c r="R3640" s="130" t="s">
        <v>489</v>
      </c>
      <c r="S3640" s="129"/>
    </row>
    <row r="3641" spans="1:19" hidden="1">
      <c r="A3641" s="135" t="s">
        <v>5743</v>
      </c>
      <c r="B3641" s="138" t="str">
        <f ca="1">IFERROR(VLOOKUP(Proc[[#This Row],[App]],Table2[],3,0),"open")</f>
        <v>ok</v>
      </c>
      <c r="C3641" s="135" t="s">
        <v>369</v>
      </c>
      <c r="D3641" t="s">
        <v>5753</v>
      </c>
      <c r="E3641" t="s">
        <v>5272</v>
      </c>
      <c r="F3641" s="129" t="s">
        <v>5272</v>
      </c>
      <c r="G3641" s="135" t="s">
        <v>400</v>
      </c>
      <c r="H3641" s="129" t="str">
        <f ca="1">IF(Proc[[#This Row],[type]]="LFF (MDG-F)",MID(Proc[[#This Row],[Obj]],13,10),"")</f>
        <v/>
      </c>
      <c r="J3641" s="129" t="b">
        <f ca="1">Proc[[#This Row],[Requested]]=Proc[[#This Row],[CurrentParent]]</f>
        <v>1</v>
      </c>
      <c r="K3641" s="129" t="str">
        <f ca="1">IF(Proc[[#This Row],[Author]]="Marcela Urrego",VLOOKUP(LEFT(Proc[[#This Row],[Requested]],1),Table3[#All],2,0),VLOOKUP(Proc[[#This Row],[Author]],Table4[],2,0))</f>
        <v>LS</v>
      </c>
      <c r="L3641" s="129" t="s">
        <v>4896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12</v>
      </c>
      <c r="R3641" s="130" t="s">
        <v>489</v>
      </c>
      <c r="S3641" s="129"/>
    </row>
    <row r="3642" spans="1:19" hidden="1">
      <c r="A3642" s="135" t="s">
        <v>5743</v>
      </c>
      <c r="B3642" s="138" t="str">
        <f ca="1">IFERROR(VLOOKUP(Proc[[#This Row],[App]],Table2[],3,0),"open")</f>
        <v>ok</v>
      </c>
      <c r="C3642" s="135" t="s">
        <v>369</v>
      </c>
      <c r="D3642" t="s">
        <v>5754</v>
      </c>
      <c r="E3642" t="s">
        <v>5272</v>
      </c>
      <c r="F3642" s="129" t="s">
        <v>5272</v>
      </c>
      <c r="G3642" s="135" t="s">
        <v>400</v>
      </c>
      <c r="H3642" s="129" t="str">
        <f ca="1">IF(Proc[[#This Row],[type]]="LFF (MDG-F)",MID(Proc[[#This Row],[Obj]],13,10),"")</f>
        <v/>
      </c>
      <c r="J3642" s="129" t="b">
        <f ca="1">Proc[[#This Row],[Requested]]=Proc[[#This Row],[CurrentParent]]</f>
        <v>1</v>
      </c>
      <c r="K3642" s="129" t="str">
        <f ca="1">IF(Proc[[#This Row],[Author]]="Marcela Urrego",VLOOKUP(LEFT(Proc[[#This Row],[Requested]],1),Table3[#All],2,0),VLOOKUP(Proc[[#This Row],[Author]],Table4[],2,0))</f>
        <v>LS</v>
      </c>
      <c r="L3642" s="129" t="s">
        <v>4896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12</v>
      </c>
      <c r="R3642" s="130" t="s">
        <v>489</v>
      </c>
      <c r="S3642" s="129"/>
    </row>
    <row r="3643" spans="1:19" hidden="1">
      <c r="A3643" s="135" t="s">
        <v>5743</v>
      </c>
      <c r="B3643" s="138" t="str">
        <f ca="1">IFERROR(VLOOKUP(Proc[[#This Row],[App]],Table2[],3,0),"open")</f>
        <v>ok</v>
      </c>
      <c r="C3643" s="135" t="s">
        <v>369</v>
      </c>
      <c r="D3643" t="s">
        <v>5755</v>
      </c>
      <c r="E3643" t="s">
        <v>5272</v>
      </c>
      <c r="F3643" s="129" t="s">
        <v>5272</v>
      </c>
      <c r="G3643" s="135" t="s">
        <v>400</v>
      </c>
      <c r="H3643" s="129" t="str">
        <f ca="1">IF(Proc[[#This Row],[type]]="LFF (MDG-F)",MID(Proc[[#This Row],[Obj]],13,10),"")</f>
        <v/>
      </c>
      <c r="J3643" s="129" t="b">
        <f ca="1">Proc[[#This Row],[Requested]]=Proc[[#This Row],[CurrentParent]]</f>
        <v>1</v>
      </c>
      <c r="K3643" s="129" t="str">
        <f ca="1">IF(Proc[[#This Row],[Author]]="Marcela Urrego",VLOOKUP(LEFT(Proc[[#This Row],[Requested]],1),Table3[#All],2,0),VLOOKUP(Proc[[#This Row],[Author]],Table4[],2,0))</f>
        <v>LS</v>
      </c>
      <c r="L3643" s="129" t="s">
        <v>4896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12</v>
      </c>
      <c r="R3643" s="130" t="s">
        <v>489</v>
      </c>
      <c r="S3643" s="129"/>
    </row>
    <row r="3644" spans="1:19" hidden="1">
      <c r="A3644" s="135" t="s">
        <v>5743</v>
      </c>
      <c r="B3644" s="138" t="str">
        <f ca="1">IFERROR(VLOOKUP(Proc[[#This Row],[App]],Table2[],3,0),"open")</f>
        <v>ok</v>
      </c>
      <c r="C3644" s="135" t="s">
        <v>369</v>
      </c>
      <c r="D3644" t="s">
        <v>5756</v>
      </c>
      <c r="E3644" t="s">
        <v>5272</v>
      </c>
      <c r="F3644" s="129" t="s">
        <v>5272</v>
      </c>
      <c r="G3644" s="135" t="s">
        <v>400</v>
      </c>
      <c r="H3644" s="129" t="str">
        <f ca="1">IF(Proc[[#This Row],[type]]="LFF (MDG-F)",MID(Proc[[#This Row],[Obj]],13,10),"")</f>
        <v/>
      </c>
      <c r="J3644" s="129" t="b">
        <f ca="1">Proc[[#This Row],[Requested]]=Proc[[#This Row],[CurrentParent]]</f>
        <v>1</v>
      </c>
      <c r="K3644" s="129" t="str">
        <f ca="1">IF(Proc[[#This Row],[Author]]="Marcela Urrego",VLOOKUP(LEFT(Proc[[#This Row],[Requested]],1),Table3[#All],2,0),VLOOKUP(Proc[[#This Row],[Author]],Table4[],2,0))</f>
        <v>LS</v>
      </c>
      <c r="L3644" s="129" t="s">
        <v>4896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12</v>
      </c>
      <c r="R3644" s="130" t="s">
        <v>489</v>
      </c>
      <c r="S3644" s="129"/>
    </row>
    <row r="3645" spans="1:19" hidden="1">
      <c r="A3645" s="135" t="s">
        <v>5743</v>
      </c>
      <c r="B3645" s="138" t="str">
        <f ca="1">IFERROR(VLOOKUP(Proc[[#This Row],[App]],Table2[],3,0),"open")</f>
        <v>ok</v>
      </c>
      <c r="C3645" s="135" t="s">
        <v>369</v>
      </c>
      <c r="D3645" t="s">
        <v>5757</v>
      </c>
      <c r="E3645" t="s">
        <v>5272</v>
      </c>
      <c r="F3645" s="129" t="s">
        <v>5272</v>
      </c>
      <c r="G3645" s="135" t="s">
        <v>400</v>
      </c>
      <c r="H3645" s="129" t="str">
        <f ca="1">IF(Proc[[#This Row],[type]]="LFF (MDG-F)",MID(Proc[[#This Row],[Obj]],13,10),"")</f>
        <v/>
      </c>
      <c r="J3645" s="129" t="b">
        <f ca="1">Proc[[#This Row],[Requested]]=Proc[[#This Row],[CurrentParent]]</f>
        <v>1</v>
      </c>
      <c r="K3645" s="129" t="str">
        <f ca="1">IF(Proc[[#This Row],[Author]]="Marcela Urrego",VLOOKUP(LEFT(Proc[[#This Row],[Requested]],1),Table3[#All],2,0),VLOOKUP(Proc[[#This Row],[Author]],Table4[],2,0))</f>
        <v>LS</v>
      </c>
      <c r="L3645" s="129" t="s">
        <v>4896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12</v>
      </c>
      <c r="R3645" s="130" t="s">
        <v>489</v>
      </c>
      <c r="S3645" s="129"/>
    </row>
    <row r="3646" spans="1:19" hidden="1">
      <c r="A3646" s="135" t="s">
        <v>5743</v>
      </c>
      <c r="B3646" s="138" t="str">
        <f ca="1">IFERROR(VLOOKUP(Proc[[#This Row],[App]],Table2[],3,0),"open")</f>
        <v>ok</v>
      </c>
      <c r="C3646" s="135" t="s">
        <v>369</v>
      </c>
      <c r="D3646" t="s">
        <v>5758</v>
      </c>
      <c r="E3646" t="s">
        <v>5272</v>
      </c>
      <c r="F3646" s="129" t="s">
        <v>5272</v>
      </c>
      <c r="G3646" s="135" t="s">
        <v>406</v>
      </c>
      <c r="H3646" s="129" t="str">
        <f ca="1">IF(Proc[[#This Row],[type]]="LFF (MDG-F)",MID(Proc[[#This Row],[Obj]],13,10),"")</f>
        <v>DE73R00021</v>
      </c>
      <c r="J3646" s="129" t="b">
        <f ca="1">Proc[[#This Row],[Requested]]=Proc[[#This Row],[CurrentParent]]</f>
        <v>1</v>
      </c>
      <c r="K3646" s="129" t="str">
        <f ca="1">IF(Proc[[#This Row],[Author]]="Marcela Urrego",VLOOKUP(LEFT(Proc[[#This Row],[Requested]],1),Table3[#All],2,0),VLOOKUP(Proc[[#This Row],[Author]],Table4[],2,0))</f>
        <v>LS</v>
      </c>
      <c r="L3646" s="129" t="s">
        <v>4896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12</v>
      </c>
      <c r="R3646" s="130" t="s">
        <v>489</v>
      </c>
      <c r="S3646" s="129"/>
    </row>
    <row r="3647" spans="1:19" hidden="1">
      <c r="A3647" s="135" t="s">
        <v>5743</v>
      </c>
      <c r="B3647" s="138" t="str">
        <f ca="1">IFERROR(VLOOKUP(Proc[[#This Row],[App]],Table2[],3,0),"open")</f>
        <v>ok</v>
      </c>
      <c r="C3647" s="135" t="s">
        <v>369</v>
      </c>
      <c r="D3647" t="s">
        <v>5759</v>
      </c>
      <c r="E3647" t="s">
        <v>5272</v>
      </c>
      <c r="F3647" s="129" t="s">
        <v>5272</v>
      </c>
      <c r="G3647" s="135" t="s">
        <v>400</v>
      </c>
      <c r="H3647" s="129" t="str">
        <f ca="1">IF(Proc[[#This Row],[type]]="LFF (MDG-F)",MID(Proc[[#This Row],[Obj]],13,10),"")</f>
        <v/>
      </c>
      <c r="J3647" s="129" t="b">
        <f ca="1">Proc[[#This Row],[Requested]]=Proc[[#This Row],[CurrentParent]]</f>
        <v>1</v>
      </c>
      <c r="K3647" s="129" t="str">
        <f ca="1">IF(Proc[[#This Row],[Author]]="Marcela Urrego",VLOOKUP(LEFT(Proc[[#This Row],[Requested]],1),Table3[#All],2,0),VLOOKUP(Proc[[#This Row],[Author]],Table4[],2,0))</f>
        <v>LS</v>
      </c>
      <c r="L3647" s="129" t="s">
        <v>4896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12</v>
      </c>
      <c r="R3647" s="130" t="s">
        <v>489</v>
      </c>
      <c r="S3647" s="129"/>
    </row>
    <row r="3648" spans="1:19" hidden="1">
      <c r="A3648" s="135" t="s">
        <v>5743</v>
      </c>
      <c r="B3648" s="138" t="str">
        <f ca="1">IFERROR(VLOOKUP(Proc[[#This Row],[App]],Table2[],3,0),"open")</f>
        <v>ok</v>
      </c>
      <c r="C3648" s="135" t="s">
        <v>369</v>
      </c>
      <c r="D3648" t="s">
        <v>5760</v>
      </c>
      <c r="E3648" t="s">
        <v>5272</v>
      </c>
      <c r="F3648" s="129" t="s">
        <v>5272</v>
      </c>
      <c r="G3648" s="135" t="s">
        <v>406</v>
      </c>
      <c r="H3648" s="129" t="str">
        <f ca="1">IF(Proc[[#This Row],[type]]="LFF (MDG-F)",MID(Proc[[#This Row],[Obj]],13,10),"")</f>
        <v>DE73R00013</v>
      </c>
      <c r="J3648" s="129" t="b">
        <f ca="1">Proc[[#This Row],[Requested]]=Proc[[#This Row],[CurrentParent]]</f>
        <v>1</v>
      </c>
      <c r="K3648" s="129" t="str">
        <f ca="1">IF(Proc[[#This Row],[Author]]="Marcela Urrego",VLOOKUP(LEFT(Proc[[#This Row],[Requested]],1),Table3[#All],2,0),VLOOKUP(Proc[[#This Row],[Author]],Table4[],2,0))</f>
        <v>LS</v>
      </c>
      <c r="L3648" s="129" t="s">
        <v>4896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12</v>
      </c>
      <c r="R3648" s="130" t="s">
        <v>489</v>
      </c>
      <c r="S3648" s="129"/>
    </row>
    <row r="3649" spans="1:19" hidden="1">
      <c r="A3649" s="135" t="s">
        <v>5743</v>
      </c>
      <c r="B3649" s="138" t="str">
        <f ca="1">IFERROR(VLOOKUP(Proc[[#This Row],[App]],Table2[],3,0),"open")</f>
        <v>ok</v>
      </c>
      <c r="C3649" s="135" t="s">
        <v>369</v>
      </c>
      <c r="D3649" t="s">
        <v>5761</v>
      </c>
      <c r="E3649" t="s">
        <v>5272</v>
      </c>
      <c r="F3649" s="129" t="s">
        <v>5272</v>
      </c>
      <c r="G3649" s="135" t="s">
        <v>400</v>
      </c>
      <c r="H3649" s="129" t="str">
        <f ca="1">IF(Proc[[#This Row],[type]]="LFF (MDG-F)",MID(Proc[[#This Row],[Obj]],13,10),"")</f>
        <v/>
      </c>
      <c r="J3649" s="129" t="b">
        <f ca="1">Proc[[#This Row],[Requested]]=Proc[[#This Row],[CurrentParent]]</f>
        <v>1</v>
      </c>
      <c r="K3649" s="129" t="str">
        <f ca="1">IF(Proc[[#This Row],[Author]]="Marcela Urrego",VLOOKUP(LEFT(Proc[[#This Row],[Requested]],1),Table3[#All],2,0),VLOOKUP(Proc[[#This Row],[Author]],Table4[],2,0))</f>
        <v>LS</v>
      </c>
      <c r="L3649" s="129" t="s">
        <v>4896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12</v>
      </c>
      <c r="R3649" s="130" t="s">
        <v>489</v>
      </c>
      <c r="S3649" s="129"/>
    </row>
    <row r="3650" spans="1:19" hidden="1">
      <c r="A3650" t="s">
        <v>5774</v>
      </c>
      <c r="B3650" s="138" t="str">
        <f ca="1">IFERROR(VLOOKUP(Proc[[#This Row],[App]],Table2[],3,0),"open")</f>
        <v>open</v>
      </c>
      <c r="C3650" s="135" t="s">
        <v>692</v>
      </c>
      <c r="D3650" t="s">
        <v>6152</v>
      </c>
      <c r="E3650" t="s">
        <v>5772</v>
      </c>
      <c r="F3650" s="140" t="s">
        <v>5947</v>
      </c>
      <c r="G3650" s="135" t="s">
        <v>406</v>
      </c>
      <c r="H3650" s="129" t="str">
        <f ca="1">IF(Proc[[#This Row],[type]]="LFF (MDG-F)",MID(Proc[[#This Row],[Obj]],13,10),"")</f>
        <v>DE10TM4000</v>
      </c>
      <c r="I3650" t="s">
        <v>5775</v>
      </c>
      <c r="J3650" s="129" t="b">
        <f ca="1">Proc[[#This Row],[Requested]]=Proc[[#This Row],[CurrentParent]]</f>
        <v>0</v>
      </c>
      <c r="K3650" s="129" t="str">
        <f ca="1">IF(Proc[[#This Row],[Author]]="Marcela Urrego",VLOOKUP(LEFT(Proc[[#This Row],[Requested]],1),Table3[#All],2,0),VLOOKUP(Proc[[#This Row],[Author]],Table4[],2,0))</f>
        <v>HC</v>
      </c>
      <c r="L3650" s="129" t="s">
        <v>4896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12</v>
      </c>
      <c r="R3650" s="130" t="s">
        <v>746</v>
      </c>
      <c r="S3650" s="129"/>
    </row>
    <row r="3651" spans="1:19" hidden="1">
      <c r="A3651" s="135" t="s">
        <v>5774</v>
      </c>
      <c r="B3651" s="138" t="str">
        <f ca="1">IFERROR(VLOOKUP(Proc[[#This Row],[App]],Table2[],3,0),"open")</f>
        <v>open</v>
      </c>
      <c r="C3651" s="135" t="s">
        <v>369</v>
      </c>
      <c r="D3651" t="s">
        <v>5762</v>
      </c>
      <c r="E3651" t="s">
        <v>5772</v>
      </c>
      <c r="F3651" s="129" t="s">
        <v>5772</v>
      </c>
      <c r="G3651" s="135" t="s">
        <v>406</v>
      </c>
      <c r="H3651" s="129" t="str">
        <f ca="1">IF(Proc[[#This Row],[type]]="LFF (MDG-F)",MID(Proc[[#This Row],[Obj]],13,10),"")</f>
        <v>BE10DB3600</v>
      </c>
      <c r="J3651" s="129" t="b">
        <f ca="1">Proc[[#This Row],[Requested]]=Proc[[#This Row],[CurrentParent]]</f>
        <v>1</v>
      </c>
      <c r="K3651" s="129" t="str">
        <f ca="1">IF(Proc[[#This Row],[Author]]="Marcela Urrego",VLOOKUP(LEFT(Proc[[#This Row],[Requested]],1),Table3[#All],2,0),VLOOKUP(Proc[[#This Row],[Author]],Table4[],2,0))</f>
        <v>HC</v>
      </c>
      <c r="L3651" s="129" t="s">
        <v>4896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12</v>
      </c>
      <c r="R3651" s="130" t="s">
        <v>746</v>
      </c>
      <c r="S3651" s="129"/>
    </row>
    <row r="3652" spans="1:19" hidden="1">
      <c r="A3652" s="135" t="s">
        <v>5774</v>
      </c>
      <c r="B3652" s="138" t="str">
        <f ca="1">IFERROR(VLOOKUP(Proc[[#This Row],[App]],Table2[],3,0),"open")</f>
        <v>open</v>
      </c>
      <c r="C3652" s="138" t="s">
        <v>369</v>
      </c>
      <c r="D3652" t="s">
        <v>5763</v>
      </c>
      <c r="E3652" t="s">
        <v>5772</v>
      </c>
      <c r="F3652" s="129" t="s">
        <v>5772</v>
      </c>
      <c r="G3652" s="135" t="s">
        <v>406</v>
      </c>
      <c r="H3652" s="129" t="str">
        <f ca="1">IF(Proc[[#This Row],[type]]="LFF (MDG-F)",MID(Proc[[#This Row],[Obj]],13,10),"")</f>
        <v>FR10DB3600</v>
      </c>
      <c r="J3652" s="129" t="b">
        <f ca="1">Proc[[#This Row],[Requested]]=Proc[[#This Row],[CurrentParent]]</f>
        <v>1</v>
      </c>
      <c r="K3652" s="129" t="str">
        <f ca="1">IF(Proc[[#This Row],[Author]]="Marcela Urrego",VLOOKUP(LEFT(Proc[[#This Row],[Requested]],1),Table3[#All],2,0),VLOOKUP(Proc[[#This Row],[Author]],Table4[],2,0))</f>
        <v>HC</v>
      </c>
      <c r="L3652" s="129" t="s">
        <v>4896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12</v>
      </c>
      <c r="R3652" s="130" t="s">
        <v>746</v>
      </c>
      <c r="S3652" s="129"/>
    </row>
    <row r="3653" spans="1:19" hidden="1">
      <c r="A3653" s="135" t="s">
        <v>5774</v>
      </c>
      <c r="B3653" s="138" t="str">
        <f ca="1">IFERROR(VLOOKUP(Proc[[#This Row],[App]],Table2[],3,0),"open")</f>
        <v>open</v>
      </c>
      <c r="C3653" s="138" t="s">
        <v>369</v>
      </c>
      <c r="D3653" t="s">
        <v>5764</v>
      </c>
      <c r="E3653" t="s">
        <v>5772</v>
      </c>
      <c r="F3653" s="129" t="s">
        <v>5772</v>
      </c>
      <c r="G3653" s="135" t="s">
        <v>406</v>
      </c>
      <c r="H3653" s="129" t="str">
        <f ca="1">IF(Proc[[#This Row],[type]]="LFF (MDG-F)",MID(Proc[[#This Row],[Obj]],13,10),"")</f>
        <v>GB10DB3600</v>
      </c>
      <c r="J3653" s="129" t="b">
        <f ca="1">Proc[[#This Row],[Requested]]=Proc[[#This Row],[CurrentParent]]</f>
        <v>1</v>
      </c>
      <c r="K3653" s="129" t="str">
        <f ca="1">IF(Proc[[#This Row],[Author]]="Marcela Urrego",VLOOKUP(LEFT(Proc[[#This Row],[Requested]],1),Table3[#All],2,0),VLOOKUP(Proc[[#This Row],[Author]],Table4[],2,0))</f>
        <v>HC</v>
      </c>
      <c r="L3653" s="129" t="s">
        <v>4896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12</v>
      </c>
      <c r="R3653" s="130" t="s">
        <v>746</v>
      </c>
      <c r="S3653" s="129"/>
    </row>
    <row r="3654" spans="1:19" hidden="1">
      <c r="A3654" s="135" t="s">
        <v>5774</v>
      </c>
      <c r="B3654" s="138" t="str">
        <f ca="1">IFERROR(VLOOKUP(Proc[[#This Row],[App]],Table2[],3,0),"open")</f>
        <v>open</v>
      </c>
      <c r="C3654" s="138" t="s">
        <v>369</v>
      </c>
      <c r="D3654" t="s">
        <v>5765</v>
      </c>
      <c r="E3654" t="s">
        <v>5772</v>
      </c>
      <c r="F3654" s="129" t="s">
        <v>5772</v>
      </c>
      <c r="G3654" s="135" t="s">
        <v>406</v>
      </c>
      <c r="H3654" s="129" t="str">
        <f ca="1">IF(Proc[[#This Row],[type]]="LFF (MDG-F)",MID(Proc[[#This Row],[Obj]],13,10),"")</f>
        <v>IE10DB3600</v>
      </c>
      <c r="J3654" s="129" t="b">
        <f ca="1">Proc[[#This Row],[Requested]]=Proc[[#This Row],[CurrentParent]]</f>
        <v>1</v>
      </c>
      <c r="K3654" s="129" t="str">
        <f ca="1">IF(Proc[[#This Row],[Author]]="Marcela Urrego",VLOOKUP(LEFT(Proc[[#This Row],[Requested]],1),Table3[#All],2,0),VLOOKUP(Proc[[#This Row],[Author]],Table4[],2,0))</f>
        <v>HC</v>
      </c>
      <c r="L3654" s="129" t="s">
        <v>4896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12</v>
      </c>
      <c r="R3654" s="130" t="s">
        <v>746</v>
      </c>
      <c r="S3654" s="129"/>
    </row>
    <row r="3655" spans="1:19" hidden="1">
      <c r="A3655" s="135" t="s">
        <v>5774</v>
      </c>
      <c r="B3655" s="138" t="str">
        <f ca="1">IFERROR(VLOOKUP(Proc[[#This Row],[App]],Table2[],3,0),"open")</f>
        <v>open</v>
      </c>
      <c r="C3655" s="138" t="s">
        <v>369</v>
      </c>
      <c r="D3655" t="s">
        <v>5766</v>
      </c>
      <c r="E3655" t="s">
        <v>5772</v>
      </c>
      <c r="F3655" s="129" t="s">
        <v>5772</v>
      </c>
      <c r="G3655" s="135" t="s">
        <v>406</v>
      </c>
      <c r="H3655" s="129" t="str">
        <f ca="1">IF(Proc[[#This Row],[type]]="LFF (MDG-F)",MID(Proc[[#This Row],[Obj]],13,10),"")</f>
        <v>IL10DB3600</v>
      </c>
      <c r="J3655" s="129" t="b">
        <f ca="1">Proc[[#This Row],[Requested]]=Proc[[#This Row],[CurrentParent]]</f>
        <v>1</v>
      </c>
      <c r="K3655" s="129" t="str">
        <f ca="1">IF(Proc[[#This Row],[Author]]="Marcela Urrego",VLOOKUP(LEFT(Proc[[#This Row],[Requested]],1),Table3[#All],2,0),VLOOKUP(Proc[[#This Row],[Author]],Table4[],2,0))</f>
        <v>HC</v>
      </c>
      <c r="L3655" s="129" t="s">
        <v>4896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12</v>
      </c>
      <c r="R3655" s="130" t="s">
        <v>746</v>
      </c>
      <c r="S3655" s="129"/>
    </row>
    <row r="3656" spans="1:19" hidden="1">
      <c r="A3656" s="135" t="s">
        <v>5774</v>
      </c>
      <c r="B3656" s="138" t="str">
        <f ca="1">IFERROR(VLOOKUP(Proc[[#This Row],[App]],Table2[],3,0),"open")</f>
        <v>open</v>
      </c>
      <c r="C3656" s="138" t="s">
        <v>369</v>
      </c>
      <c r="D3656" t="s">
        <v>5767</v>
      </c>
      <c r="E3656" t="s">
        <v>5772</v>
      </c>
      <c r="F3656" s="129" t="s">
        <v>5772</v>
      </c>
      <c r="G3656" s="135" t="s">
        <v>406</v>
      </c>
      <c r="H3656" s="129" t="str">
        <f ca="1">IF(Proc[[#This Row],[type]]="LFF (MDG-F)",MID(Proc[[#This Row],[Obj]],13,10),"")</f>
        <v>IT07DB3600</v>
      </c>
      <c r="J3656" s="129" t="b">
        <f ca="1">Proc[[#This Row],[Requested]]=Proc[[#This Row],[CurrentParent]]</f>
        <v>1</v>
      </c>
      <c r="K3656" s="129" t="str">
        <f ca="1">IF(Proc[[#This Row],[Author]]="Marcela Urrego",VLOOKUP(LEFT(Proc[[#This Row],[Requested]],1),Table3[#All],2,0),VLOOKUP(Proc[[#This Row],[Author]],Table4[],2,0))</f>
        <v>HC</v>
      </c>
      <c r="L3656" s="129" t="s">
        <v>4896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12</v>
      </c>
      <c r="R3656" s="130" t="s">
        <v>746</v>
      </c>
      <c r="S3656" s="129"/>
    </row>
    <row r="3657" spans="1:19" hidden="1">
      <c r="A3657" s="135" t="s">
        <v>5774</v>
      </c>
      <c r="B3657" s="138" t="str">
        <f ca="1">IFERROR(VLOOKUP(Proc[[#This Row],[App]],Table2[],3,0),"open")</f>
        <v>open</v>
      </c>
      <c r="C3657" s="138" t="s">
        <v>369</v>
      </c>
      <c r="D3657" t="s">
        <v>5768</v>
      </c>
      <c r="E3657" t="s">
        <v>5772</v>
      </c>
      <c r="F3657" s="129" t="s">
        <v>5772</v>
      </c>
      <c r="G3657" s="135" t="s">
        <v>406</v>
      </c>
      <c r="H3657" s="129" t="str">
        <f ca="1">IF(Proc[[#This Row],[type]]="LFF (MDG-F)",MID(Proc[[#This Row],[Obj]],13,10),"")</f>
        <v>NL10DB3600</v>
      </c>
      <c r="J3657" s="129" t="b">
        <f ca="1">Proc[[#This Row],[Requested]]=Proc[[#This Row],[CurrentParent]]</f>
        <v>1</v>
      </c>
      <c r="K3657" s="129" t="str">
        <f ca="1">IF(Proc[[#This Row],[Author]]="Marcela Urrego",VLOOKUP(LEFT(Proc[[#This Row],[Requested]],1),Table3[#All],2,0),VLOOKUP(Proc[[#This Row],[Author]],Table4[],2,0))</f>
        <v>HC</v>
      </c>
      <c r="L3657" s="129" t="s">
        <v>4896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12</v>
      </c>
      <c r="R3657" s="130" t="s">
        <v>746</v>
      </c>
      <c r="S3657" s="129"/>
    </row>
    <row r="3658" spans="1:19" hidden="1">
      <c r="A3658" s="135" t="s">
        <v>5774</v>
      </c>
      <c r="B3658" s="138" t="str">
        <f ca="1">IFERROR(VLOOKUP(Proc[[#This Row],[App]],Table2[],3,0),"open")</f>
        <v>open</v>
      </c>
      <c r="C3658" s="135" t="s">
        <v>369</v>
      </c>
      <c r="D3658" t="s">
        <v>5769</v>
      </c>
      <c r="E3658" t="s">
        <v>5773</v>
      </c>
      <c r="F3658" s="129" t="s">
        <v>5773</v>
      </c>
      <c r="G3658" s="135" t="s">
        <v>406</v>
      </c>
      <c r="H3658" s="129" t="str">
        <f ca="1">IF(Proc[[#This Row],[type]]="LFF (MDG-F)",MID(Proc[[#This Row],[Obj]],13,10),"")</f>
        <v>DE01OF0303</v>
      </c>
      <c r="J3658" s="129" t="b">
        <f ca="1">Proc[[#This Row],[Requested]]=Proc[[#This Row],[CurrentParent]]</f>
        <v>1</v>
      </c>
      <c r="K3658" s="129" t="str">
        <f ca="1">IF(Proc[[#This Row],[Author]]="Marcela Urrego",VLOOKUP(LEFT(Proc[[#This Row],[Requested]],1),Table3[#All],2,0),VLOOKUP(Proc[[#This Row],[Author]],Table4[],2,0))</f>
        <v>HC</v>
      </c>
      <c r="L3658" s="129" t="s">
        <v>4896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12</v>
      </c>
      <c r="R3658" s="130" t="s">
        <v>746</v>
      </c>
      <c r="S3658" s="129"/>
    </row>
    <row r="3659" spans="1:19" hidden="1">
      <c r="A3659" s="135" t="s">
        <v>5774</v>
      </c>
      <c r="B3659" s="138" t="str">
        <f ca="1">IFERROR(VLOOKUP(Proc[[#This Row],[App]],Table2[],3,0),"open")</f>
        <v>open</v>
      </c>
      <c r="C3659" s="135" t="s">
        <v>369</v>
      </c>
      <c r="D3659" t="s">
        <v>5770</v>
      </c>
      <c r="E3659" t="s">
        <v>5773</v>
      </c>
      <c r="F3659" s="129" t="s">
        <v>5773</v>
      </c>
      <c r="G3659" s="135" t="s">
        <v>406</v>
      </c>
      <c r="H3659" s="129" t="str">
        <f ca="1">IF(Proc[[#This Row],[type]]="LFF (MDG-F)",MID(Proc[[#This Row],[Obj]],13,10),"")</f>
        <v>DE04OFHQ02</v>
      </c>
      <c r="J3659" s="129" t="b">
        <f ca="1">Proc[[#This Row],[Requested]]=Proc[[#This Row],[CurrentParent]]</f>
        <v>1</v>
      </c>
      <c r="K3659" s="129" t="str">
        <f ca="1">IF(Proc[[#This Row],[Author]]="Marcela Urrego",VLOOKUP(LEFT(Proc[[#This Row],[Requested]],1),Table3[#All],2,0),VLOOKUP(Proc[[#This Row],[Author]],Table4[],2,0))</f>
        <v>HC</v>
      </c>
      <c r="L3659" s="129" t="s">
        <v>4896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12</v>
      </c>
      <c r="R3659" s="130" t="s">
        <v>746</v>
      </c>
      <c r="S3659" s="129"/>
    </row>
    <row r="3660" spans="1:19" hidden="1">
      <c r="A3660" s="135" t="s">
        <v>5774</v>
      </c>
      <c r="B3660" s="138" t="str">
        <f ca="1">IFERROR(VLOOKUP(Proc[[#This Row],[App]],Table2[],3,0),"open")</f>
        <v>open</v>
      </c>
      <c r="C3660" s="135" t="s">
        <v>369</v>
      </c>
      <c r="D3660" t="s">
        <v>5771</v>
      </c>
      <c r="E3660" t="s">
        <v>5773</v>
      </c>
      <c r="F3660" s="129" t="s">
        <v>5773</v>
      </c>
      <c r="G3660" s="135" t="s">
        <v>406</v>
      </c>
      <c r="H3660" s="129" t="str">
        <f ca="1">IF(Proc[[#This Row],[type]]="LFF (MDG-F)",MID(Proc[[#This Row],[Obj]],13,10),"")</f>
        <v>DE04TP5000</v>
      </c>
      <c r="J3660" s="129" t="b">
        <f ca="1">Proc[[#This Row],[Requested]]=Proc[[#This Row],[CurrentParent]]</f>
        <v>1</v>
      </c>
      <c r="K3660" s="129" t="str">
        <f ca="1">IF(Proc[[#This Row],[Author]]="Marcela Urrego",VLOOKUP(LEFT(Proc[[#This Row],[Requested]],1),Table3[#All],2,0),VLOOKUP(Proc[[#This Row],[Author]],Table4[],2,0))</f>
        <v>HC</v>
      </c>
      <c r="L3660" s="129" t="s">
        <v>4896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12</v>
      </c>
      <c r="R3660" s="130" t="s">
        <v>746</v>
      </c>
      <c r="S3660" s="129"/>
    </row>
    <row r="3661" spans="1:19" hidden="1">
      <c r="A3661" t="s">
        <v>5776</v>
      </c>
      <c r="B3661" s="138" t="str">
        <f ca="1">IFERROR(VLOOKUP(Proc[[#This Row],[App]],Table2[],3,0),"open")</f>
        <v>ok</v>
      </c>
      <c r="C3661" s="138" t="s">
        <v>369</v>
      </c>
      <c r="D3661" t="s">
        <v>5777</v>
      </c>
      <c r="E3661" t="s">
        <v>5553</v>
      </c>
      <c r="F3661" s="129" t="s">
        <v>5553</v>
      </c>
      <c r="G3661" s="135" t="s">
        <v>400</v>
      </c>
      <c r="H3661" s="129" t="str">
        <f ca="1">IF(Proc[[#This Row],[type]]="LFF (MDG-F)",MID(Proc[[#This Row],[Obj]],13,10),"")</f>
        <v/>
      </c>
      <c r="J3661" s="129" t="b">
        <f ca="1">Proc[[#This Row],[Requested]]=Proc[[#This Row],[CurrentParent]]</f>
        <v>1</v>
      </c>
      <c r="K3661" s="129" t="str">
        <f ca="1">IF(Proc[[#This Row],[Author]]="Marcela Urrego",VLOOKUP(LEFT(Proc[[#This Row],[Requested]],1),Table3[#All],2,0),VLOOKUP(Proc[[#This Row],[Author]],Table4[],2,0))</f>
        <v>LS</v>
      </c>
      <c r="L3661" s="129" t="s">
        <v>4896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11</v>
      </c>
      <c r="R3661" s="130" t="s">
        <v>489</v>
      </c>
      <c r="S3661" s="129"/>
    </row>
    <row r="3662" spans="1:19" hidden="1">
      <c r="A3662" s="135" t="s">
        <v>5776</v>
      </c>
      <c r="B3662" s="138" t="str">
        <f ca="1">IFERROR(VLOOKUP(Proc[[#This Row],[App]],Table2[],3,0),"open")</f>
        <v>ok</v>
      </c>
      <c r="C3662" s="138" t="s">
        <v>369</v>
      </c>
      <c r="D3662" t="s">
        <v>5778</v>
      </c>
      <c r="E3662" t="s">
        <v>5804</v>
      </c>
      <c r="F3662" s="129" t="s">
        <v>5804</v>
      </c>
      <c r="G3662" t="s">
        <v>400</v>
      </c>
      <c r="H3662" s="129" t="str">
        <f ca="1">IF(Proc[[#This Row],[type]]="LFF (MDG-F)",MID(Proc[[#This Row],[Obj]],13,10),"")</f>
        <v/>
      </c>
      <c r="J3662" s="129" t="b">
        <f ca="1">Proc[[#This Row],[Requested]]=Proc[[#This Row],[CurrentParent]]</f>
        <v>1</v>
      </c>
      <c r="K3662" s="129" t="str">
        <f ca="1">IF(Proc[[#This Row],[Author]]="Marcela Urrego",VLOOKUP(LEFT(Proc[[#This Row],[Requested]],1),Table3[#All],2,0),VLOOKUP(Proc[[#This Row],[Author]],Table4[],2,0))</f>
        <v>LS</v>
      </c>
      <c r="L3662" s="129" t="s">
        <v>4896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11</v>
      </c>
      <c r="R3662" s="131" t="s">
        <v>489</v>
      </c>
      <c r="S3662" s="129"/>
    </row>
    <row r="3663" spans="1:19" hidden="1">
      <c r="A3663" s="135" t="s">
        <v>5776</v>
      </c>
      <c r="B3663" s="138" t="str">
        <f ca="1">IFERROR(VLOOKUP(Proc[[#This Row],[App]],Table2[],3,0),"open")</f>
        <v>ok</v>
      </c>
      <c r="C3663" s="138" t="s">
        <v>369</v>
      </c>
      <c r="D3663" t="s">
        <v>5779</v>
      </c>
      <c r="E3663" t="s">
        <v>5805</v>
      </c>
      <c r="F3663" s="129" t="s">
        <v>5805</v>
      </c>
      <c r="G3663" s="135" t="s">
        <v>400</v>
      </c>
      <c r="H3663" s="129" t="str">
        <f ca="1">IF(Proc[[#This Row],[type]]="LFF (MDG-F)",MID(Proc[[#This Row],[Obj]],13,10),"")</f>
        <v/>
      </c>
      <c r="J3663" s="129" t="b">
        <f ca="1">Proc[[#This Row],[Requested]]=Proc[[#This Row],[CurrentParent]]</f>
        <v>1</v>
      </c>
      <c r="K3663" s="129" t="str">
        <f ca="1">IF(Proc[[#This Row],[Author]]="Marcela Urrego",VLOOKUP(LEFT(Proc[[#This Row],[Requested]],1),Table3[#All],2,0),VLOOKUP(Proc[[#This Row],[Author]],Table4[],2,0))</f>
        <v>LS</v>
      </c>
      <c r="L3663" s="129" t="s">
        <v>4896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11</v>
      </c>
      <c r="R3663" s="131" t="s">
        <v>489</v>
      </c>
      <c r="S3663" s="129"/>
    </row>
    <row r="3664" spans="1:19" hidden="1">
      <c r="A3664" s="135" t="s">
        <v>5776</v>
      </c>
      <c r="B3664" s="138" t="str">
        <f ca="1">IFERROR(VLOOKUP(Proc[[#This Row],[App]],Table2[],3,0),"open")</f>
        <v>ok</v>
      </c>
      <c r="C3664" s="138" t="s">
        <v>369</v>
      </c>
      <c r="D3664" t="s">
        <v>5780</v>
      </c>
      <c r="E3664" t="s">
        <v>5805</v>
      </c>
      <c r="F3664" s="129" t="s">
        <v>5805</v>
      </c>
      <c r="G3664" s="135" t="s">
        <v>400</v>
      </c>
      <c r="H3664" s="129" t="str">
        <f ca="1">IF(Proc[[#This Row],[type]]="LFF (MDG-F)",MID(Proc[[#This Row],[Obj]],13,10),"")</f>
        <v/>
      </c>
      <c r="J3664" s="129" t="b">
        <f ca="1">Proc[[#This Row],[Requested]]=Proc[[#This Row],[CurrentParent]]</f>
        <v>1</v>
      </c>
      <c r="K3664" s="129" t="str">
        <f ca="1">IF(Proc[[#This Row],[Author]]="Marcela Urrego",VLOOKUP(LEFT(Proc[[#This Row],[Requested]],1),Table3[#All],2,0),VLOOKUP(Proc[[#This Row],[Author]],Table4[],2,0))</f>
        <v>LS</v>
      </c>
      <c r="L3664" s="129" t="s">
        <v>4896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11</v>
      </c>
      <c r="R3664" s="131" t="s">
        <v>489</v>
      </c>
      <c r="S3664" s="129"/>
    </row>
    <row r="3665" spans="1:19" hidden="1">
      <c r="A3665" s="135" t="s">
        <v>5776</v>
      </c>
      <c r="B3665" s="138" t="str">
        <f ca="1">IFERROR(VLOOKUP(Proc[[#This Row],[App]],Table2[],3,0),"open")</f>
        <v>ok</v>
      </c>
      <c r="C3665" s="138" t="s">
        <v>369</v>
      </c>
      <c r="D3665" t="s">
        <v>5781</v>
      </c>
      <c r="E3665" t="s">
        <v>5805</v>
      </c>
      <c r="F3665" s="129" t="s">
        <v>5805</v>
      </c>
      <c r="G3665" s="135" t="s">
        <v>400</v>
      </c>
      <c r="H3665" s="129" t="str">
        <f ca="1">IF(Proc[[#This Row],[type]]="LFF (MDG-F)",MID(Proc[[#This Row],[Obj]],13,10),"")</f>
        <v/>
      </c>
      <c r="J3665" s="129" t="b">
        <f ca="1">Proc[[#This Row],[Requested]]=Proc[[#This Row],[CurrentParent]]</f>
        <v>1</v>
      </c>
      <c r="K3665" s="129" t="str">
        <f ca="1">IF(Proc[[#This Row],[Author]]="Marcela Urrego",VLOOKUP(LEFT(Proc[[#This Row],[Requested]],1),Table3[#All],2,0),VLOOKUP(Proc[[#This Row],[Author]],Table4[],2,0))</f>
        <v>LS</v>
      </c>
      <c r="L3665" s="129" t="s">
        <v>4896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11</v>
      </c>
      <c r="R3665" s="131" t="s">
        <v>489</v>
      </c>
      <c r="S3665" s="129"/>
    </row>
    <row r="3666" spans="1:19" hidden="1">
      <c r="A3666" s="135" t="s">
        <v>5776</v>
      </c>
      <c r="B3666" s="138" t="str">
        <f ca="1">IFERROR(VLOOKUP(Proc[[#This Row],[App]],Table2[],3,0),"open")</f>
        <v>ok</v>
      </c>
      <c r="C3666" s="138" t="s">
        <v>369</v>
      </c>
      <c r="D3666" t="s">
        <v>5782</v>
      </c>
      <c r="E3666" t="s">
        <v>5806</v>
      </c>
      <c r="F3666" s="129" t="s">
        <v>5806</v>
      </c>
      <c r="G3666" s="135" t="s">
        <v>400</v>
      </c>
      <c r="H3666" s="129" t="str">
        <f ca="1">IF(Proc[[#This Row],[type]]="LFF (MDG-F)",MID(Proc[[#This Row],[Obj]],13,10),"")</f>
        <v/>
      </c>
      <c r="J3666" s="129" t="b">
        <f ca="1">Proc[[#This Row],[Requested]]=Proc[[#This Row],[CurrentParent]]</f>
        <v>1</v>
      </c>
      <c r="K3666" s="129" t="str">
        <f ca="1">IF(Proc[[#This Row],[Author]]="Marcela Urrego",VLOOKUP(LEFT(Proc[[#This Row],[Requested]],1),Table3[#All],2,0),VLOOKUP(Proc[[#This Row],[Author]],Table4[],2,0))</f>
        <v>LS</v>
      </c>
      <c r="L3666" s="129" t="s">
        <v>4896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11</v>
      </c>
      <c r="R3666" s="131" t="s">
        <v>489</v>
      </c>
      <c r="S3666" s="129"/>
    </row>
    <row r="3667" spans="1:19" hidden="1">
      <c r="A3667" s="135" t="s">
        <v>5776</v>
      </c>
      <c r="B3667" s="138" t="str">
        <f ca="1">IFERROR(VLOOKUP(Proc[[#This Row],[App]],Table2[],3,0),"open")</f>
        <v>ok</v>
      </c>
      <c r="C3667" s="138" t="s">
        <v>369</v>
      </c>
      <c r="D3667" t="s">
        <v>5783</v>
      </c>
      <c r="E3667" t="s">
        <v>5806</v>
      </c>
      <c r="F3667" s="129" t="s">
        <v>5806</v>
      </c>
      <c r="G3667" s="135" t="s">
        <v>400</v>
      </c>
      <c r="H3667" s="129" t="str">
        <f ca="1">IF(Proc[[#This Row],[type]]="LFF (MDG-F)",MID(Proc[[#This Row],[Obj]],13,10),"")</f>
        <v/>
      </c>
      <c r="J3667" s="129" t="b">
        <f ca="1">Proc[[#This Row],[Requested]]=Proc[[#This Row],[CurrentParent]]</f>
        <v>1</v>
      </c>
      <c r="K3667" s="129" t="str">
        <f ca="1">IF(Proc[[#This Row],[Author]]="Marcela Urrego",VLOOKUP(LEFT(Proc[[#This Row],[Requested]],1),Table3[#All],2,0),VLOOKUP(Proc[[#This Row],[Author]],Table4[],2,0))</f>
        <v>LS</v>
      </c>
      <c r="L3667" s="129" t="s">
        <v>4896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11</v>
      </c>
      <c r="R3667" s="131" t="s">
        <v>489</v>
      </c>
      <c r="S3667" s="129"/>
    </row>
    <row r="3668" spans="1:19" hidden="1">
      <c r="A3668" s="135" t="s">
        <v>5776</v>
      </c>
      <c r="B3668" s="138" t="str">
        <f ca="1">IFERROR(VLOOKUP(Proc[[#This Row],[App]],Table2[],3,0),"open")</f>
        <v>ok</v>
      </c>
      <c r="C3668" s="138" t="s">
        <v>369</v>
      </c>
      <c r="D3668" t="s">
        <v>5784</v>
      </c>
      <c r="E3668" t="s">
        <v>5807</v>
      </c>
      <c r="F3668" s="129" t="s">
        <v>5807</v>
      </c>
      <c r="G3668" s="135" t="s">
        <v>400</v>
      </c>
      <c r="H3668" s="129" t="str">
        <f ca="1">IF(Proc[[#This Row],[type]]="LFF (MDG-F)",MID(Proc[[#This Row],[Obj]],13,10),"")</f>
        <v/>
      </c>
      <c r="J3668" s="129" t="b">
        <f ca="1">Proc[[#This Row],[Requested]]=Proc[[#This Row],[CurrentParent]]</f>
        <v>1</v>
      </c>
      <c r="K3668" s="129" t="str">
        <f ca="1">IF(Proc[[#This Row],[Author]]="Marcela Urrego",VLOOKUP(LEFT(Proc[[#This Row],[Requested]],1),Table3[#All],2,0),VLOOKUP(Proc[[#This Row],[Author]],Table4[],2,0))</f>
        <v>LS</v>
      </c>
      <c r="L3668" s="129" t="s">
        <v>4896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11</v>
      </c>
      <c r="R3668" s="131" t="s">
        <v>489</v>
      </c>
      <c r="S3668" s="129"/>
    </row>
    <row r="3669" spans="1:19" hidden="1">
      <c r="A3669" s="135" t="s">
        <v>5776</v>
      </c>
      <c r="B3669" s="138" t="str">
        <f ca="1">IFERROR(VLOOKUP(Proc[[#This Row],[App]],Table2[],3,0),"open")</f>
        <v>ok</v>
      </c>
      <c r="C3669" s="138" t="s">
        <v>369</v>
      </c>
      <c r="D3669" t="s">
        <v>5785</v>
      </c>
      <c r="E3669" t="s">
        <v>5807</v>
      </c>
      <c r="F3669" s="129" t="s">
        <v>5807</v>
      </c>
      <c r="G3669" s="135" t="s">
        <v>400</v>
      </c>
      <c r="H3669" s="129" t="str">
        <f ca="1">IF(Proc[[#This Row],[type]]="LFF (MDG-F)",MID(Proc[[#This Row],[Obj]],13,10),"")</f>
        <v/>
      </c>
      <c r="J3669" s="129" t="b">
        <f ca="1">Proc[[#This Row],[Requested]]=Proc[[#This Row],[CurrentParent]]</f>
        <v>1</v>
      </c>
      <c r="K3669" s="129" t="str">
        <f ca="1">IF(Proc[[#This Row],[Author]]="Marcela Urrego",VLOOKUP(LEFT(Proc[[#This Row],[Requested]],1),Table3[#All],2,0),VLOOKUP(Proc[[#This Row],[Author]],Table4[],2,0))</f>
        <v>LS</v>
      </c>
      <c r="L3669" s="129" t="s">
        <v>4896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11</v>
      </c>
      <c r="R3669" s="131" t="s">
        <v>489</v>
      </c>
      <c r="S3669" s="129"/>
    </row>
    <row r="3670" spans="1:19" hidden="1">
      <c r="A3670" s="135" t="s">
        <v>5776</v>
      </c>
      <c r="B3670" s="138" t="str">
        <f ca="1">IFERROR(VLOOKUP(Proc[[#This Row],[App]],Table2[],3,0),"open")</f>
        <v>ok</v>
      </c>
      <c r="C3670" s="138" t="s">
        <v>369</v>
      </c>
      <c r="D3670" t="s">
        <v>5786</v>
      </c>
      <c r="E3670" t="s">
        <v>5808</v>
      </c>
      <c r="F3670" s="129" t="s">
        <v>5808</v>
      </c>
      <c r="G3670" s="135" t="s">
        <v>400</v>
      </c>
      <c r="H3670" s="129" t="str">
        <f ca="1">IF(Proc[[#This Row],[type]]="LFF (MDG-F)",MID(Proc[[#This Row],[Obj]],13,10),"")</f>
        <v/>
      </c>
      <c r="J3670" s="129" t="b">
        <f ca="1">Proc[[#This Row],[Requested]]=Proc[[#This Row],[CurrentParent]]</f>
        <v>1</v>
      </c>
      <c r="K3670" s="129" t="str">
        <f ca="1">IF(Proc[[#This Row],[Author]]="Marcela Urrego",VLOOKUP(LEFT(Proc[[#This Row],[Requested]],1),Table3[#All],2,0),VLOOKUP(Proc[[#This Row],[Author]],Table4[],2,0))</f>
        <v>LS</v>
      </c>
      <c r="L3670" s="129" t="s">
        <v>4896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11</v>
      </c>
      <c r="R3670" s="131" t="s">
        <v>489</v>
      </c>
      <c r="S3670" s="129"/>
    </row>
    <row r="3671" spans="1:19" hidden="1">
      <c r="A3671" s="135" t="s">
        <v>5776</v>
      </c>
      <c r="B3671" s="138" t="str">
        <f ca="1">IFERROR(VLOOKUP(Proc[[#This Row],[App]],Table2[],3,0),"open")</f>
        <v>ok</v>
      </c>
      <c r="C3671" s="138" t="s">
        <v>369</v>
      </c>
      <c r="D3671" t="s">
        <v>5787</v>
      </c>
      <c r="E3671" t="s">
        <v>5809</v>
      </c>
      <c r="F3671" s="129" t="s">
        <v>5809</v>
      </c>
      <c r="G3671" s="135" t="s">
        <v>400</v>
      </c>
      <c r="H3671" s="129" t="str">
        <f ca="1">IF(Proc[[#This Row],[type]]="LFF (MDG-F)",MID(Proc[[#This Row],[Obj]],13,10),"")</f>
        <v/>
      </c>
      <c r="J3671" s="129" t="b">
        <f ca="1">Proc[[#This Row],[Requested]]=Proc[[#This Row],[CurrentParent]]</f>
        <v>1</v>
      </c>
      <c r="K3671" s="129" t="str">
        <f ca="1">IF(Proc[[#This Row],[Author]]="Marcela Urrego",VLOOKUP(LEFT(Proc[[#This Row],[Requested]],1),Table3[#All],2,0),VLOOKUP(Proc[[#This Row],[Author]],Table4[],2,0))</f>
        <v>LS</v>
      </c>
      <c r="L3671" s="129" t="s">
        <v>4896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11</v>
      </c>
      <c r="R3671" s="131" t="s">
        <v>489</v>
      </c>
      <c r="S3671" s="129"/>
    </row>
    <row r="3672" spans="1:19" hidden="1">
      <c r="A3672" s="135" t="s">
        <v>5776</v>
      </c>
      <c r="B3672" s="138" t="str">
        <f ca="1">IFERROR(VLOOKUP(Proc[[#This Row],[App]],Table2[],3,0),"open")</f>
        <v>ok</v>
      </c>
      <c r="C3672" s="138" t="s">
        <v>369</v>
      </c>
      <c r="D3672" t="s">
        <v>5788</v>
      </c>
      <c r="E3672" t="s">
        <v>4386</v>
      </c>
      <c r="F3672" s="129" t="s">
        <v>4386</v>
      </c>
      <c r="G3672" s="135" t="s">
        <v>400</v>
      </c>
      <c r="H3672" s="129" t="str">
        <f ca="1">IF(Proc[[#This Row],[type]]="LFF (MDG-F)",MID(Proc[[#This Row],[Obj]],13,10),"")</f>
        <v/>
      </c>
      <c r="J3672" s="129" t="b">
        <f ca="1">Proc[[#This Row],[Requested]]=Proc[[#This Row],[CurrentParent]]</f>
        <v>1</v>
      </c>
      <c r="K3672" s="129" t="str">
        <f ca="1">IF(Proc[[#This Row],[Author]]="Marcela Urrego",VLOOKUP(LEFT(Proc[[#This Row],[Requested]],1),Table3[#All],2,0),VLOOKUP(Proc[[#This Row],[Author]],Table4[],2,0))</f>
        <v>LS</v>
      </c>
      <c r="L3672" s="129" t="s">
        <v>4896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11</v>
      </c>
      <c r="R3672" s="131" t="s">
        <v>489</v>
      </c>
      <c r="S3672" s="129"/>
    </row>
    <row r="3673" spans="1:19" hidden="1">
      <c r="A3673" s="135" t="s">
        <v>5776</v>
      </c>
      <c r="B3673" s="138" t="str">
        <f ca="1">IFERROR(VLOOKUP(Proc[[#This Row],[App]],Table2[],3,0),"open")</f>
        <v>ok</v>
      </c>
      <c r="C3673" s="138" t="s">
        <v>369</v>
      </c>
      <c r="D3673" t="s">
        <v>3091</v>
      </c>
      <c r="E3673" t="s">
        <v>5810</v>
      </c>
      <c r="F3673" s="129" t="s">
        <v>5810</v>
      </c>
      <c r="G3673" s="135" t="s">
        <v>400</v>
      </c>
      <c r="H3673" s="129" t="str">
        <f ca="1">IF(Proc[[#This Row],[type]]="LFF (MDG-F)",MID(Proc[[#This Row],[Obj]],13,10),"")</f>
        <v/>
      </c>
      <c r="J3673" s="129" t="b">
        <f ca="1">Proc[[#This Row],[Requested]]=Proc[[#This Row],[CurrentParent]]</f>
        <v>1</v>
      </c>
      <c r="K3673" s="129" t="str">
        <f ca="1">IF(Proc[[#This Row],[Author]]="Marcela Urrego",VLOOKUP(LEFT(Proc[[#This Row],[Requested]],1),Table3[#All],2,0),VLOOKUP(Proc[[#This Row],[Author]],Table4[],2,0))</f>
        <v>LS</v>
      </c>
      <c r="L3673" s="129" t="s">
        <v>4896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11</v>
      </c>
      <c r="R3673" s="131" t="s">
        <v>489</v>
      </c>
      <c r="S3673" s="129"/>
    </row>
    <row r="3674" spans="1:19" hidden="1">
      <c r="A3674" s="135" t="s">
        <v>5776</v>
      </c>
      <c r="B3674" s="138" t="str">
        <f ca="1">IFERROR(VLOOKUP(Proc[[#This Row],[App]],Table2[],3,0),"open")</f>
        <v>ok</v>
      </c>
      <c r="C3674" s="138" t="s">
        <v>369</v>
      </c>
      <c r="D3674" t="s">
        <v>5789</v>
      </c>
      <c r="E3674" t="s">
        <v>5811</v>
      </c>
      <c r="F3674" s="129" t="s">
        <v>5811</v>
      </c>
      <c r="G3674" s="135" t="s">
        <v>400</v>
      </c>
      <c r="H3674" s="129" t="str">
        <f ca="1">IF(Proc[[#This Row],[type]]="LFF (MDG-F)",MID(Proc[[#This Row],[Obj]],13,10),"")</f>
        <v/>
      </c>
      <c r="J3674" s="129" t="b">
        <f ca="1">Proc[[#This Row],[Requested]]=Proc[[#This Row],[CurrentParent]]</f>
        <v>1</v>
      </c>
      <c r="K3674" s="129" t="str">
        <f ca="1">IF(Proc[[#This Row],[Author]]="Marcela Urrego",VLOOKUP(LEFT(Proc[[#This Row],[Requested]],1),Table3[#All],2,0),VLOOKUP(Proc[[#This Row],[Author]],Table4[],2,0))</f>
        <v>LS</v>
      </c>
      <c r="L3674" s="129" t="s">
        <v>4896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11</v>
      </c>
      <c r="R3674" s="131" t="s">
        <v>489</v>
      </c>
      <c r="S3674" s="129"/>
    </row>
    <row r="3675" spans="1:19" hidden="1">
      <c r="A3675" s="135" t="s">
        <v>5776</v>
      </c>
      <c r="B3675" s="138" t="str">
        <f ca="1">IFERROR(VLOOKUP(Proc[[#This Row],[App]],Table2[],3,0),"open")</f>
        <v>ok</v>
      </c>
      <c r="C3675" s="138" t="s">
        <v>369</v>
      </c>
      <c r="D3675" t="s">
        <v>5790</v>
      </c>
      <c r="E3675" t="s">
        <v>3545</v>
      </c>
      <c r="F3675" s="129" t="s">
        <v>3545</v>
      </c>
      <c r="G3675" s="135" t="s">
        <v>400</v>
      </c>
      <c r="H3675" s="129" t="str">
        <f ca="1">IF(Proc[[#This Row],[type]]="LFF (MDG-F)",MID(Proc[[#This Row],[Obj]],13,10),"")</f>
        <v/>
      </c>
      <c r="J3675" s="129" t="b">
        <f ca="1">Proc[[#This Row],[Requested]]=Proc[[#This Row],[CurrentParent]]</f>
        <v>1</v>
      </c>
      <c r="K3675" s="129" t="str">
        <f ca="1">IF(Proc[[#This Row],[Author]]="Marcela Urrego",VLOOKUP(LEFT(Proc[[#This Row],[Requested]],1),Table3[#All],2,0),VLOOKUP(Proc[[#This Row],[Author]],Table4[],2,0))</f>
        <v>LS</v>
      </c>
      <c r="L3675" s="129" t="s">
        <v>4896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11</v>
      </c>
      <c r="R3675" s="131" t="s">
        <v>489</v>
      </c>
      <c r="S3675" s="129"/>
    </row>
    <row r="3676" spans="1:19" hidden="1">
      <c r="A3676" s="135" t="s">
        <v>5776</v>
      </c>
      <c r="B3676" s="138" t="str">
        <f ca="1">IFERROR(VLOOKUP(Proc[[#This Row],[App]],Table2[],3,0),"open")</f>
        <v>ok</v>
      </c>
      <c r="C3676" s="138" t="s">
        <v>369</v>
      </c>
      <c r="D3676" t="s">
        <v>5791</v>
      </c>
      <c r="E3676" t="s">
        <v>3545</v>
      </c>
      <c r="F3676" s="129" t="s">
        <v>3545</v>
      </c>
      <c r="G3676" s="135" t="s">
        <v>400</v>
      </c>
      <c r="H3676" s="129" t="str">
        <f ca="1">IF(Proc[[#This Row],[type]]="LFF (MDG-F)",MID(Proc[[#This Row],[Obj]],13,10),"")</f>
        <v/>
      </c>
      <c r="J3676" s="129" t="b">
        <f ca="1">Proc[[#This Row],[Requested]]=Proc[[#This Row],[CurrentParent]]</f>
        <v>1</v>
      </c>
      <c r="K3676" s="129" t="str">
        <f ca="1">IF(Proc[[#This Row],[Author]]="Marcela Urrego",VLOOKUP(LEFT(Proc[[#This Row],[Requested]],1),Table3[#All],2,0),VLOOKUP(Proc[[#This Row],[Author]],Table4[],2,0))</f>
        <v>LS</v>
      </c>
      <c r="L3676" s="129" t="s">
        <v>4896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11</v>
      </c>
      <c r="R3676" s="131" t="s">
        <v>489</v>
      </c>
      <c r="S3676" s="129"/>
    </row>
    <row r="3677" spans="1:19" hidden="1">
      <c r="A3677" s="135" t="s">
        <v>5776</v>
      </c>
      <c r="B3677" s="138" t="str">
        <f ca="1">IFERROR(VLOOKUP(Proc[[#This Row],[App]],Table2[],3,0),"open")</f>
        <v>ok</v>
      </c>
      <c r="C3677" s="138" t="s">
        <v>369</v>
      </c>
      <c r="D3677" t="s">
        <v>5792</v>
      </c>
      <c r="E3677" t="s">
        <v>3545</v>
      </c>
      <c r="F3677" s="129" t="s">
        <v>3545</v>
      </c>
      <c r="G3677" s="135" t="s">
        <v>400</v>
      </c>
      <c r="H3677" s="129" t="str">
        <f ca="1">IF(Proc[[#This Row],[type]]="LFF (MDG-F)",MID(Proc[[#This Row],[Obj]],13,10),"")</f>
        <v/>
      </c>
      <c r="J3677" s="129" t="b">
        <f ca="1">Proc[[#This Row],[Requested]]=Proc[[#This Row],[CurrentParent]]</f>
        <v>1</v>
      </c>
      <c r="K3677" s="129" t="str">
        <f ca="1">IF(Proc[[#This Row],[Author]]="Marcela Urrego",VLOOKUP(LEFT(Proc[[#This Row],[Requested]],1),Table3[#All],2,0),VLOOKUP(Proc[[#This Row],[Author]],Table4[],2,0))</f>
        <v>LS</v>
      </c>
      <c r="L3677" s="129" t="s">
        <v>4896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11</v>
      </c>
      <c r="R3677" s="131" t="s">
        <v>489</v>
      </c>
      <c r="S3677" s="129"/>
    </row>
    <row r="3678" spans="1:19" hidden="1">
      <c r="A3678" s="135" t="s">
        <v>5776</v>
      </c>
      <c r="B3678" s="138" t="str">
        <f ca="1">IFERROR(VLOOKUP(Proc[[#This Row],[App]],Table2[],3,0),"open")</f>
        <v>ok</v>
      </c>
      <c r="C3678" s="138" t="s">
        <v>369</v>
      </c>
      <c r="D3678" t="s">
        <v>5793</v>
      </c>
      <c r="E3678" t="s">
        <v>5812</v>
      </c>
      <c r="F3678" s="129" t="s">
        <v>5812</v>
      </c>
      <c r="G3678" s="135" t="s">
        <v>400</v>
      </c>
      <c r="H3678" s="129" t="str">
        <f ca="1">IF(Proc[[#This Row],[type]]="LFF (MDG-F)",MID(Proc[[#This Row],[Obj]],13,10),"")</f>
        <v/>
      </c>
      <c r="J3678" s="129" t="b">
        <f ca="1">Proc[[#This Row],[Requested]]=Proc[[#This Row],[CurrentParent]]</f>
        <v>1</v>
      </c>
      <c r="K3678" s="129" t="str">
        <f ca="1">IF(Proc[[#This Row],[Author]]="Marcela Urrego",VLOOKUP(LEFT(Proc[[#This Row],[Requested]],1),Table3[#All],2,0),VLOOKUP(Proc[[#This Row],[Author]],Table4[],2,0))</f>
        <v>LS</v>
      </c>
      <c r="L3678" s="129" t="s">
        <v>4896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11</v>
      </c>
      <c r="R3678" s="131" t="s">
        <v>489</v>
      </c>
      <c r="S3678" s="129"/>
    </row>
    <row r="3679" spans="1:19" hidden="1">
      <c r="A3679" s="135" t="s">
        <v>5776</v>
      </c>
      <c r="B3679" s="138" t="str">
        <f ca="1">IFERROR(VLOOKUP(Proc[[#This Row],[App]],Table2[],3,0),"open")</f>
        <v>ok</v>
      </c>
      <c r="C3679" s="138" t="s">
        <v>369</v>
      </c>
      <c r="D3679" t="s">
        <v>5794</v>
      </c>
      <c r="E3679" t="s">
        <v>5812</v>
      </c>
      <c r="F3679" s="129" t="s">
        <v>5812</v>
      </c>
      <c r="G3679" s="135" t="s">
        <v>400</v>
      </c>
      <c r="H3679" s="129" t="str">
        <f ca="1">IF(Proc[[#This Row],[type]]="LFF (MDG-F)",MID(Proc[[#This Row],[Obj]],13,10),"")</f>
        <v/>
      </c>
      <c r="J3679" s="129" t="b">
        <f ca="1">Proc[[#This Row],[Requested]]=Proc[[#This Row],[CurrentParent]]</f>
        <v>1</v>
      </c>
      <c r="K3679" s="129" t="str">
        <f ca="1">IF(Proc[[#This Row],[Author]]="Marcela Urrego",VLOOKUP(LEFT(Proc[[#This Row],[Requested]],1),Table3[#All],2,0),VLOOKUP(Proc[[#This Row],[Author]],Table4[],2,0))</f>
        <v>LS</v>
      </c>
      <c r="L3679" s="129" t="s">
        <v>4896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11</v>
      </c>
      <c r="R3679" s="131" t="s">
        <v>489</v>
      </c>
      <c r="S3679" s="129"/>
    </row>
    <row r="3680" spans="1:19" hidden="1">
      <c r="A3680" s="135" t="s">
        <v>5776</v>
      </c>
      <c r="B3680" s="138" t="str">
        <f ca="1">IFERROR(VLOOKUP(Proc[[#This Row],[App]],Table2[],3,0),"open")</f>
        <v>ok</v>
      </c>
      <c r="C3680" s="138" t="s">
        <v>369</v>
      </c>
      <c r="D3680" t="s">
        <v>3481</v>
      </c>
      <c r="E3680" t="s">
        <v>3545</v>
      </c>
      <c r="F3680" s="129" t="s">
        <v>3545</v>
      </c>
      <c r="G3680" s="135" t="s">
        <v>400</v>
      </c>
      <c r="H3680" s="129" t="str">
        <f ca="1">IF(Proc[[#This Row],[type]]="LFF (MDG-F)",MID(Proc[[#This Row],[Obj]],13,10),"")</f>
        <v/>
      </c>
      <c r="J3680" s="129" t="b">
        <f ca="1">Proc[[#This Row],[Requested]]=Proc[[#This Row],[CurrentParent]]</f>
        <v>1</v>
      </c>
      <c r="K3680" s="129" t="str">
        <f ca="1">IF(Proc[[#This Row],[Author]]="Marcela Urrego",VLOOKUP(LEFT(Proc[[#This Row],[Requested]],1),Table3[#All],2,0),VLOOKUP(Proc[[#This Row],[Author]],Table4[],2,0))</f>
        <v>LS</v>
      </c>
      <c r="L3680" s="129" t="s">
        <v>4896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11</v>
      </c>
      <c r="R3680" s="131" t="s">
        <v>489</v>
      </c>
      <c r="S3680" s="129"/>
    </row>
    <row r="3681" spans="1:19" hidden="1">
      <c r="A3681" s="135" t="s">
        <v>5776</v>
      </c>
      <c r="B3681" s="138" t="str">
        <f ca="1">IFERROR(VLOOKUP(Proc[[#This Row],[App]],Table2[],3,0),"open")</f>
        <v>ok</v>
      </c>
      <c r="C3681" s="138" t="s">
        <v>369</v>
      </c>
      <c r="D3681" t="s">
        <v>3490</v>
      </c>
      <c r="E3681" t="s">
        <v>3528</v>
      </c>
      <c r="F3681" s="129" t="s">
        <v>3528</v>
      </c>
      <c r="G3681" s="135" t="s">
        <v>400</v>
      </c>
      <c r="H3681" s="129" t="str">
        <f ca="1">IF(Proc[[#This Row],[type]]="LFF (MDG-F)",MID(Proc[[#This Row],[Obj]],13,10),"")</f>
        <v/>
      </c>
      <c r="J3681" s="129" t="b">
        <f ca="1">Proc[[#This Row],[Requested]]=Proc[[#This Row],[CurrentParent]]</f>
        <v>1</v>
      </c>
      <c r="K3681" s="129" t="str">
        <f ca="1">IF(Proc[[#This Row],[Author]]="Marcela Urrego",VLOOKUP(LEFT(Proc[[#This Row],[Requested]],1),Table3[#All],2,0),VLOOKUP(Proc[[#This Row],[Author]],Table4[],2,0))</f>
        <v>LS</v>
      </c>
      <c r="L3681" s="129" t="s">
        <v>4896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11</v>
      </c>
      <c r="R3681" s="131" t="s">
        <v>489</v>
      </c>
      <c r="S3681" s="129"/>
    </row>
    <row r="3682" spans="1:19" hidden="1">
      <c r="A3682" s="135" t="s">
        <v>5776</v>
      </c>
      <c r="B3682" s="138" t="str">
        <f ca="1">IFERROR(VLOOKUP(Proc[[#This Row],[App]],Table2[],3,0),"open")</f>
        <v>ok</v>
      </c>
      <c r="C3682" s="138" t="s">
        <v>369</v>
      </c>
      <c r="D3682" t="s">
        <v>5795</v>
      </c>
      <c r="E3682" t="s">
        <v>3545</v>
      </c>
      <c r="F3682" s="129" t="s">
        <v>3545</v>
      </c>
      <c r="G3682" s="135" t="s">
        <v>400</v>
      </c>
      <c r="H3682" s="129" t="str">
        <f ca="1">IF(Proc[[#This Row],[type]]="LFF (MDG-F)",MID(Proc[[#This Row],[Obj]],13,10),"")</f>
        <v/>
      </c>
      <c r="J3682" s="129" t="b">
        <f ca="1">Proc[[#This Row],[Requested]]=Proc[[#This Row],[CurrentParent]]</f>
        <v>1</v>
      </c>
      <c r="K3682" s="129" t="str">
        <f ca="1">IF(Proc[[#This Row],[Author]]="Marcela Urrego",VLOOKUP(LEFT(Proc[[#This Row],[Requested]],1),Table3[#All],2,0),VLOOKUP(Proc[[#This Row],[Author]],Table4[],2,0))</f>
        <v>LS</v>
      </c>
      <c r="L3682" s="129" t="s">
        <v>4896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11</v>
      </c>
      <c r="R3682" s="131" t="s">
        <v>489</v>
      </c>
      <c r="S3682" s="129"/>
    </row>
    <row r="3683" spans="1:19" hidden="1">
      <c r="A3683" s="135" t="s">
        <v>5776</v>
      </c>
      <c r="B3683" s="138" t="str">
        <f ca="1">IFERROR(VLOOKUP(Proc[[#This Row],[App]],Table2[],3,0),"open")</f>
        <v>ok</v>
      </c>
      <c r="C3683" s="138" t="s">
        <v>369</v>
      </c>
      <c r="D3683" t="s">
        <v>5796</v>
      </c>
      <c r="E3683" t="s">
        <v>3528</v>
      </c>
      <c r="F3683" s="129" t="s">
        <v>3528</v>
      </c>
      <c r="G3683" s="135" t="s">
        <v>400</v>
      </c>
      <c r="H3683" s="129" t="str">
        <f ca="1">IF(Proc[[#This Row],[type]]="LFF (MDG-F)",MID(Proc[[#This Row],[Obj]],13,10),"")</f>
        <v/>
      </c>
      <c r="J3683" s="129" t="b">
        <f ca="1">Proc[[#This Row],[Requested]]=Proc[[#This Row],[CurrentParent]]</f>
        <v>1</v>
      </c>
      <c r="K3683" s="129" t="str">
        <f ca="1">IF(Proc[[#This Row],[Author]]="Marcela Urrego",VLOOKUP(LEFT(Proc[[#This Row],[Requested]],1),Table3[#All],2,0),VLOOKUP(Proc[[#This Row],[Author]],Table4[],2,0))</f>
        <v>LS</v>
      </c>
      <c r="L3683" s="129" t="s">
        <v>4896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11</v>
      </c>
      <c r="R3683" s="131" t="s">
        <v>489</v>
      </c>
      <c r="S3683" s="129"/>
    </row>
    <row r="3684" spans="1:19" hidden="1">
      <c r="A3684" s="135" t="s">
        <v>5776</v>
      </c>
      <c r="B3684" s="138" t="str">
        <f ca="1">IFERROR(VLOOKUP(Proc[[#This Row],[App]],Table2[],3,0),"open")</f>
        <v>ok</v>
      </c>
      <c r="C3684" s="138" t="s">
        <v>369</v>
      </c>
      <c r="D3684" t="s">
        <v>5797</v>
      </c>
      <c r="E3684" t="s">
        <v>3528</v>
      </c>
      <c r="F3684" s="129" t="s">
        <v>3528</v>
      </c>
      <c r="G3684" s="135" t="s">
        <v>400</v>
      </c>
      <c r="H3684" s="129" t="str">
        <f ca="1">IF(Proc[[#This Row],[type]]="LFF (MDG-F)",MID(Proc[[#This Row],[Obj]],13,10),"")</f>
        <v/>
      </c>
      <c r="J3684" s="129" t="b">
        <f ca="1">Proc[[#This Row],[Requested]]=Proc[[#This Row],[CurrentParent]]</f>
        <v>1</v>
      </c>
      <c r="K3684" s="129" t="str">
        <f ca="1">IF(Proc[[#This Row],[Author]]="Marcela Urrego",VLOOKUP(LEFT(Proc[[#This Row],[Requested]],1),Table3[#All],2,0),VLOOKUP(Proc[[#This Row],[Author]],Table4[],2,0))</f>
        <v>LS</v>
      </c>
      <c r="L3684" s="129" t="s">
        <v>4896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11</v>
      </c>
      <c r="R3684" s="131" t="s">
        <v>489</v>
      </c>
      <c r="S3684" s="129"/>
    </row>
    <row r="3685" spans="1:19" hidden="1">
      <c r="A3685" s="135" t="s">
        <v>5776</v>
      </c>
      <c r="B3685" s="138" t="str">
        <f ca="1">IFERROR(VLOOKUP(Proc[[#This Row],[App]],Table2[],3,0),"open")</f>
        <v>ok</v>
      </c>
      <c r="C3685" s="138" t="s">
        <v>369</v>
      </c>
      <c r="D3685" t="s">
        <v>5798</v>
      </c>
      <c r="E3685" t="s">
        <v>5813</v>
      </c>
      <c r="F3685" s="129" t="s">
        <v>5813</v>
      </c>
      <c r="G3685" s="135" t="s">
        <v>400</v>
      </c>
      <c r="H3685" s="129" t="str">
        <f ca="1">IF(Proc[[#This Row],[type]]="LFF (MDG-F)",MID(Proc[[#This Row],[Obj]],13,10),"")</f>
        <v/>
      </c>
      <c r="J3685" s="129" t="b">
        <f ca="1">Proc[[#This Row],[Requested]]=Proc[[#This Row],[CurrentParent]]</f>
        <v>1</v>
      </c>
      <c r="K3685" s="129" t="str">
        <f ca="1">IF(Proc[[#This Row],[Author]]="Marcela Urrego",VLOOKUP(LEFT(Proc[[#This Row],[Requested]],1),Table3[#All],2,0),VLOOKUP(Proc[[#This Row],[Author]],Table4[],2,0))</f>
        <v>LS</v>
      </c>
      <c r="L3685" s="129" t="s">
        <v>4896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11</v>
      </c>
      <c r="R3685" s="131" t="s">
        <v>489</v>
      </c>
      <c r="S3685" s="129"/>
    </row>
    <row r="3686" spans="1:19" hidden="1">
      <c r="A3686" s="135" t="s">
        <v>5776</v>
      </c>
      <c r="B3686" s="138" t="str">
        <f ca="1">IFERROR(VLOOKUP(Proc[[#This Row],[App]],Table2[],3,0),"open")</f>
        <v>ok</v>
      </c>
      <c r="C3686" s="138" t="s">
        <v>369</v>
      </c>
      <c r="D3686" t="s">
        <v>5799</v>
      </c>
      <c r="E3686" t="s">
        <v>5814</v>
      </c>
      <c r="F3686" s="129" t="s">
        <v>5814</v>
      </c>
      <c r="G3686" s="135" t="s">
        <v>400</v>
      </c>
      <c r="H3686" s="129" t="str">
        <f ca="1">IF(Proc[[#This Row],[type]]="LFF (MDG-F)",MID(Proc[[#This Row],[Obj]],13,10),"")</f>
        <v/>
      </c>
      <c r="J3686" s="129" t="b">
        <f ca="1">Proc[[#This Row],[Requested]]=Proc[[#This Row],[CurrentParent]]</f>
        <v>1</v>
      </c>
      <c r="K3686" s="129" t="str">
        <f ca="1">IF(Proc[[#This Row],[Author]]="Marcela Urrego",VLOOKUP(LEFT(Proc[[#This Row],[Requested]],1),Table3[#All],2,0),VLOOKUP(Proc[[#This Row],[Author]],Table4[],2,0))</f>
        <v>LS</v>
      </c>
      <c r="L3686" s="129" t="s">
        <v>4896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11</v>
      </c>
      <c r="R3686" s="131" t="s">
        <v>489</v>
      </c>
      <c r="S3686" s="129"/>
    </row>
    <row r="3687" spans="1:19" hidden="1">
      <c r="A3687" s="135" t="s">
        <v>5776</v>
      </c>
      <c r="B3687" s="138" t="str">
        <f ca="1">IFERROR(VLOOKUP(Proc[[#This Row],[App]],Table2[],3,0),"open")</f>
        <v>ok</v>
      </c>
      <c r="C3687" s="138" t="s">
        <v>369</v>
      </c>
      <c r="D3687" t="s">
        <v>5800</v>
      </c>
      <c r="E3687" t="s">
        <v>5814</v>
      </c>
      <c r="F3687" s="129" t="s">
        <v>5814</v>
      </c>
      <c r="G3687" s="135" t="s">
        <v>400</v>
      </c>
      <c r="H3687" s="129" t="str">
        <f ca="1">IF(Proc[[#This Row],[type]]="LFF (MDG-F)",MID(Proc[[#This Row],[Obj]],13,10),"")</f>
        <v/>
      </c>
      <c r="J3687" s="129" t="b">
        <f ca="1">Proc[[#This Row],[Requested]]=Proc[[#This Row],[CurrentParent]]</f>
        <v>1</v>
      </c>
      <c r="K3687" s="129" t="str">
        <f ca="1">IF(Proc[[#This Row],[Author]]="Marcela Urrego",VLOOKUP(LEFT(Proc[[#This Row],[Requested]],1),Table3[#All],2,0),VLOOKUP(Proc[[#This Row],[Author]],Table4[],2,0))</f>
        <v>LS</v>
      </c>
      <c r="L3687" s="129" t="s">
        <v>4896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11</v>
      </c>
      <c r="R3687" s="131" t="s">
        <v>489</v>
      </c>
      <c r="S3687" s="129"/>
    </row>
    <row r="3688" spans="1:19" hidden="1">
      <c r="A3688" s="135" t="s">
        <v>5776</v>
      </c>
      <c r="B3688" s="138" t="str">
        <f ca="1">IFERROR(VLOOKUP(Proc[[#This Row],[App]],Table2[],3,0),"open")</f>
        <v>ok</v>
      </c>
      <c r="C3688" s="138" t="s">
        <v>369</v>
      </c>
      <c r="D3688" t="s">
        <v>5801</v>
      </c>
      <c r="E3688" t="s">
        <v>5815</v>
      </c>
      <c r="F3688" s="129" t="s">
        <v>5815</v>
      </c>
      <c r="G3688" s="135" t="s">
        <v>400</v>
      </c>
      <c r="H3688" s="129" t="str">
        <f ca="1">IF(Proc[[#This Row],[type]]="LFF (MDG-F)",MID(Proc[[#This Row],[Obj]],13,10),"")</f>
        <v/>
      </c>
      <c r="J3688" s="129" t="b">
        <f ca="1">Proc[[#This Row],[Requested]]=Proc[[#This Row],[CurrentParent]]</f>
        <v>1</v>
      </c>
      <c r="K3688" s="129" t="str">
        <f ca="1">IF(Proc[[#This Row],[Author]]="Marcela Urrego",VLOOKUP(LEFT(Proc[[#This Row],[Requested]],1),Table3[#All],2,0),VLOOKUP(Proc[[#This Row],[Author]],Table4[],2,0))</f>
        <v>LS</v>
      </c>
      <c r="L3688" s="129" t="s">
        <v>4896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11</v>
      </c>
      <c r="R3688" s="131" t="s">
        <v>489</v>
      </c>
      <c r="S3688" s="129"/>
    </row>
    <row r="3689" spans="1:19" hidden="1">
      <c r="A3689" s="135" t="s">
        <v>5776</v>
      </c>
      <c r="B3689" s="138" t="str">
        <f ca="1">IFERROR(VLOOKUP(Proc[[#This Row],[App]],Table2[],3,0),"open")</f>
        <v>ok</v>
      </c>
      <c r="C3689" s="138" t="s">
        <v>369</v>
      </c>
      <c r="D3689" t="s">
        <v>5802</v>
      </c>
      <c r="E3689" t="s">
        <v>1236</v>
      </c>
      <c r="F3689" s="129" t="s">
        <v>1236</v>
      </c>
      <c r="G3689" s="135" t="s">
        <v>400</v>
      </c>
      <c r="H3689" s="129" t="str">
        <f ca="1">IF(Proc[[#This Row],[type]]="LFF (MDG-F)",MID(Proc[[#This Row],[Obj]],13,10),"")</f>
        <v/>
      </c>
      <c r="J3689" s="129" t="b">
        <f ca="1">Proc[[#This Row],[Requested]]=Proc[[#This Row],[CurrentParent]]</f>
        <v>1</v>
      </c>
      <c r="K3689" s="129" t="str">
        <f ca="1">IF(Proc[[#This Row],[Author]]="Marcela Urrego",VLOOKUP(LEFT(Proc[[#This Row],[Requested]],1),Table3[#All],2,0),VLOOKUP(Proc[[#This Row],[Author]],Table4[],2,0))</f>
        <v>LS</v>
      </c>
      <c r="L3689" s="129" t="s">
        <v>4896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11</v>
      </c>
      <c r="R3689" s="131" t="s">
        <v>489</v>
      </c>
      <c r="S3689" s="129"/>
    </row>
    <row r="3690" spans="1:19" hidden="1">
      <c r="A3690" s="135" t="s">
        <v>5776</v>
      </c>
      <c r="B3690" s="138" t="str">
        <f ca="1">IFERROR(VLOOKUP(Proc[[#This Row],[App]],Table2[],3,0),"open")</f>
        <v>ok</v>
      </c>
      <c r="C3690" s="138" t="s">
        <v>369</v>
      </c>
      <c r="D3690" t="s">
        <v>2061</v>
      </c>
      <c r="E3690" t="s">
        <v>5816</v>
      </c>
      <c r="F3690" s="129" t="s">
        <v>5816</v>
      </c>
      <c r="G3690" s="135" t="s">
        <v>400</v>
      </c>
      <c r="H3690" s="129" t="str">
        <f ca="1">IF(Proc[[#This Row],[type]]="LFF (MDG-F)",MID(Proc[[#This Row],[Obj]],13,10),"")</f>
        <v/>
      </c>
      <c r="J3690" s="129" t="b">
        <f ca="1">Proc[[#This Row],[Requested]]=Proc[[#This Row],[CurrentParent]]</f>
        <v>1</v>
      </c>
      <c r="K3690" s="129" t="str">
        <f ca="1">IF(Proc[[#This Row],[Author]]="Marcela Urrego",VLOOKUP(LEFT(Proc[[#This Row],[Requested]],1),Table3[#All],2,0),VLOOKUP(Proc[[#This Row],[Author]],Table4[],2,0))</f>
        <v>LS</v>
      </c>
      <c r="L3690" s="129" t="s">
        <v>4896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11</v>
      </c>
      <c r="R3690" s="131" t="s">
        <v>489</v>
      </c>
      <c r="S3690" s="129"/>
    </row>
    <row r="3691" spans="1:19" hidden="1">
      <c r="A3691" s="135" t="s">
        <v>5776</v>
      </c>
      <c r="B3691" s="138" t="str">
        <f ca="1">IFERROR(VLOOKUP(Proc[[#This Row],[App]],Table2[],3,0),"open")</f>
        <v>ok</v>
      </c>
      <c r="C3691" s="135" t="s">
        <v>369</v>
      </c>
      <c r="D3691" t="s">
        <v>3551</v>
      </c>
      <c r="E3691" t="s">
        <v>3557</v>
      </c>
      <c r="F3691" s="129" t="s">
        <v>3557</v>
      </c>
      <c r="G3691" s="135" t="s">
        <v>406</v>
      </c>
      <c r="H3691" s="129" t="str">
        <f ca="1">IF(Proc[[#This Row],[type]]="LFF (MDG-F)",MID(Proc[[#This Row],[Obj]],13,10),"")</f>
        <v>DE10OF0005</v>
      </c>
      <c r="J3691" s="129" t="b">
        <f ca="1">Proc[[#This Row],[Requested]]=Proc[[#This Row],[CurrentParent]]</f>
        <v>1</v>
      </c>
      <c r="K3691" s="129" t="str">
        <f ca="1">IF(Proc[[#This Row],[Author]]="Marcela Urrego",VLOOKUP(LEFT(Proc[[#This Row],[Requested]],1),Table3[#All],2,0),VLOOKUP(Proc[[#This Row],[Author]],Table4[],2,0))</f>
        <v>LS</v>
      </c>
      <c r="L3691" s="129" t="s">
        <v>4896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11</v>
      </c>
      <c r="R3691" s="131" t="s">
        <v>489</v>
      </c>
      <c r="S3691" s="129"/>
    </row>
    <row r="3692" spans="1:19" hidden="1">
      <c r="A3692" s="135" t="s">
        <v>5776</v>
      </c>
      <c r="B3692" s="138" t="str">
        <f ca="1">IFERROR(VLOOKUP(Proc[[#This Row],[App]],Table2[],3,0),"open")</f>
        <v>ok</v>
      </c>
      <c r="C3692" s="138" t="s">
        <v>369</v>
      </c>
      <c r="D3692" t="s">
        <v>5803</v>
      </c>
      <c r="E3692" t="s">
        <v>3557</v>
      </c>
      <c r="F3692" s="129" t="s">
        <v>3557</v>
      </c>
      <c r="G3692" s="135" t="s">
        <v>406</v>
      </c>
      <c r="H3692" s="129" t="str">
        <f ca="1">IF(Proc[[#This Row],[type]]="LFF (MDG-F)",MID(Proc[[#This Row],[Obj]],13,10),"")</f>
        <v>DE10OF0007</v>
      </c>
      <c r="J3692" s="129" t="b">
        <f ca="1">Proc[[#This Row],[Requested]]=Proc[[#This Row],[CurrentParent]]</f>
        <v>1</v>
      </c>
      <c r="K3692" s="129" t="str">
        <f ca="1">IF(Proc[[#This Row],[Author]]="Marcela Urrego",VLOOKUP(LEFT(Proc[[#This Row],[Requested]],1),Table3[#All],2,0),VLOOKUP(Proc[[#This Row],[Author]],Table4[],2,0))</f>
        <v>LS</v>
      </c>
      <c r="L3692" s="129" t="s">
        <v>4896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11</v>
      </c>
      <c r="R3692" s="131" t="s">
        <v>489</v>
      </c>
      <c r="S3692" s="129"/>
    </row>
    <row r="3693" spans="1:19" hidden="1">
      <c r="A3693" s="135" t="s">
        <v>5776</v>
      </c>
      <c r="B3693" s="138" t="str">
        <f ca="1">IFERROR(VLOOKUP(Proc[[#This Row],[App]],Table2[],3,0),"open")</f>
        <v>ok</v>
      </c>
      <c r="C3693" s="138" t="s">
        <v>369</v>
      </c>
      <c r="D3693" t="s">
        <v>2057</v>
      </c>
      <c r="E3693" t="s">
        <v>3557</v>
      </c>
      <c r="F3693" s="129" t="s">
        <v>3557</v>
      </c>
      <c r="G3693" s="135" t="s">
        <v>406</v>
      </c>
      <c r="H3693" s="129" t="str">
        <f ca="1">IF(Proc[[#This Row],[type]]="LFF (MDG-F)",MID(Proc[[#This Row],[Obj]],13,10),"")</f>
        <v>2123OF0029</v>
      </c>
      <c r="J3693" s="129" t="b">
        <f ca="1">Proc[[#This Row],[Requested]]=Proc[[#This Row],[CurrentParent]]</f>
        <v>1</v>
      </c>
      <c r="K3693" s="129" t="str">
        <f ca="1">IF(Proc[[#This Row],[Author]]="Marcela Urrego",VLOOKUP(LEFT(Proc[[#This Row],[Requested]],1),Table3[#All],2,0),VLOOKUP(Proc[[#This Row],[Author]],Table4[],2,0))</f>
        <v>LS</v>
      </c>
      <c r="L3693" s="129" t="s">
        <v>4896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11</v>
      </c>
      <c r="R3693" s="131" t="s">
        <v>489</v>
      </c>
      <c r="S3693" s="129"/>
    </row>
    <row r="3694" spans="1:19" hidden="1">
      <c r="A3694" s="135" t="s">
        <v>5776</v>
      </c>
      <c r="B3694" s="138" t="str">
        <f ca="1">IFERROR(VLOOKUP(Proc[[#This Row],[App]],Table2[],3,0),"open")</f>
        <v>ok</v>
      </c>
      <c r="C3694" s="138" t="s">
        <v>369</v>
      </c>
      <c r="D3694" t="s">
        <v>2060</v>
      </c>
      <c r="E3694" t="s">
        <v>3557</v>
      </c>
      <c r="F3694" s="129" t="s">
        <v>3557</v>
      </c>
      <c r="G3694" s="135" t="s">
        <v>400</v>
      </c>
      <c r="H3694" s="129" t="str">
        <f ca="1">IF(Proc[[#This Row],[type]]="LFF (MDG-F)",MID(Proc[[#This Row],[Obj]],13,10),"")</f>
        <v/>
      </c>
      <c r="J3694" s="129" t="b">
        <f ca="1">Proc[[#This Row],[Requested]]=Proc[[#This Row],[CurrentParent]]</f>
        <v>1</v>
      </c>
      <c r="K3694" s="129" t="str">
        <f ca="1">IF(Proc[[#This Row],[Author]]="Marcela Urrego",VLOOKUP(LEFT(Proc[[#This Row],[Requested]],1),Table3[#All],2,0),VLOOKUP(Proc[[#This Row],[Author]],Table4[],2,0))</f>
        <v>LS</v>
      </c>
      <c r="L3694" s="129" t="s">
        <v>4896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11</v>
      </c>
      <c r="R3694" s="131" t="s">
        <v>489</v>
      </c>
      <c r="S3694" s="129"/>
    </row>
    <row r="3695" spans="1:19" hidden="1">
      <c r="A3695" s="135" t="s">
        <v>5776</v>
      </c>
      <c r="B3695" s="138" t="str">
        <f ca="1">IFERROR(VLOOKUP(Proc[[#This Row],[App]],Table2[],3,0),"open")</f>
        <v>ok</v>
      </c>
      <c r="C3695" s="138" t="s">
        <v>369</v>
      </c>
      <c r="D3695" t="s">
        <v>2058</v>
      </c>
      <c r="E3695" t="s">
        <v>3557</v>
      </c>
      <c r="F3695" s="129" t="s">
        <v>3557</v>
      </c>
      <c r="G3695" s="135" t="s">
        <v>400</v>
      </c>
      <c r="H3695" s="129" t="str">
        <f ca="1">IF(Proc[[#This Row],[type]]="LFF (MDG-F)",MID(Proc[[#This Row],[Obj]],13,10),"")</f>
        <v/>
      </c>
      <c r="J3695" s="129" t="b">
        <f ca="1">Proc[[#This Row],[Requested]]=Proc[[#This Row],[CurrentParent]]</f>
        <v>1</v>
      </c>
      <c r="K3695" s="129" t="str">
        <f ca="1">IF(Proc[[#This Row],[Author]]="Marcela Urrego",VLOOKUP(LEFT(Proc[[#This Row],[Requested]],1),Table3[#All],2,0),VLOOKUP(Proc[[#This Row],[Author]],Table4[],2,0))</f>
        <v>LS</v>
      </c>
      <c r="L3695" s="129" t="s">
        <v>4896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11</v>
      </c>
      <c r="R3695" s="131" t="s">
        <v>489</v>
      </c>
      <c r="S3695" s="129"/>
    </row>
    <row r="3696" spans="1:19" hidden="1">
      <c r="A3696" t="s">
        <v>5817</v>
      </c>
      <c r="B3696" s="138" t="str">
        <f ca="1">IFERROR(VLOOKUP(Proc[[#This Row],[App]],Table2[],3,0),"open")</f>
        <v>ok</v>
      </c>
      <c r="C3696" s="138" t="s">
        <v>369</v>
      </c>
      <c r="D3696" t="s">
        <v>5818</v>
      </c>
      <c r="E3696" t="s">
        <v>5850</v>
      </c>
      <c r="F3696" s="129" t="s">
        <v>5850</v>
      </c>
      <c r="G3696" s="135" t="s">
        <v>406</v>
      </c>
      <c r="H3696" s="129" t="str">
        <f ca="1">IF(Proc[[#This Row],[type]]="LFF (MDG-F)",MID(Proc[[#This Row],[Obj]],13,10),"")</f>
        <v>2123C00057</v>
      </c>
      <c r="J3696" s="129" t="b">
        <f ca="1">Proc[[#This Row],[Requested]]=Proc[[#This Row],[CurrentParent]]</f>
        <v>1</v>
      </c>
      <c r="K3696" s="129" t="str">
        <f ca="1">IF(Proc[[#This Row],[Author]]="Marcela Urrego",VLOOKUP(LEFT(Proc[[#This Row],[Requested]],1),Table3[#All],2,0),VLOOKUP(Proc[[#This Row],[Author]],Table4[],2,0))</f>
        <v>LS</v>
      </c>
      <c r="L3696" s="129" t="s">
        <v>4896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10</v>
      </c>
      <c r="R3696" s="131" t="s">
        <v>489</v>
      </c>
      <c r="S3696" s="129"/>
    </row>
    <row r="3697" spans="1:19" hidden="1">
      <c r="A3697" s="135" t="s">
        <v>5817</v>
      </c>
      <c r="B3697" s="138" t="str">
        <f ca="1">IFERROR(VLOOKUP(Proc[[#This Row],[App]],Table2[],3,0),"open")</f>
        <v>ok</v>
      </c>
      <c r="C3697" s="138" t="s">
        <v>369</v>
      </c>
      <c r="D3697" t="s">
        <v>5819</v>
      </c>
      <c r="E3697" t="s">
        <v>5850</v>
      </c>
      <c r="F3697" s="129" t="s">
        <v>5850</v>
      </c>
      <c r="G3697" s="135" t="s">
        <v>400</v>
      </c>
      <c r="H3697" s="129"/>
      <c r="J3697" s="129" t="b">
        <f ca="1">Proc[[#This Row],[Requested]]=Proc[[#This Row],[CurrentParent]]</f>
        <v>1</v>
      </c>
      <c r="K3697" s="129" t="str">
        <f ca="1">IF(Proc[[#This Row],[Author]]="Marcela Urrego",VLOOKUP(LEFT(Proc[[#This Row],[Requested]],1),Table3[#All],2,0),VLOOKUP(Proc[[#This Row],[Author]],Table4[],2,0))</f>
        <v>LS</v>
      </c>
      <c r="L3697" s="129" t="s">
        <v>4896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10</v>
      </c>
      <c r="R3697" s="131" t="s">
        <v>489</v>
      </c>
      <c r="S3697" s="129"/>
    </row>
    <row r="3698" spans="1:19" hidden="1">
      <c r="A3698" s="135" t="s">
        <v>5817</v>
      </c>
      <c r="B3698" s="138" t="str">
        <f ca="1">IFERROR(VLOOKUP(Proc[[#This Row],[App]],Table2[],3,0),"open")</f>
        <v>ok</v>
      </c>
      <c r="C3698" s="138" t="s">
        <v>369</v>
      </c>
      <c r="D3698" t="s">
        <v>5820</v>
      </c>
      <c r="E3698" t="s">
        <v>5851</v>
      </c>
      <c r="F3698" s="129" t="s">
        <v>5851</v>
      </c>
      <c r="G3698" s="135" t="s">
        <v>400</v>
      </c>
      <c r="H3698" s="129"/>
      <c r="J3698" s="129" t="b">
        <f ca="1">Proc[[#This Row],[Requested]]=Proc[[#This Row],[CurrentParent]]</f>
        <v>1</v>
      </c>
      <c r="K3698" s="129" t="str">
        <f ca="1">IF(Proc[[#This Row],[Author]]="Marcela Urrego",VLOOKUP(LEFT(Proc[[#This Row],[Requested]],1),Table3[#All],2,0),VLOOKUP(Proc[[#This Row],[Author]],Table4[],2,0))</f>
        <v>LS</v>
      </c>
      <c r="L3698" s="129" t="s">
        <v>4896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10</v>
      </c>
      <c r="R3698" s="131" t="s">
        <v>489</v>
      </c>
      <c r="S3698" s="129"/>
    </row>
    <row r="3699" spans="1:19" hidden="1">
      <c r="A3699" s="135" t="s">
        <v>5817</v>
      </c>
      <c r="B3699" s="138" t="str">
        <f ca="1">IFERROR(VLOOKUP(Proc[[#This Row],[App]],Table2[],3,0),"open")</f>
        <v>ok</v>
      </c>
      <c r="C3699" s="138" t="s">
        <v>369</v>
      </c>
      <c r="D3699" t="s">
        <v>5821</v>
      </c>
      <c r="E3699" t="s">
        <v>5852</v>
      </c>
      <c r="F3699" s="129" t="s">
        <v>5852</v>
      </c>
      <c r="G3699" s="135" t="s">
        <v>400</v>
      </c>
      <c r="H3699" s="129"/>
      <c r="J3699" s="129" t="b">
        <f ca="1">Proc[[#This Row],[Requested]]=Proc[[#This Row],[CurrentParent]]</f>
        <v>1</v>
      </c>
      <c r="K3699" s="129" t="str">
        <f ca="1">IF(Proc[[#This Row],[Author]]="Marcela Urrego",VLOOKUP(LEFT(Proc[[#This Row],[Requested]],1),Table3[#All],2,0),VLOOKUP(Proc[[#This Row],[Author]],Table4[],2,0))</f>
        <v>LS</v>
      </c>
      <c r="L3699" s="129" t="s">
        <v>4896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10</v>
      </c>
      <c r="R3699" s="131" t="s">
        <v>489</v>
      </c>
      <c r="S3699" s="129"/>
    </row>
    <row r="3700" spans="1:19" hidden="1">
      <c r="A3700" s="135" t="s">
        <v>5817</v>
      </c>
      <c r="B3700" s="138" t="str">
        <f ca="1">IFERROR(VLOOKUP(Proc[[#This Row],[App]],Table2[],3,0),"open")</f>
        <v>ok</v>
      </c>
      <c r="C3700" s="138" t="s">
        <v>369</v>
      </c>
      <c r="D3700" t="s">
        <v>5822</v>
      </c>
      <c r="E3700" t="s">
        <v>5852</v>
      </c>
      <c r="F3700" s="129" t="s">
        <v>5852</v>
      </c>
      <c r="G3700" s="135" t="s">
        <v>400</v>
      </c>
      <c r="H3700" s="129"/>
      <c r="J3700" s="129" t="b">
        <f ca="1">Proc[[#This Row],[Requested]]=Proc[[#This Row],[CurrentParent]]</f>
        <v>1</v>
      </c>
      <c r="K3700" s="129" t="str">
        <f ca="1">IF(Proc[[#This Row],[Author]]="Marcela Urrego",VLOOKUP(LEFT(Proc[[#This Row],[Requested]],1),Table3[#All],2,0),VLOOKUP(Proc[[#This Row],[Author]],Table4[],2,0))</f>
        <v>LS</v>
      </c>
      <c r="L3700" s="129" t="s">
        <v>4896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10</v>
      </c>
      <c r="R3700" s="131" t="s">
        <v>489</v>
      </c>
      <c r="S3700" s="129"/>
    </row>
    <row r="3701" spans="1:19" hidden="1">
      <c r="A3701" s="135" t="s">
        <v>5817</v>
      </c>
      <c r="B3701" s="138" t="str">
        <f ca="1">IFERROR(VLOOKUP(Proc[[#This Row],[App]],Table2[],3,0),"open")</f>
        <v>ok</v>
      </c>
      <c r="C3701" s="138" t="s">
        <v>369</v>
      </c>
      <c r="D3701" t="s">
        <v>5823</v>
      </c>
      <c r="E3701" t="s">
        <v>5852</v>
      </c>
      <c r="F3701" s="129" t="s">
        <v>5852</v>
      </c>
      <c r="G3701" s="135" t="s">
        <v>400</v>
      </c>
      <c r="H3701" s="129"/>
      <c r="J3701" s="129" t="b">
        <f ca="1">Proc[[#This Row],[Requested]]=Proc[[#This Row],[CurrentParent]]</f>
        <v>1</v>
      </c>
      <c r="K3701" s="129" t="str">
        <f ca="1">IF(Proc[[#This Row],[Author]]="Marcela Urrego",VLOOKUP(LEFT(Proc[[#This Row],[Requested]],1),Table3[#All],2,0),VLOOKUP(Proc[[#This Row],[Author]],Table4[],2,0))</f>
        <v>LS</v>
      </c>
      <c r="L3701" s="129" t="s">
        <v>4896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10</v>
      </c>
      <c r="R3701" s="131" t="s">
        <v>489</v>
      </c>
      <c r="S3701" s="129"/>
    </row>
    <row r="3702" spans="1:19" hidden="1">
      <c r="A3702" s="135" t="s">
        <v>5817</v>
      </c>
      <c r="B3702" s="138" t="str">
        <f ca="1">IFERROR(VLOOKUP(Proc[[#This Row],[App]],Table2[],3,0),"open")</f>
        <v>ok</v>
      </c>
      <c r="C3702" s="138" t="s">
        <v>369</v>
      </c>
      <c r="D3702" t="s">
        <v>5824</v>
      </c>
      <c r="E3702" t="s">
        <v>5852</v>
      </c>
      <c r="F3702" s="129" t="s">
        <v>5852</v>
      </c>
      <c r="G3702" s="135" t="s">
        <v>400</v>
      </c>
      <c r="H3702" s="129"/>
      <c r="J3702" s="129" t="b">
        <f ca="1">Proc[[#This Row],[Requested]]=Proc[[#This Row],[CurrentParent]]</f>
        <v>1</v>
      </c>
      <c r="K3702" s="129" t="str">
        <f ca="1">IF(Proc[[#This Row],[Author]]="Marcela Urrego",VLOOKUP(LEFT(Proc[[#This Row],[Requested]],1),Table3[#All],2,0),VLOOKUP(Proc[[#This Row],[Author]],Table4[],2,0))</f>
        <v>LS</v>
      </c>
      <c r="L3702" s="129" t="s">
        <v>4896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10</v>
      </c>
      <c r="R3702" s="131" t="s">
        <v>489</v>
      </c>
      <c r="S3702" s="129"/>
    </row>
    <row r="3703" spans="1:19" hidden="1">
      <c r="A3703" s="135" t="s">
        <v>5817</v>
      </c>
      <c r="B3703" s="138" t="str">
        <f ca="1">IFERROR(VLOOKUP(Proc[[#This Row],[App]],Table2[],3,0),"open")</f>
        <v>ok</v>
      </c>
      <c r="C3703" s="138" t="s">
        <v>369</v>
      </c>
      <c r="D3703" t="s">
        <v>5825</v>
      </c>
      <c r="E3703" t="s">
        <v>5852</v>
      </c>
      <c r="F3703" s="129" t="s">
        <v>5852</v>
      </c>
      <c r="G3703" s="135" t="s">
        <v>400</v>
      </c>
      <c r="H3703" s="129"/>
      <c r="J3703" s="129" t="b">
        <f ca="1">Proc[[#This Row],[Requested]]=Proc[[#This Row],[CurrentParent]]</f>
        <v>1</v>
      </c>
      <c r="K3703" s="129" t="str">
        <f ca="1">IF(Proc[[#This Row],[Author]]="Marcela Urrego",VLOOKUP(LEFT(Proc[[#This Row],[Requested]],1),Table3[#All],2,0),VLOOKUP(Proc[[#This Row],[Author]],Table4[],2,0))</f>
        <v>LS</v>
      </c>
      <c r="L3703" s="129" t="s">
        <v>4896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10</v>
      </c>
      <c r="R3703" s="131" t="s">
        <v>489</v>
      </c>
      <c r="S3703" s="129"/>
    </row>
    <row r="3704" spans="1:19" hidden="1">
      <c r="A3704" s="135" t="s">
        <v>5817</v>
      </c>
      <c r="B3704" s="138" t="str">
        <f ca="1">IFERROR(VLOOKUP(Proc[[#This Row],[App]],Table2[],3,0),"open")</f>
        <v>ok</v>
      </c>
      <c r="C3704" s="138" t="s">
        <v>369</v>
      </c>
      <c r="D3704" t="s">
        <v>5826</v>
      </c>
      <c r="E3704" t="s">
        <v>5852</v>
      </c>
      <c r="F3704" s="129" t="s">
        <v>5852</v>
      </c>
      <c r="G3704" s="135" t="s">
        <v>400</v>
      </c>
      <c r="H3704" s="129"/>
      <c r="J3704" s="129" t="b">
        <f ca="1">Proc[[#This Row],[Requested]]=Proc[[#This Row],[CurrentParent]]</f>
        <v>1</v>
      </c>
      <c r="K3704" s="129" t="str">
        <f ca="1">IF(Proc[[#This Row],[Author]]="Marcela Urrego",VLOOKUP(LEFT(Proc[[#This Row],[Requested]],1),Table3[#All],2,0),VLOOKUP(Proc[[#This Row],[Author]],Table4[],2,0))</f>
        <v>LS</v>
      </c>
      <c r="L3704" s="129" t="s">
        <v>4896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10</v>
      </c>
      <c r="R3704" s="131" t="s">
        <v>489</v>
      </c>
      <c r="S3704" s="129"/>
    </row>
    <row r="3705" spans="1:19" hidden="1">
      <c r="A3705" s="135" t="s">
        <v>5817</v>
      </c>
      <c r="B3705" s="138" t="str">
        <f ca="1">IFERROR(VLOOKUP(Proc[[#This Row],[App]],Table2[],3,0),"open")</f>
        <v>ok</v>
      </c>
      <c r="C3705" s="138" t="s">
        <v>369</v>
      </c>
      <c r="D3705" t="s">
        <v>5827</v>
      </c>
      <c r="E3705" t="s">
        <v>5852</v>
      </c>
      <c r="F3705" s="129" t="s">
        <v>5852</v>
      </c>
      <c r="G3705" s="135" t="s">
        <v>400</v>
      </c>
      <c r="H3705" s="129"/>
      <c r="J3705" s="129" t="b">
        <f ca="1">Proc[[#This Row],[Requested]]=Proc[[#This Row],[CurrentParent]]</f>
        <v>1</v>
      </c>
      <c r="K3705" s="129" t="str">
        <f ca="1">IF(Proc[[#This Row],[Author]]="Marcela Urrego",VLOOKUP(LEFT(Proc[[#This Row],[Requested]],1),Table3[#All],2,0),VLOOKUP(Proc[[#This Row],[Author]],Table4[],2,0))</f>
        <v>LS</v>
      </c>
      <c r="L3705" s="129" t="s">
        <v>4896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10</v>
      </c>
      <c r="R3705" s="131" t="s">
        <v>489</v>
      </c>
      <c r="S3705" s="129"/>
    </row>
    <row r="3706" spans="1:19" hidden="1">
      <c r="A3706" s="135" t="s">
        <v>5817</v>
      </c>
      <c r="B3706" s="138" t="str">
        <f ca="1">IFERROR(VLOOKUP(Proc[[#This Row],[App]],Table2[],3,0),"open")</f>
        <v>ok</v>
      </c>
      <c r="C3706" s="138" t="s">
        <v>369</v>
      </c>
      <c r="D3706" t="s">
        <v>5828</v>
      </c>
      <c r="E3706" t="s">
        <v>5852</v>
      </c>
      <c r="F3706" s="129" t="s">
        <v>5852</v>
      </c>
      <c r="G3706" s="135" t="s">
        <v>400</v>
      </c>
      <c r="H3706" s="129"/>
      <c r="J3706" s="129" t="b">
        <f ca="1">Proc[[#This Row],[Requested]]=Proc[[#This Row],[CurrentParent]]</f>
        <v>1</v>
      </c>
      <c r="K3706" s="129" t="str">
        <f ca="1">IF(Proc[[#This Row],[Author]]="Marcela Urrego",VLOOKUP(LEFT(Proc[[#This Row],[Requested]],1),Table3[#All],2,0),VLOOKUP(Proc[[#This Row],[Author]],Table4[],2,0))</f>
        <v>LS</v>
      </c>
      <c r="L3706" s="129" t="s">
        <v>4896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10</v>
      </c>
      <c r="R3706" s="131" t="s">
        <v>489</v>
      </c>
      <c r="S3706" s="129"/>
    </row>
    <row r="3707" spans="1:19" hidden="1">
      <c r="A3707" s="135" t="s">
        <v>5817</v>
      </c>
      <c r="B3707" s="138" t="str">
        <f ca="1">IFERROR(VLOOKUP(Proc[[#This Row],[App]],Table2[],3,0),"open")</f>
        <v>ok</v>
      </c>
      <c r="C3707" s="138" t="s">
        <v>369</v>
      </c>
      <c r="D3707" t="s">
        <v>5829</v>
      </c>
      <c r="E3707" t="s">
        <v>5852</v>
      </c>
      <c r="F3707" s="129" t="s">
        <v>5852</v>
      </c>
      <c r="G3707" s="135" t="s">
        <v>400</v>
      </c>
      <c r="H3707" s="129"/>
      <c r="J3707" s="129" t="b">
        <f ca="1">Proc[[#This Row],[Requested]]=Proc[[#This Row],[CurrentParent]]</f>
        <v>1</v>
      </c>
      <c r="K3707" s="129" t="str">
        <f ca="1">IF(Proc[[#This Row],[Author]]="Marcela Urrego",VLOOKUP(LEFT(Proc[[#This Row],[Requested]],1),Table3[#All],2,0),VLOOKUP(Proc[[#This Row],[Author]],Table4[],2,0))</f>
        <v>LS</v>
      </c>
      <c r="L3707" s="129" t="s">
        <v>4896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10</v>
      </c>
      <c r="R3707" s="131" t="s">
        <v>489</v>
      </c>
      <c r="S3707" s="129"/>
    </row>
    <row r="3708" spans="1:19" hidden="1">
      <c r="A3708" s="135" t="s">
        <v>5817</v>
      </c>
      <c r="B3708" s="138" t="str">
        <f ca="1">IFERROR(VLOOKUP(Proc[[#This Row],[App]],Table2[],3,0),"open")</f>
        <v>ok</v>
      </c>
      <c r="C3708" s="138" t="s">
        <v>369</v>
      </c>
      <c r="D3708" t="s">
        <v>5830</v>
      </c>
      <c r="E3708" t="s">
        <v>5852</v>
      </c>
      <c r="F3708" s="129" t="s">
        <v>5852</v>
      </c>
      <c r="G3708" s="135" t="s">
        <v>400</v>
      </c>
      <c r="H3708" s="129"/>
      <c r="J3708" s="129" t="b">
        <f ca="1">Proc[[#This Row],[Requested]]=Proc[[#This Row],[CurrentParent]]</f>
        <v>1</v>
      </c>
      <c r="K3708" s="129" t="str">
        <f ca="1">IF(Proc[[#This Row],[Author]]="Marcela Urrego",VLOOKUP(LEFT(Proc[[#This Row],[Requested]],1),Table3[#All],2,0),VLOOKUP(Proc[[#This Row],[Author]],Table4[],2,0))</f>
        <v>LS</v>
      </c>
      <c r="L3708" s="129" t="s">
        <v>4896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10</v>
      </c>
      <c r="R3708" s="131" t="s">
        <v>489</v>
      </c>
      <c r="S3708" s="129"/>
    </row>
    <row r="3709" spans="1:19" hidden="1">
      <c r="A3709" s="135" t="s">
        <v>5817</v>
      </c>
      <c r="B3709" s="138" t="str">
        <f ca="1">IFERROR(VLOOKUP(Proc[[#This Row],[App]],Table2[],3,0),"open")</f>
        <v>ok</v>
      </c>
      <c r="C3709" s="138" t="s">
        <v>369</v>
      </c>
      <c r="D3709" t="s">
        <v>5831</v>
      </c>
      <c r="E3709" t="s">
        <v>5852</v>
      </c>
      <c r="F3709" s="129" t="s">
        <v>5852</v>
      </c>
      <c r="G3709" s="135" t="s">
        <v>400</v>
      </c>
      <c r="H3709" s="129"/>
      <c r="J3709" s="129" t="b">
        <f ca="1">Proc[[#This Row],[Requested]]=Proc[[#This Row],[CurrentParent]]</f>
        <v>1</v>
      </c>
      <c r="K3709" s="129" t="str">
        <f ca="1">IF(Proc[[#This Row],[Author]]="Marcela Urrego",VLOOKUP(LEFT(Proc[[#This Row],[Requested]],1),Table3[#All],2,0),VLOOKUP(Proc[[#This Row],[Author]],Table4[],2,0))</f>
        <v>LS</v>
      </c>
      <c r="L3709" s="129" t="s">
        <v>4896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10</v>
      </c>
      <c r="R3709" s="131" t="s">
        <v>489</v>
      </c>
      <c r="S3709" s="129"/>
    </row>
    <row r="3710" spans="1:19" hidden="1">
      <c r="A3710" s="135" t="s">
        <v>5817</v>
      </c>
      <c r="B3710" s="138" t="str">
        <f ca="1">IFERROR(VLOOKUP(Proc[[#This Row],[App]],Table2[],3,0),"open")</f>
        <v>ok</v>
      </c>
      <c r="C3710" s="138" t="s">
        <v>369</v>
      </c>
      <c r="D3710" t="s">
        <v>5832</v>
      </c>
      <c r="E3710" t="s">
        <v>5852</v>
      </c>
      <c r="F3710" s="129" t="s">
        <v>5852</v>
      </c>
      <c r="G3710" s="135" t="s">
        <v>400</v>
      </c>
      <c r="H3710" s="129"/>
      <c r="J3710" s="129" t="b">
        <f ca="1">Proc[[#This Row],[Requested]]=Proc[[#This Row],[CurrentParent]]</f>
        <v>1</v>
      </c>
      <c r="K3710" s="129" t="str">
        <f ca="1">IF(Proc[[#This Row],[Author]]="Marcela Urrego",VLOOKUP(LEFT(Proc[[#This Row],[Requested]],1),Table3[#All],2,0),VLOOKUP(Proc[[#This Row],[Author]],Table4[],2,0))</f>
        <v>LS</v>
      </c>
      <c r="L3710" s="129" t="s">
        <v>4896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10</v>
      </c>
      <c r="R3710" s="131" t="s">
        <v>489</v>
      </c>
      <c r="S3710" s="129"/>
    </row>
    <row r="3711" spans="1:19" hidden="1">
      <c r="A3711" s="135" t="s">
        <v>5817</v>
      </c>
      <c r="B3711" s="138" t="str">
        <f ca="1">IFERROR(VLOOKUP(Proc[[#This Row],[App]],Table2[],3,0),"open")</f>
        <v>ok</v>
      </c>
      <c r="C3711" s="138" t="s">
        <v>369</v>
      </c>
      <c r="D3711" t="s">
        <v>5833</v>
      </c>
      <c r="E3711" t="s">
        <v>5852</v>
      </c>
      <c r="F3711" s="129" t="s">
        <v>5852</v>
      </c>
      <c r="G3711" s="135" t="s">
        <v>400</v>
      </c>
      <c r="H3711" s="129"/>
      <c r="J3711" s="129" t="b">
        <f ca="1">Proc[[#This Row],[Requested]]=Proc[[#This Row],[CurrentParent]]</f>
        <v>1</v>
      </c>
      <c r="K3711" s="129" t="str">
        <f ca="1">IF(Proc[[#This Row],[Author]]="Marcela Urrego",VLOOKUP(LEFT(Proc[[#This Row],[Requested]],1),Table3[#All],2,0),VLOOKUP(Proc[[#This Row],[Author]],Table4[],2,0))</f>
        <v>LS</v>
      </c>
      <c r="L3711" s="129" t="s">
        <v>4896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10</v>
      </c>
      <c r="R3711" s="131" t="s">
        <v>489</v>
      </c>
      <c r="S3711" s="129"/>
    </row>
    <row r="3712" spans="1:19" hidden="1">
      <c r="A3712" s="135" t="s">
        <v>5817</v>
      </c>
      <c r="B3712" s="138" t="str">
        <f ca="1">IFERROR(VLOOKUP(Proc[[#This Row],[App]],Table2[],3,0),"open")</f>
        <v>ok</v>
      </c>
      <c r="C3712" s="138" t="s">
        <v>369</v>
      </c>
      <c r="D3712" t="s">
        <v>5834</v>
      </c>
      <c r="E3712" t="s">
        <v>5852</v>
      </c>
      <c r="F3712" s="129" t="s">
        <v>5852</v>
      </c>
      <c r="G3712" s="135" t="s">
        <v>400</v>
      </c>
      <c r="H3712" s="129"/>
      <c r="J3712" s="129" t="b">
        <f ca="1">Proc[[#This Row],[Requested]]=Proc[[#This Row],[CurrentParent]]</f>
        <v>1</v>
      </c>
      <c r="K3712" s="129" t="str">
        <f ca="1">IF(Proc[[#This Row],[Author]]="Marcela Urrego",VLOOKUP(LEFT(Proc[[#This Row],[Requested]],1),Table3[#All],2,0),VLOOKUP(Proc[[#This Row],[Author]],Table4[],2,0))</f>
        <v>LS</v>
      </c>
      <c r="L3712" s="129" t="s">
        <v>4896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10</v>
      </c>
      <c r="R3712" s="131" t="s">
        <v>489</v>
      </c>
      <c r="S3712" s="129"/>
    </row>
    <row r="3713" spans="1:19" hidden="1">
      <c r="A3713" s="135" t="s">
        <v>5817</v>
      </c>
      <c r="B3713" s="138" t="str">
        <f ca="1">IFERROR(VLOOKUP(Proc[[#This Row],[App]],Table2[],3,0),"open")</f>
        <v>ok</v>
      </c>
      <c r="C3713" s="138" t="s">
        <v>369</v>
      </c>
      <c r="D3713" t="s">
        <v>5826</v>
      </c>
      <c r="E3713" t="s">
        <v>5852</v>
      </c>
      <c r="F3713" s="129" t="s">
        <v>5852</v>
      </c>
      <c r="G3713" s="135" t="s">
        <v>400</v>
      </c>
      <c r="H3713" s="129"/>
      <c r="J3713" s="129" t="b">
        <f ca="1">Proc[[#This Row],[Requested]]=Proc[[#This Row],[CurrentParent]]</f>
        <v>1</v>
      </c>
      <c r="K3713" s="129" t="str">
        <f ca="1">IF(Proc[[#This Row],[Author]]="Marcela Urrego",VLOOKUP(LEFT(Proc[[#This Row],[Requested]],1),Table3[#All],2,0),VLOOKUP(Proc[[#This Row],[Author]],Table4[],2,0))</f>
        <v>LS</v>
      </c>
      <c r="L3713" s="129" t="s">
        <v>4896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10</v>
      </c>
      <c r="R3713" s="131" t="s">
        <v>489</v>
      </c>
      <c r="S3713" s="129"/>
    </row>
    <row r="3714" spans="1:19" hidden="1">
      <c r="A3714" s="135" t="s">
        <v>5817</v>
      </c>
      <c r="B3714" s="138" t="str">
        <f ca="1">IFERROR(VLOOKUP(Proc[[#This Row],[App]],Table2[],3,0),"open")</f>
        <v>ok</v>
      </c>
      <c r="C3714" s="138" t="s">
        <v>369</v>
      </c>
      <c r="D3714" t="s">
        <v>5835</v>
      </c>
      <c r="E3714" t="s">
        <v>5852</v>
      </c>
      <c r="F3714" s="129" t="s">
        <v>5852</v>
      </c>
      <c r="G3714" s="135" t="s">
        <v>400</v>
      </c>
      <c r="H3714" s="129"/>
      <c r="J3714" s="129" t="b">
        <f ca="1">Proc[[#This Row],[Requested]]=Proc[[#This Row],[CurrentParent]]</f>
        <v>1</v>
      </c>
      <c r="K3714" s="129" t="str">
        <f ca="1">IF(Proc[[#This Row],[Author]]="Marcela Urrego",VLOOKUP(LEFT(Proc[[#This Row],[Requested]],1),Table3[#All],2,0),VLOOKUP(Proc[[#This Row],[Author]],Table4[],2,0))</f>
        <v>LS</v>
      </c>
      <c r="L3714" s="129" t="s">
        <v>4896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10</v>
      </c>
      <c r="R3714" s="131" t="s">
        <v>489</v>
      </c>
      <c r="S3714" s="129"/>
    </row>
    <row r="3715" spans="1:19" hidden="1">
      <c r="A3715" s="135" t="s">
        <v>5817</v>
      </c>
      <c r="B3715" s="138" t="str">
        <f ca="1">IFERROR(VLOOKUP(Proc[[#This Row],[App]],Table2[],3,0),"open")</f>
        <v>ok</v>
      </c>
      <c r="C3715" s="138" t="s">
        <v>369</v>
      </c>
      <c r="D3715" t="s">
        <v>5836</v>
      </c>
      <c r="E3715" t="s">
        <v>5852</v>
      </c>
      <c r="F3715" s="129" t="s">
        <v>5852</v>
      </c>
      <c r="G3715" s="135" t="s">
        <v>400</v>
      </c>
      <c r="H3715" s="129"/>
      <c r="J3715" s="129" t="b">
        <f ca="1">Proc[[#This Row],[Requested]]=Proc[[#This Row],[CurrentParent]]</f>
        <v>1</v>
      </c>
      <c r="K3715" s="129" t="str">
        <f ca="1">IF(Proc[[#This Row],[Author]]="Marcela Urrego",VLOOKUP(LEFT(Proc[[#This Row],[Requested]],1),Table3[#All],2,0),VLOOKUP(Proc[[#This Row],[Author]],Table4[],2,0))</f>
        <v>LS</v>
      </c>
      <c r="L3715" s="129" t="s">
        <v>4896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10</v>
      </c>
      <c r="R3715" s="131" t="s">
        <v>489</v>
      </c>
      <c r="S3715" s="129"/>
    </row>
    <row r="3716" spans="1:19" hidden="1">
      <c r="A3716" s="135" t="s">
        <v>5817</v>
      </c>
      <c r="B3716" s="138" t="str">
        <f ca="1">IFERROR(VLOOKUP(Proc[[#This Row],[App]],Table2[],3,0),"open")</f>
        <v>ok</v>
      </c>
      <c r="C3716" s="138" t="s">
        <v>369</v>
      </c>
      <c r="D3716" t="s">
        <v>5837</v>
      </c>
      <c r="E3716" t="s">
        <v>5853</v>
      </c>
      <c r="F3716" s="129" t="s">
        <v>5853</v>
      </c>
      <c r="G3716" s="135" t="s">
        <v>400</v>
      </c>
      <c r="H3716" s="129"/>
      <c r="J3716" s="129" t="b">
        <f ca="1">Proc[[#This Row],[Requested]]=Proc[[#This Row],[CurrentParent]]</f>
        <v>1</v>
      </c>
      <c r="K3716" s="129" t="str">
        <f ca="1">IF(Proc[[#This Row],[Author]]="Marcela Urrego",VLOOKUP(LEFT(Proc[[#This Row],[Requested]],1),Table3[#All],2,0),VLOOKUP(Proc[[#This Row],[Author]],Table4[],2,0))</f>
        <v>LS</v>
      </c>
      <c r="L3716" s="129" t="s">
        <v>4896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10</v>
      </c>
      <c r="R3716" s="131" t="s">
        <v>489</v>
      </c>
      <c r="S3716" s="129"/>
    </row>
    <row r="3717" spans="1:19" hidden="1">
      <c r="A3717" s="135" t="s">
        <v>5817</v>
      </c>
      <c r="B3717" s="138" t="str">
        <f ca="1">IFERROR(VLOOKUP(Proc[[#This Row],[App]],Table2[],3,0),"open")</f>
        <v>ok</v>
      </c>
      <c r="C3717" s="138" t="s">
        <v>369</v>
      </c>
      <c r="D3717" t="s">
        <v>5838</v>
      </c>
      <c r="E3717" t="s">
        <v>5854</v>
      </c>
      <c r="F3717" s="129" t="s">
        <v>5854</v>
      </c>
      <c r="G3717" s="135" t="s">
        <v>400</v>
      </c>
      <c r="H3717" s="129"/>
      <c r="J3717" s="129" t="b">
        <f ca="1">Proc[[#This Row],[Requested]]=Proc[[#This Row],[CurrentParent]]</f>
        <v>1</v>
      </c>
      <c r="K3717" s="129" t="str">
        <f ca="1">IF(Proc[[#This Row],[Author]]="Marcela Urrego",VLOOKUP(LEFT(Proc[[#This Row],[Requested]],1),Table3[#All],2,0),VLOOKUP(Proc[[#This Row],[Author]],Table4[],2,0))</f>
        <v>LS</v>
      </c>
      <c r="L3717" s="129" t="s">
        <v>4896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10</v>
      </c>
      <c r="R3717" s="131" t="s">
        <v>489</v>
      </c>
      <c r="S3717" s="129"/>
    </row>
    <row r="3718" spans="1:19" hidden="1">
      <c r="A3718" s="135" t="s">
        <v>5817</v>
      </c>
      <c r="B3718" s="138" t="str">
        <f ca="1">IFERROR(VLOOKUP(Proc[[#This Row],[App]],Table2[],3,0),"open")</f>
        <v>ok</v>
      </c>
      <c r="C3718" s="138" t="s">
        <v>369</v>
      </c>
      <c r="D3718" t="s">
        <v>5839</v>
      </c>
      <c r="E3718" t="s">
        <v>5852</v>
      </c>
      <c r="F3718" s="129" t="s">
        <v>5852</v>
      </c>
      <c r="G3718" s="135" t="s">
        <v>400</v>
      </c>
      <c r="H3718" s="129"/>
      <c r="J3718" s="129" t="b">
        <f ca="1">Proc[[#This Row],[Requested]]=Proc[[#This Row],[CurrentParent]]</f>
        <v>1</v>
      </c>
      <c r="K3718" s="129" t="str">
        <f ca="1">IF(Proc[[#This Row],[Author]]="Marcela Urrego",VLOOKUP(LEFT(Proc[[#This Row],[Requested]],1),Table3[#All],2,0),VLOOKUP(Proc[[#This Row],[Author]],Table4[],2,0))</f>
        <v>LS</v>
      </c>
      <c r="L3718" s="129" t="s">
        <v>4896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10</v>
      </c>
      <c r="R3718" s="131" t="s">
        <v>489</v>
      </c>
      <c r="S3718" s="129"/>
    </row>
    <row r="3719" spans="1:19" hidden="1">
      <c r="A3719" s="135" t="s">
        <v>5817</v>
      </c>
      <c r="B3719" s="138" t="str">
        <f ca="1">IFERROR(VLOOKUP(Proc[[#This Row],[App]],Table2[],3,0),"open")</f>
        <v>ok</v>
      </c>
      <c r="C3719" s="138" t="s">
        <v>369</v>
      </c>
      <c r="D3719" t="s">
        <v>5840</v>
      </c>
      <c r="E3719" t="s">
        <v>5852</v>
      </c>
      <c r="F3719" s="129" t="s">
        <v>5852</v>
      </c>
      <c r="G3719" s="135" t="s">
        <v>400</v>
      </c>
      <c r="H3719" s="129"/>
      <c r="J3719" s="129" t="b">
        <f ca="1">Proc[[#This Row],[Requested]]=Proc[[#This Row],[CurrentParent]]</f>
        <v>1</v>
      </c>
      <c r="K3719" s="129" t="str">
        <f ca="1">IF(Proc[[#This Row],[Author]]="Marcela Urrego",VLOOKUP(LEFT(Proc[[#This Row],[Requested]],1),Table3[#All],2,0),VLOOKUP(Proc[[#This Row],[Author]],Table4[],2,0))</f>
        <v>LS</v>
      </c>
      <c r="L3719" s="129" t="s">
        <v>4896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10</v>
      </c>
      <c r="R3719" s="131" t="s">
        <v>489</v>
      </c>
      <c r="S3719" s="129"/>
    </row>
    <row r="3720" spans="1:19" hidden="1">
      <c r="A3720" s="135" t="s">
        <v>5817</v>
      </c>
      <c r="B3720" s="138" t="str">
        <f ca="1">IFERROR(VLOOKUP(Proc[[#This Row],[App]],Table2[],3,0),"open")</f>
        <v>ok</v>
      </c>
      <c r="C3720" s="138" t="s">
        <v>369</v>
      </c>
      <c r="D3720" t="s">
        <v>5830</v>
      </c>
      <c r="E3720" t="s">
        <v>5852</v>
      </c>
      <c r="F3720" s="129" t="s">
        <v>5852</v>
      </c>
      <c r="G3720" s="135" t="s">
        <v>400</v>
      </c>
      <c r="H3720" s="129"/>
      <c r="J3720" s="129" t="b">
        <f ca="1">Proc[[#This Row],[Requested]]=Proc[[#This Row],[CurrentParent]]</f>
        <v>1</v>
      </c>
      <c r="K3720" s="129" t="str">
        <f ca="1">IF(Proc[[#This Row],[Author]]="Marcela Urrego",VLOOKUP(LEFT(Proc[[#This Row],[Requested]],1),Table3[#All],2,0),VLOOKUP(Proc[[#This Row],[Author]],Table4[],2,0))</f>
        <v>LS</v>
      </c>
      <c r="L3720" s="129" t="s">
        <v>4896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10</v>
      </c>
      <c r="R3720" s="131" t="s">
        <v>489</v>
      </c>
      <c r="S3720" s="129"/>
    </row>
    <row r="3721" spans="1:19" hidden="1">
      <c r="A3721" s="135" t="s">
        <v>5817</v>
      </c>
      <c r="B3721" s="138" t="str">
        <f ca="1">IFERROR(VLOOKUP(Proc[[#This Row],[App]],Table2[],3,0),"open")</f>
        <v>ok</v>
      </c>
      <c r="C3721" s="138" t="s">
        <v>369</v>
      </c>
      <c r="D3721" t="s">
        <v>5841</v>
      </c>
      <c r="E3721" t="s">
        <v>5852</v>
      </c>
      <c r="F3721" s="129" t="s">
        <v>5852</v>
      </c>
      <c r="G3721" s="135" t="s">
        <v>406</v>
      </c>
      <c r="H3721" s="129" t="str">
        <f ca="1">IF(Proc[[#This Row],[type]]="LFF (MDG-F)",MID(Proc[[#This Row],[Obj]],13,10),"")</f>
        <v>2025C03513</v>
      </c>
      <c r="J3721" s="129" t="b">
        <f ca="1">Proc[[#This Row],[Requested]]=Proc[[#This Row],[CurrentParent]]</f>
        <v>1</v>
      </c>
      <c r="K3721" s="129" t="str">
        <f ca="1">IF(Proc[[#This Row],[Author]]="Marcela Urrego",VLOOKUP(LEFT(Proc[[#This Row],[Requested]],1),Table3[#All],2,0),VLOOKUP(Proc[[#This Row],[Author]],Table4[],2,0))</f>
        <v>LS</v>
      </c>
      <c r="L3721" s="129" t="s">
        <v>4896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10</v>
      </c>
      <c r="R3721" s="131" t="s">
        <v>489</v>
      </c>
      <c r="S3721" s="129"/>
    </row>
    <row r="3722" spans="1:19" hidden="1">
      <c r="A3722" s="135" t="s">
        <v>5817</v>
      </c>
      <c r="B3722" s="138" t="str">
        <f ca="1">IFERROR(VLOOKUP(Proc[[#This Row],[App]],Table2[],3,0),"open")</f>
        <v>ok</v>
      </c>
      <c r="C3722" s="138" t="s">
        <v>369</v>
      </c>
      <c r="D3722" t="s">
        <v>5842</v>
      </c>
      <c r="E3722" t="s">
        <v>5852</v>
      </c>
      <c r="F3722" s="129" t="s">
        <v>5852</v>
      </c>
      <c r="G3722" s="135" t="s">
        <v>400</v>
      </c>
      <c r="H3722" s="129"/>
      <c r="J3722" s="129" t="b">
        <f ca="1">Proc[[#This Row],[Requested]]=Proc[[#This Row],[CurrentParent]]</f>
        <v>1</v>
      </c>
      <c r="K3722" s="129" t="str">
        <f ca="1">IF(Proc[[#This Row],[Author]]="Marcela Urrego",VLOOKUP(LEFT(Proc[[#This Row],[Requested]],1),Table3[#All],2,0),VLOOKUP(Proc[[#This Row],[Author]],Table4[],2,0))</f>
        <v>LS</v>
      </c>
      <c r="L3722" s="129" t="s">
        <v>4896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10</v>
      </c>
      <c r="R3722" s="131" t="s">
        <v>489</v>
      </c>
      <c r="S3722" s="129"/>
    </row>
    <row r="3723" spans="1:19" hidden="1">
      <c r="A3723" s="135" t="s">
        <v>5817</v>
      </c>
      <c r="B3723" s="138" t="str">
        <f ca="1">IFERROR(VLOOKUP(Proc[[#This Row],[App]],Table2[],3,0),"open")</f>
        <v>ok</v>
      </c>
      <c r="C3723" s="138" t="s">
        <v>369</v>
      </c>
      <c r="D3723" t="s">
        <v>5832</v>
      </c>
      <c r="E3723" t="s">
        <v>5852</v>
      </c>
      <c r="F3723" s="129" t="s">
        <v>5852</v>
      </c>
      <c r="G3723" s="135" t="s">
        <v>400</v>
      </c>
      <c r="H3723" s="129"/>
      <c r="J3723" s="129" t="b">
        <f ca="1">Proc[[#This Row],[Requested]]=Proc[[#This Row],[CurrentParent]]</f>
        <v>1</v>
      </c>
      <c r="K3723" s="129" t="str">
        <f ca="1">IF(Proc[[#This Row],[Author]]="Marcela Urrego",VLOOKUP(LEFT(Proc[[#This Row],[Requested]],1),Table3[#All],2,0),VLOOKUP(Proc[[#This Row],[Author]],Table4[],2,0))</f>
        <v>LS</v>
      </c>
      <c r="L3723" s="129" t="s">
        <v>4896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10</v>
      </c>
      <c r="R3723" s="131" t="s">
        <v>489</v>
      </c>
      <c r="S3723" s="129"/>
    </row>
    <row r="3724" spans="1:19" hidden="1">
      <c r="A3724" s="135" t="s">
        <v>5817</v>
      </c>
      <c r="B3724" s="138" t="str">
        <f ca="1">IFERROR(VLOOKUP(Proc[[#This Row],[App]],Table2[],3,0),"open")</f>
        <v>ok</v>
      </c>
      <c r="C3724" s="138" t="s">
        <v>369</v>
      </c>
      <c r="D3724" t="s">
        <v>5843</v>
      </c>
      <c r="E3724" t="s">
        <v>5852</v>
      </c>
      <c r="F3724" s="129" t="s">
        <v>5852</v>
      </c>
      <c r="G3724" s="135" t="s">
        <v>400</v>
      </c>
      <c r="H3724" s="129"/>
      <c r="J3724" s="129" t="b">
        <f ca="1">Proc[[#This Row],[Requested]]=Proc[[#This Row],[CurrentParent]]</f>
        <v>1</v>
      </c>
      <c r="K3724" s="129" t="str">
        <f ca="1">IF(Proc[[#This Row],[Author]]="Marcela Urrego",VLOOKUP(LEFT(Proc[[#This Row],[Requested]],1),Table3[#All],2,0),VLOOKUP(Proc[[#This Row],[Author]],Table4[],2,0))</f>
        <v>LS</v>
      </c>
      <c r="L3724" s="129" t="s">
        <v>4896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10</v>
      </c>
      <c r="R3724" s="131" t="s">
        <v>489</v>
      </c>
      <c r="S3724" s="129"/>
    </row>
    <row r="3725" spans="1:19" hidden="1">
      <c r="A3725" s="135" t="s">
        <v>5817</v>
      </c>
      <c r="B3725" s="138" t="str">
        <f ca="1">IFERROR(VLOOKUP(Proc[[#This Row],[App]],Table2[],3,0),"open")</f>
        <v>ok</v>
      </c>
      <c r="C3725" s="138" t="s">
        <v>369</v>
      </c>
      <c r="D3725" t="s">
        <v>5822</v>
      </c>
      <c r="E3725" t="s">
        <v>5852</v>
      </c>
      <c r="F3725" s="129" t="s">
        <v>5852</v>
      </c>
      <c r="G3725" s="135" t="s">
        <v>400</v>
      </c>
      <c r="H3725" s="129"/>
      <c r="J3725" s="129" t="b">
        <f ca="1">Proc[[#This Row],[Requested]]=Proc[[#This Row],[CurrentParent]]</f>
        <v>1</v>
      </c>
      <c r="K3725" s="129" t="str">
        <f ca="1">IF(Proc[[#This Row],[Author]]="Marcela Urrego",VLOOKUP(LEFT(Proc[[#This Row],[Requested]],1),Table3[#All],2,0),VLOOKUP(Proc[[#This Row],[Author]],Table4[],2,0))</f>
        <v>LS</v>
      </c>
      <c r="L3725" s="129" t="s">
        <v>4896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10</v>
      </c>
      <c r="R3725" s="131" t="s">
        <v>489</v>
      </c>
      <c r="S3725" s="129"/>
    </row>
    <row r="3726" spans="1:19" hidden="1">
      <c r="A3726" s="135" t="s">
        <v>5817</v>
      </c>
      <c r="B3726" s="138" t="str">
        <f ca="1">IFERROR(VLOOKUP(Proc[[#This Row],[App]],Table2[],3,0),"open")</f>
        <v>ok</v>
      </c>
      <c r="C3726" s="138" t="s">
        <v>369</v>
      </c>
      <c r="D3726" t="s">
        <v>5844</v>
      </c>
      <c r="E3726" t="s">
        <v>5852</v>
      </c>
      <c r="F3726" s="129" t="s">
        <v>5852</v>
      </c>
      <c r="G3726" s="135" t="s">
        <v>400</v>
      </c>
      <c r="H3726" s="129"/>
      <c r="J3726" s="129" t="b">
        <f ca="1">Proc[[#This Row],[Requested]]=Proc[[#This Row],[CurrentParent]]</f>
        <v>1</v>
      </c>
      <c r="K3726" s="129" t="str">
        <f ca="1">IF(Proc[[#This Row],[Author]]="Marcela Urrego",VLOOKUP(LEFT(Proc[[#This Row],[Requested]],1),Table3[#All],2,0),VLOOKUP(Proc[[#This Row],[Author]],Table4[],2,0))</f>
        <v>LS</v>
      </c>
      <c r="L3726" s="129" t="s">
        <v>4896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10</v>
      </c>
      <c r="R3726" s="131" t="s">
        <v>489</v>
      </c>
      <c r="S3726" s="129"/>
    </row>
    <row r="3727" spans="1:19" hidden="1">
      <c r="A3727" s="135" t="s">
        <v>5817</v>
      </c>
      <c r="B3727" s="138" t="str">
        <f ca="1">IFERROR(VLOOKUP(Proc[[#This Row],[App]],Table2[],3,0),"open")</f>
        <v>ok</v>
      </c>
      <c r="C3727" s="138" t="s">
        <v>369</v>
      </c>
      <c r="D3727" t="s">
        <v>5845</v>
      </c>
      <c r="E3727" t="s">
        <v>5852</v>
      </c>
      <c r="F3727" s="129" t="s">
        <v>5852</v>
      </c>
      <c r="G3727" s="135" t="s">
        <v>400</v>
      </c>
      <c r="H3727" s="129"/>
      <c r="J3727" s="129" t="b">
        <f ca="1">Proc[[#This Row],[Requested]]=Proc[[#This Row],[CurrentParent]]</f>
        <v>1</v>
      </c>
      <c r="K3727" s="129" t="str">
        <f ca="1">IF(Proc[[#This Row],[Author]]="Marcela Urrego",VLOOKUP(LEFT(Proc[[#This Row],[Requested]],1),Table3[#All],2,0),VLOOKUP(Proc[[#This Row],[Author]],Table4[],2,0))</f>
        <v>LS</v>
      </c>
      <c r="L3727" s="129" t="s">
        <v>4896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10</v>
      </c>
      <c r="R3727" s="131" t="s">
        <v>489</v>
      </c>
      <c r="S3727" s="129"/>
    </row>
    <row r="3728" spans="1:19" hidden="1">
      <c r="A3728" s="135" t="s">
        <v>5817</v>
      </c>
      <c r="B3728" s="138" t="str">
        <f ca="1">IFERROR(VLOOKUP(Proc[[#This Row],[App]],Table2[],3,0),"open")</f>
        <v>ok</v>
      </c>
      <c r="C3728" s="138" t="s">
        <v>369</v>
      </c>
      <c r="D3728" t="s">
        <v>5846</v>
      </c>
      <c r="E3728" t="s">
        <v>5855</v>
      </c>
      <c r="F3728" s="129" t="s">
        <v>5855</v>
      </c>
      <c r="G3728" s="135" t="s">
        <v>400</v>
      </c>
      <c r="H3728" s="129"/>
      <c r="J3728" s="129" t="b">
        <f ca="1">Proc[[#This Row],[Requested]]=Proc[[#This Row],[CurrentParent]]</f>
        <v>1</v>
      </c>
      <c r="K3728" s="129" t="str">
        <f ca="1">IF(Proc[[#This Row],[Author]]="Marcela Urrego",VLOOKUP(LEFT(Proc[[#This Row],[Requested]],1),Table3[#All],2,0),VLOOKUP(Proc[[#This Row],[Author]],Table4[],2,0))</f>
        <v>LS</v>
      </c>
      <c r="L3728" s="129" t="s">
        <v>4896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10</v>
      </c>
      <c r="R3728" s="131" t="s">
        <v>489</v>
      </c>
      <c r="S3728" s="129"/>
    </row>
    <row r="3729" spans="1:19" hidden="1">
      <c r="A3729" s="135" t="s">
        <v>5817</v>
      </c>
      <c r="B3729" s="138" t="str">
        <f ca="1">IFERROR(VLOOKUP(Proc[[#This Row],[App]],Table2[],3,0),"open")</f>
        <v>ok</v>
      </c>
      <c r="C3729" s="138" t="s">
        <v>369</v>
      </c>
      <c r="D3729" t="s">
        <v>5847</v>
      </c>
      <c r="E3729" t="s">
        <v>5852</v>
      </c>
      <c r="F3729" s="129" t="s">
        <v>5852</v>
      </c>
      <c r="G3729" s="135" t="s">
        <v>400</v>
      </c>
      <c r="H3729" s="129"/>
      <c r="J3729" s="129" t="b">
        <f ca="1">Proc[[#This Row],[Requested]]=Proc[[#This Row],[CurrentParent]]</f>
        <v>1</v>
      </c>
      <c r="K3729" s="129" t="str">
        <f ca="1">IF(Proc[[#This Row],[Author]]="Marcela Urrego",VLOOKUP(LEFT(Proc[[#This Row],[Requested]],1),Table3[#All],2,0),VLOOKUP(Proc[[#This Row],[Author]],Table4[],2,0))</f>
        <v>LS</v>
      </c>
      <c r="L3729" s="129" t="s">
        <v>4896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10</v>
      </c>
      <c r="R3729" s="131" t="s">
        <v>489</v>
      </c>
      <c r="S3729" s="129"/>
    </row>
    <row r="3730" spans="1:19" hidden="1">
      <c r="A3730" s="135" t="s">
        <v>5817</v>
      </c>
      <c r="B3730" s="138" t="str">
        <f ca="1">IFERROR(VLOOKUP(Proc[[#This Row],[App]],Table2[],3,0),"open")</f>
        <v>ok</v>
      </c>
      <c r="C3730" s="138" t="s">
        <v>369</v>
      </c>
      <c r="D3730" t="s">
        <v>5848</v>
      </c>
      <c r="E3730" t="s">
        <v>5856</v>
      </c>
      <c r="F3730" s="129" t="s">
        <v>5856</v>
      </c>
      <c r="G3730" s="135" t="s">
        <v>400</v>
      </c>
      <c r="H3730" s="129"/>
      <c r="J3730" s="129" t="b">
        <f ca="1">Proc[[#This Row],[Requested]]=Proc[[#This Row],[CurrentParent]]</f>
        <v>1</v>
      </c>
      <c r="K3730" s="129" t="str">
        <f ca="1">IF(Proc[[#This Row],[Author]]="Marcela Urrego",VLOOKUP(LEFT(Proc[[#This Row],[Requested]],1),Table3[#All],2,0),VLOOKUP(Proc[[#This Row],[Author]],Table4[],2,0))</f>
        <v>LS</v>
      </c>
      <c r="L3730" s="129" t="s">
        <v>4896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10</v>
      </c>
      <c r="R3730" s="131" t="s">
        <v>489</v>
      </c>
      <c r="S3730" s="129"/>
    </row>
    <row r="3731" spans="1:19" hidden="1">
      <c r="A3731" s="135" t="s">
        <v>5817</v>
      </c>
      <c r="B3731" s="138" t="str">
        <f ca="1">IFERROR(VLOOKUP(Proc[[#This Row],[App]],Table2[],3,0),"open")</f>
        <v>ok</v>
      </c>
      <c r="C3731" s="138" t="s">
        <v>369</v>
      </c>
      <c r="D3731" t="s">
        <v>5849</v>
      </c>
      <c r="E3731" t="s">
        <v>5856</v>
      </c>
      <c r="F3731" s="129" t="s">
        <v>5856</v>
      </c>
      <c r="G3731" s="135" t="s">
        <v>400</v>
      </c>
      <c r="H3731" s="129" t="str">
        <f ca="1">IF(Proc[[#This Row],[type]]="LFF (MDG-F)",MID(Proc[[#This Row],[Obj]],13,10),"")</f>
        <v/>
      </c>
      <c r="J3731" s="129" t="b">
        <f ca="1">Proc[[#This Row],[Requested]]=Proc[[#This Row],[CurrentParent]]</f>
        <v>1</v>
      </c>
      <c r="K3731" s="129" t="str">
        <f ca="1">IF(Proc[[#This Row],[Author]]="Marcela Urrego",VLOOKUP(LEFT(Proc[[#This Row],[Requested]],1),Table3[#All],2,0),VLOOKUP(Proc[[#This Row],[Author]],Table4[],2,0))</f>
        <v>LS</v>
      </c>
      <c r="L3731" s="129" t="s">
        <v>4896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10</v>
      </c>
      <c r="R3731" s="131" t="s">
        <v>489</v>
      </c>
      <c r="S3731" s="129"/>
    </row>
    <row r="3732" spans="1:19" hidden="1">
      <c r="A3732" t="s">
        <v>5857</v>
      </c>
      <c r="B3732" s="138" t="str">
        <f ca="1">IFERROR(VLOOKUP(Proc[[#This Row],[App]],Table2[],3,0),"open")</f>
        <v>ok</v>
      </c>
      <c r="C3732" s="135" t="s">
        <v>369</v>
      </c>
      <c r="D3732" s="45" t="s">
        <v>5758</v>
      </c>
      <c r="E3732" t="s">
        <v>5272</v>
      </c>
      <c r="F3732" s="129" t="s">
        <v>5272</v>
      </c>
      <c r="G3732" s="135" t="s">
        <v>406</v>
      </c>
      <c r="H3732" s="129" t="str">
        <f ca="1">IF(Proc[[#This Row],[type]]="LFF (MDG-F)",MID(Proc[[#This Row],[Obj]],13,10),"")</f>
        <v>DE73R00021</v>
      </c>
      <c r="J3732" s="129" t="b">
        <f ca="1">Proc[[#This Row],[Requested]]=Proc[[#This Row],[CurrentParent]]</f>
        <v>1</v>
      </c>
      <c r="K3732" s="129" t="str">
        <f ca="1">IF(Proc[[#This Row],[Author]]="Marcela Urrego",VLOOKUP(LEFT(Proc[[#This Row],[Requested]],1),Table3[#All],2,0),VLOOKUP(Proc[[#This Row],[Author]],Table4[],2,0))</f>
        <v>LS</v>
      </c>
      <c r="L3732" s="129" t="s">
        <v>4896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10</v>
      </c>
      <c r="R3732" s="131" t="s">
        <v>489</v>
      </c>
      <c r="S3732" s="129"/>
    </row>
    <row r="3733" spans="1:19" hidden="1">
      <c r="A3733" s="135" t="s">
        <v>5857</v>
      </c>
      <c r="B3733" s="138" t="str">
        <f ca="1">IFERROR(VLOOKUP(Proc[[#This Row],[App]],Table2[],3,0),"open")</f>
        <v>ok</v>
      </c>
      <c r="C3733" s="135" t="s">
        <v>369</v>
      </c>
      <c r="D3733" s="45" t="s">
        <v>5760</v>
      </c>
      <c r="E3733" t="s">
        <v>5272</v>
      </c>
      <c r="F3733" s="129" t="s">
        <v>5272</v>
      </c>
      <c r="G3733" s="135" t="s">
        <v>406</v>
      </c>
      <c r="H3733" s="129" t="str">
        <f ca="1">IF(Proc[[#This Row],[type]]="LFF (MDG-F)",MID(Proc[[#This Row],[Obj]],13,10),"")</f>
        <v>DE73R00013</v>
      </c>
      <c r="J3733" s="129" t="b">
        <f ca="1">Proc[[#This Row],[Requested]]=Proc[[#This Row],[CurrentParent]]</f>
        <v>1</v>
      </c>
      <c r="K3733" s="129" t="str">
        <f ca="1">IF(Proc[[#This Row],[Author]]="Marcela Urrego",VLOOKUP(LEFT(Proc[[#This Row],[Requested]],1),Table3[#All],2,0),VLOOKUP(Proc[[#This Row],[Author]],Table4[],2,0))</f>
        <v>LS</v>
      </c>
      <c r="L3733" s="129" t="s">
        <v>4896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10</v>
      </c>
      <c r="R3733" s="131" t="s">
        <v>489</v>
      </c>
      <c r="S3733" s="129"/>
    </row>
    <row r="3734" spans="1:19" hidden="1">
      <c r="A3734" t="s">
        <v>5858</v>
      </c>
      <c r="B3734" s="138" t="str">
        <f ca="1">IFERROR(VLOOKUP(Proc[[#This Row],[App]],Table2[],3,0),"open")</f>
        <v>ok</v>
      </c>
      <c r="C3734" s="138" t="s">
        <v>369</v>
      </c>
      <c r="D3734" t="s">
        <v>5859</v>
      </c>
      <c r="E3734" t="s">
        <v>2274</v>
      </c>
      <c r="F3734" s="129" t="s">
        <v>2274</v>
      </c>
      <c r="G3734" t="s">
        <v>400</v>
      </c>
      <c r="H3734" s="129" t="str">
        <f ca="1">IF(Proc[[#This Row],[type]]="LFF (MDG-F)",MID(Proc[[#This Row],[Obj]],13,10),"")</f>
        <v/>
      </c>
      <c r="J3734" s="129" t="b">
        <f ca="1">Proc[[#This Row],[Requested]]=Proc[[#This Row],[CurrentParent]]</f>
        <v>1</v>
      </c>
      <c r="K3734" s="129" t="str">
        <f ca="1">IF(Proc[[#This Row],[Author]]="Marcela Urrego",VLOOKUP(LEFT(Proc[[#This Row],[Requested]],1),Table3[#All],2,0),VLOOKUP(Proc[[#This Row],[Author]],Table4[],2,0))</f>
        <v>HC</v>
      </c>
      <c r="L3734" s="129" t="s">
        <v>4896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10</v>
      </c>
      <c r="R3734" s="136" t="s">
        <v>1013</v>
      </c>
      <c r="S3734" s="129"/>
    </row>
    <row r="3735" spans="1:19" hidden="1">
      <c r="A3735" s="135" t="s">
        <v>5858</v>
      </c>
      <c r="B3735" s="138" t="str">
        <f ca="1">IFERROR(VLOOKUP(Proc[[#This Row],[App]],Table2[],3,0),"open")</f>
        <v>ok</v>
      </c>
      <c r="C3735" s="138" t="s">
        <v>369</v>
      </c>
      <c r="D3735" t="s">
        <v>5860</v>
      </c>
      <c r="E3735" t="s">
        <v>2274</v>
      </c>
      <c r="F3735" s="129" t="s">
        <v>2274</v>
      </c>
      <c r="G3735" s="135" t="s">
        <v>400</v>
      </c>
      <c r="H3735" s="129" t="str">
        <f ca="1">IF(Proc[[#This Row],[type]]="LFF (MDG-F)",MID(Proc[[#This Row],[Obj]],13,10),"")</f>
        <v/>
      </c>
      <c r="J3735" s="129" t="b">
        <f ca="1">Proc[[#This Row],[Requested]]=Proc[[#This Row],[CurrentParent]]</f>
        <v>1</v>
      </c>
      <c r="K3735" s="129" t="str">
        <f ca="1">IF(Proc[[#This Row],[Author]]="Marcela Urrego",VLOOKUP(LEFT(Proc[[#This Row],[Requested]],1),Table3[#All],2,0),VLOOKUP(Proc[[#This Row],[Author]],Table4[],2,0))</f>
        <v>HC</v>
      </c>
      <c r="L3735" s="129" t="s">
        <v>4896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10</v>
      </c>
      <c r="R3735" s="136" t="s">
        <v>1013</v>
      </c>
      <c r="S3735" s="129"/>
    </row>
    <row r="3736" spans="1:19" hidden="1">
      <c r="A3736" s="135" t="s">
        <v>5858</v>
      </c>
      <c r="B3736" s="138" t="str">
        <f ca="1">IFERROR(VLOOKUP(Proc[[#This Row],[App]],Table2[],3,0),"open")</f>
        <v>ok</v>
      </c>
      <c r="C3736" s="138" t="s">
        <v>369</v>
      </c>
      <c r="D3736" t="s">
        <v>5861</v>
      </c>
      <c r="E3736" t="s">
        <v>3005</v>
      </c>
      <c r="F3736" s="129" t="s">
        <v>3005</v>
      </c>
      <c r="G3736" s="135" t="s">
        <v>400</v>
      </c>
      <c r="H3736" s="129" t="str">
        <f ca="1">IF(Proc[[#This Row],[type]]="LFF (MDG-F)",MID(Proc[[#This Row],[Obj]],13,10),"")</f>
        <v/>
      </c>
      <c r="J3736" s="129" t="b">
        <f ca="1">Proc[[#This Row],[Requested]]=Proc[[#This Row],[CurrentParent]]</f>
        <v>1</v>
      </c>
      <c r="K3736" s="129" t="str">
        <f ca="1">IF(Proc[[#This Row],[Author]]="Marcela Urrego",VLOOKUP(LEFT(Proc[[#This Row],[Requested]],1),Table3[#All],2,0),VLOOKUP(Proc[[#This Row],[Author]],Table4[],2,0))</f>
        <v>HC</v>
      </c>
      <c r="L3736" s="129" t="s">
        <v>4896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10</v>
      </c>
      <c r="R3736" s="136" t="s">
        <v>1013</v>
      </c>
      <c r="S3736" s="129"/>
    </row>
    <row r="3737" spans="1:19" hidden="1">
      <c r="A3737" s="135" t="s">
        <v>5858</v>
      </c>
      <c r="B3737" s="138" t="str">
        <f ca="1">IFERROR(VLOOKUP(Proc[[#This Row],[App]],Table2[],3,0),"open")</f>
        <v>ok</v>
      </c>
      <c r="C3737" s="138" t="s">
        <v>369</v>
      </c>
      <c r="D3737" t="s">
        <v>5862</v>
      </c>
      <c r="E3737" t="s">
        <v>4069</v>
      </c>
      <c r="F3737" s="129" t="s">
        <v>4069</v>
      </c>
      <c r="G3737" s="135" t="s">
        <v>400</v>
      </c>
      <c r="H3737" s="129" t="str">
        <f ca="1">IF(Proc[[#This Row],[type]]="LFF (MDG-F)",MID(Proc[[#This Row],[Obj]],13,10),"")</f>
        <v/>
      </c>
      <c r="J3737" s="129" t="b">
        <f ca="1">Proc[[#This Row],[Requested]]=Proc[[#This Row],[CurrentParent]]</f>
        <v>1</v>
      </c>
      <c r="K3737" s="129" t="str">
        <f ca="1">IF(Proc[[#This Row],[Author]]="Marcela Urrego",VLOOKUP(LEFT(Proc[[#This Row],[Requested]],1),Table3[#All],2,0),VLOOKUP(Proc[[#This Row],[Author]],Table4[],2,0))</f>
        <v>HC</v>
      </c>
      <c r="L3737" s="129" t="s">
        <v>4896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10</v>
      </c>
      <c r="R3737" s="136" t="s">
        <v>1013</v>
      </c>
      <c r="S3737" s="129"/>
    </row>
    <row r="3738" spans="1:19" hidden="1">
      <c r="A3738" s="135" t="s">
        <v>5858</v>
      </c>
      <c r="B3738" s="138" t="str">
        <f ca="1">IFERROR(VLOOKUP(Proc[[#This Row],[App]],Table2[],3,0),"open")</f>
        <v>ok</v>
      </c>
      <c r="C3738" s="138" t="s">
        <v>369</v>
      </c>
      <c r="D3738" t="s">
        <v>5863</v>
      </c>
      <c r="E3738" t="s">
        <v>4069</v>
      </c>
      <c r="F3738" s="129" t="s">
        <v>4069</v>
      </c>
      <c r="G3738" s="135" t="s">
        <v>400</v>
      </c>
      <c r="H3738" s="129" t="str">
        <f ca="1">IF(Proc[[#This Row],[type]]="LFF (MDG-F)",MID(Proc[[#This Row],[Obj]],13,10),"")</f>
        <v/>
      </c>
      <c r="J3738" s="129" t="b">
        <f ca="1">Proc[[#This Row],[Requested]]=Proc[[#This Row],[CurrentParent]]</f>
        <v>1</v>
      </c>
      <c r="K3738" s="129" t="str">
        <f ca="1">IF(Proc[[#This Row],[Author]]="Marcela Urrego",VLOOKUP(LEFT(Proc[[#This Row],[Requested]],1),Table3[#All],2,0),VLOOKUP(Proc[[#This Row],[Author]],Table4[],2,0))</f>
        <v>HC</v>
      </c>
      <c r="L3738" s="129" t="s">
        <v>4896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10</v>
      </c>
      <c r="R3738" s="136" t="s">
        <v>1013</v>
      </c>
      <c r="S3738" s="129"/>
    </row>
    <row r="3739" spans="1:19" hidden="1">
      <c r="A3739" s="135" t="s">
        <v>5858</v>
      </c>
      <c r="B3739" s="138" t="str">
        <f ca="1">IFERROR(VLOOKUP(Proc[[#This Row],[App]],Table2[],3,0),"open")</f>
        <v>ok</v>
      </c>
      <c r="C3739" s="138" t="s">
        <v>369</v>
      </c>
      <c r="D3739" t="s">
        <v>5864</v>
      </c>
      <c r="E3739" t="s">
        <v>4069</v>
      </c>
      <c r="F3739" s="129" t="s">
        <v>4069</v>
      </c>
      <c r="G3739" s="135" t="s">
        <v>400</v>
      </c>
      <c r="H3739" s="129" t="str">
        <f ca="1">IF(Proc[[#This Row],[type]]="LFF (MDG-F)",MID(Proc[[#This Row],[Obj]],13,10),"")</f>
        <v/>
      </c>
      <c r="J3739" s="129" t="b">
        <f ca="1">Proc[[#This Row],[Requested]]=Proc[[#This Row],[CurrentParent]]</f>
        <v>1</v>
      </c>
      <c r="K3739" s="129" t="str">
        <f ca="1">IF(Proc[[#This Row],[Author]]="Marcela Urrego",VLOOKUP(LEFT(Proc[[#This Row],[Requested]],1),Table3[#All],2,0),VLOOKUP(Proc[[#This Row],[Author]],Table4[],2,0))</f>
        <v>HC</v>
      </c>
      <c r="L3739" s="129" t="s">
        <v>4896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10</v>
      </c>
      <c r="R3739" s="136" t="s">
        <v>1013</v>
      </c>
      <c r="S3739" s="129"/>
    </row>
    <row r="3740" spans="1:19" hidden="1">
      <c r="A3740" s="135" t="s">
        <v>5858</v>
      </c>
      <c r="B3740" s="138" t="str">
        <f ca="1">IFERROR(VLOOKUP(Proc[[#This Row],[App]],Table2[],3,0),"open")</f>
        <v>ok</v>
      </c>
      <c r="C3740" s="138" t="s">
        <v>369</v>
      </c>
      <c r="D3740" t="s">
        <v>5865</v>
      </c>
      <c r="E3740" t="s">
        <v>4069</v>
      </c>
      <c r="F3740" s="129" t="s">
        <v>4069</v>
      </c>
      <c r="G3740" s="135" t="s">
        <v>400</v>
      </c>
      <c r="H3740" s="129" t="str">
        <f ca="1">IF(Proc[[#This Row],[type]]="LFF (MDG-F)",MID(Proc[[#This Row],[Obj]],13,10),"")</f>
        <v/>
      </c>
      <c r="J3740" s="129" t="b">
        <f ca="1">Proc[[#This Row],[Requested]]=Proc[[#This Row],[CurrentParent]]</f>
        <v>1</v>
      </c>
      <c r="K3740" s="129" t="str">
        <f ca="1">IF(Proc[[#This Row],[Author]]="Marcela Urrego",VLOOKUP(LEFT(Proc[[#This Row],[Requested]],1),Table3[#All],2,0),VLOOKUP(Proc[[#This Row],[Author]],Table4[],2,0))</f>
        <v>HC</v>
      </c>
      <c r="L3740" s="129" t="s">
        <v>4896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10</v>
      </c>
      <c r="R3740" s="136" t="s">
        <v>1013</v>
      </c>
      <c r="S3740" s="129"/>
    </row>
    <row r="3741" spans="1:19" hidden="1">
      <c r="A3741" s="135" t="s">
        <v>5858</v>
      </c>
      <c r="B3741" s="138" t="str">
        <f ca="1">IFERROR(VLOOKUP(Proc[[#This Row],[App]],Table2[],3,0),"open")</f>
        <v>ok</v>
      </c>
      <c r="C3741" s="138" t="s">
        <v>369</v>
      </c>
      <c r="D3741" t="s">
        <v>5866</v>
      </c>
      <c r="E3741" t="s">
        <v>4069</v>
      </c>
      <c r="F3741" s="129" t="s">
        <v>4069</v>
      </c>
      <c r="G3741" s="135" t="s">
        <v>400</v>
      </c>
      <c r="H3741" s="129" t="str">
        <f ca="1">IF(Proc[[#This Row],[type]]="LFF (MDG-F)",MID(Proc[[#This Row],[Obj]],13,10),"")</f>
        <v/>
      </c>
      <c r="J3741" s="129" t="b">
        <f ca="1">Proc[[#This Row],[Requested]]=Proc[[#This Row],[CurrentParent]]</f>
        <v>1</v>
      </c>
      <c r="K3741" s="129" t="str">
        <f ca="1">IF(Proc[[#This Row],[Author]]="Marcela Urrego",VLOOKUP(LEFT(Proc[[#This Row],[Requested]],1),Table3[#All],2,0),VLOOKUP(Proc[[#This Row],[Author]],Table4[],2,0))</f>
        <v>HC</v>
      </c>
      <c r="L3741" s="129" t="s">
        <v>4896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10</v>
      </c>
      <c r="R3741" s="136" t="s">
        <v>1013</v>
      </c>
      <c r="S3741" s="129"/>
    </row>
    <row r="3742" spans="1:19" hidden="1">
      <c r="A3742" s="135" t="s">
        <v>5858</v>
      </c>
      <c r="B3742" s="138" t="str">
        <f ca="1">IFERROR(VLOOKUP(Proc[[#This Row],[App]],Table2[],3,0),"open")</f>
        <v>ok</v>
      </c>
      <c r="C3742" s="138" t="s">
        <v>369</v>
      </c>
      <c r="D3742" t="s">
        <v>5867</v>
      </c>
      <c r="E3742" t="s">
        <v>4069</v>
      </c>
      <c r="F3742" s="129" t="s">
        <v>4069</v>
      </c>
      <c r="G3742" s="135" t="s">
        <v>400</v>
      </c>
      <c r="H3742" s="129" t="str">
        <f ca="1">IF(Proc[[#This Row],[type]]="LFF (MDG-F)",MID(Proc[[#This Row],[Obj]],13,10),"")</f>
        <v/>
      </c>
      <c r="J3742" s="129" t="b">
        <f ca="1">Proc[[#This Row],[Requested]]=Proc[[#This Row],[CurrentParent]]</f>
        <v>1</v>
      </c>
      <c r="K3742" s="129" t="str">
        <f ca="1">IF(Proc[[#This Row],[Author]]="Marcela Urrego",VLOOKUP(LEFT(Proc[[#This Row],[Requested]],1),Table3[#All],2,0),VLOOKUP(Proc[[#This Row],[Author]],Table4[],2,0))</f>
        <v>HC</v>
      </c>
      <c r="L3742" s="129" t="s">
        <v>4896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10</v>
      </c>
      <c r="R3742" s="136" t="s">
        <v>1013</v>
      </c>
      <c r="S3742" s="129"/>
    </row>
    <row r="3743" spans="1:19" hidden="1">
      <c r="A3743" s="135" t="s">
        <v>5858</v>
      </c>
      <c r="B3743" s="138" t="str">
        <f ca="1">IFERROR(VLOOKUP(Proc[[#This Row],[App]],Table2[],3,0),"open")</f>
        <v>ok</v>
      </c>
      <c r="C3743" s="138" t="s">
        <v>369</v>
      </c>
      <c r="D3743" t="s">
        <v>5868</v>
      </c>
      <c r="E3743" t="s">
        <v>2274</v>
      </c>
      <c r="F3743" s="129" t="s">
        <v>2274</v>
      </c>
      <c r="G3743" s="135" t="s">
        <v>400</v>
      </c>
      <c r="H3743" s="129" t="str">
        <f ca="1">IF(Proc[[#This Row],[type]]="LFF (MDG-F)",MID(Proc[[#This Row],[Obj]],13,10),"")</f>
        <v/>
      </c>
      <c r="J3743" s="129" t="b">
        <f ca="1">Proc[[#This Row],[Requested]]=Proc[[#This Row],[CurrentParent]]</f>
        <v>1</v>
      </c>
      <c r="K3743" s="129" t="str">
        <f ca="1">IF(Proc[[#This Row],[Author]]="Marcela Urrego",VLOOKUP(LEFT(Proc[[#This Row],[Requested]],1),Table3[#All],2,0),VLOOKUP(Proc[[#This Row],[Author]],Table4[],2,0))</f>
        <v>HC</v>
      </c>
      <c r="L3743" s="129" t="s">
        <v>4896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10</v>
      </c>
      <c r="R3743" s="136" t="s">
        <v>1013</v>
      </c>
      <c r="S3743" s="129"/>
    </row>
    <row r="3744" spans="1:19" hidden="1">
      <c r="A3744" s="135" t="s">
        <v>5858</v>
      </c>
      <c r="B3744" s="138" t="str">
        <f ca="1">IFERROR(VLOOKUP(Proc[[#This Row],[App]],Table2[],3,0),"open")</f>
        <v>ok</v>
      </c>
      <c r="C3744" s="138" t="s">
        <v>369</v>
      </c>
      <c r="D3744" t="s">
        <v>5869</v>
      </c>
      <c r="E3744" t="s">
        <v>4069</v>
      </c>
      <c r="F3744" s="129" t="s">
        <v>4069</v>
      </c>
      <c r="G3744" s="135" t="s">
        <v>400</v>
      </c>
      <c r="H3744" s="129" t="str">
        <f ca="1">IF(Proc[[#This Row],[type]]="LFF (MDG-F)",MID(Proc[[#This Row],[Obj]],13,10),"")</f>
        <v/>
      </c>
      <c r="J3744" s="129" t="b">
        <f ca="1">Proc[[#This Row],[Requested]]=Proc[[#This Row],[CurrentParent]]</f>
        <v>1</v>
      </c>
      <c r="K3744" s="129" t="str">
        <f ca="1">IF(Proc[[#This Row],[Author]]="Marcela Urrego",VLOOKUP(LEFT(Proc[[#This Row],[Requested]],1),Table3[#All],2,0),VLOOKUP(Proc[[#This Row],[Author]],Table4[],2,0))</f>
        <v>HC</v>
      </c>
      <c r="L3744" s="129" t="s">
        <v>4896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10</v>
      </c>
      <c r="R3744" s="136" t="s">
        <v>1013</v>
      </c>
      <c r="S3744" s="129"/>
    </row>
    <row r="3745" spans="1:19" hidden="1">
      <c r="A3745" s="135" t="s">
        <v>5858</v>
      </c>
      <c r="B3745" s="138" t="str">
        <f ca="1">IFERROR(VLOOKUP(Proc[[#This Row],[App]],Table2[],3,0),"open")</f>
        <v>ok</v>
      </c>
      <c r="C3745" s="138" t="s">
        <v>369</v>
      </c>
      <c r="D3745" t="s">
        <v>5870</v>
      </c>
      <c r="E3745" t="s">
        <v>4069</v>
      </c>
      <c r="F3745" s="129" t="s">
        <v>4069</v>
      </c>
      <c r="G3745" s="135" t="s">
        <v>400</v>
      </c>
      <c r="H3745" s="129" t="str">
        <f ca="1">IF(Proc[[#This Row],[type]]="LFF (MDG-F)",MID(Proc[[#This Row],[Obj]],13,10),"")</f>
        <v/>
      </c>
      <c r="J3745" s="129" t="b">
        <f ca="1">Proc[[#This Row],[Requested]]=Proc[[#This Row],[CurrentParent]]</f>
        <v>1</v>
      </c>
      <c r="K3745" s="129" t="str">
        <f ca="1">IF(Proc[[#This Row],[Author]]="Marcela Urrego",VLOOKUP(LEFT(Proc[[#This Row],[Requested]],1),Table3[#All],2,0),VLOOKUP(Proc[[#This Row],[Author]],Table4[],2,0))</f>
        <v>HC</v>
      </c>
      <c r="L3745" s="129" t="s">
        <v>4896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10</v>
      </c>
      <c r="R3745" s="136" t="s">
        <v>1013</v>
      </c>
      <c r="S3745" s="129"/>
    </row>
    <row r="3746" spans="1:19" hidden="1">
      <c r="A3746" s="135" t="s">
        <v>5858</v>
      </c>
      <c r="B3746" s="138" t="str">
        <f ca="1">IFERROR(VLOOKUP(Proc[[#This Row],[App]],Table2[],3,0),"open")</f>
        <v>ok</v>
      </c>
      <c r="C3746" s="138" t="s">
        <v>369</v>
      </c>
      <c r="D3746" t="s">
        <v>5871</v>
      </c>
      <c r="E3746" t="s">
        <v>4069</v>
      </c>
      <c r="F3746" s="129" t="s">
        <v>4069</v>
      </c>
      <c r="G3746" s="135" t="s">
        <v>400</v>
      </c>
      <c r="H3746" s="129" t="str">
        <f ca="1">IF(Proc[[#This Row],[type]]="LFF (MDG-F)",MID(Proc[[#This Row],[Obj]],13,10),"")</f>
        <v/>
      </c>
      <c r="J3746" s="129" t="b">
        <f ca="1">Proc[[#This Row],[Requested]]=Proc[[#This Row],[CurrentParent]]</f>
        <v>1</v>
      </c>
      <c r="K3746" s="129" t="str">
        <f ca="1">IF(Proc[[#This Row],[Author]]="Marcela Urrego",VLOOKUP(LEFT(Proc[[#This Row],[Requested]],1),Table3[#All],2,0),VLOOKUP(Proc[[#This Row],[Author]],Table4[],2,0))</f>
        <v>HC</v>
      </c>
      <c r="L3746" s="129" t="s">
        <v>4896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10</v>
      </c>
      <c r="R3746" s="136" t="s">
        <v>1013</v>
      </c>
      <c r="S3746" s="129"/>
    </row>
    <row r="3747" spans="1:19" hidden="1">
      <c r="A3747" s="135" t="s">
        <v>5858</v>
      </c>
      <c r="B3747" s="138" t="str">
        <f ca="1">IFERROR(VLOOKUP(Proc[[#This Row],[App]],Table2[],3,0),"open")</f>
        <v>ok</v>
      </c>
      <c r="C3747" s="138" t="s">
        <v>369</v>
      </c>
      <c r="D3747" t="s">
        <v>5872</v>
      </c>
      <c r="E3747" t="s">
        <v>4069</v>
      </c>
      <c r="F3747" s="129" t="s">
        <v>4069</v>
      </c>
      <c r="G3747" s="135" t="s">
        <v>400</v>
      </c>
      <c r="H3747" s="129" t="str">
        <f ca="1">IF(Proc[[#This Row],[type]]="LFF (MDG-F)",MID(Proc[[#This Row],[Obj]],13,10),"")</f>
        <v/>
      </c>
      <c r="J3747" s="129" t="b">
        <f ca="1">Proc[[#This Row],[Requested]]=Proc[[#This Row],[CurrentParent]]</f>
        <v>1</v>
      </c>
      <c r="K3747" s="129" t="str">
        <f ca="1">IF(Proc[[#This Row],[Author]]="Marcela Urrego",VLOOKUP(LEFT(Proc[[#This Row],[Requested]],1),Table3[#All],2,0),VLOOKUP(Proc[[#This Row],[Author]],Table4[],2,0))</f>
        <v>HC</v>
      </c>
      <c r="L3747" s="129" t="s">
        <v>4896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10</v>
      </c>
      <c r="R3747" s="136" t="s">
        <v>1013</v>
      </c>
      <c r="S3747" s="129"/>
    </row>
    <row r="3748" spans="1:19" hidden="1">
      <c r="A3748" s="135" t="s">
        <v>5858</v>
      </c>
      <c r="B3748" s="138" t="str">
        <f ca="1">IFERROR(VLOOKUP(Proc[[#This Row],[App]],Table2[],3,0),"open")</f>
        <v>ok</v>
      </c>
      <c r="C3748" s="138" t="s">
        <v>369</v>
      </c>
      <c r="D3748" t="s">
        <v>5873</v>
      </c>
      <c r="E3748" t="s">
        <v>4069</v>
      </c>
      <c r="F3748" s="129" t="s">
        <v>4069</v>
      </c>
      <c r="G3748" s="135" t="s">
        <v>400</v>
      </c>
      <c r="H3748" s="129" t="str">
        <f ca="1">IF(Proc[[#This Row],[type]]="LFF (MDG-F)",MID(Proc[[#This Row],[Obj]],13,10),"")</f>
        <v/>
      </c>
      <c r="J3748" s="129" t="b">
        <f ca="1">Proc[[#This Row],[Requested]]=Proc[[#This Row],[CurrentParent]]</f>
        <v>1</v>
      </c>
      <c r="K3748" s="129" t="str">
        <f ca="1">IF(Proc[[#This Row],[Author]]="Marcela Urrego",VLOOKUP(LEFT(Proc[[#This Row],[Requested]],1),Table3[#All],2,0),VLOOKUP(Proc[[#This Row],[Author]],Table4[],2,0))</f>
        <v>HC</v>
      </c>
      <c r="L3748" s="129" t="s">
        <v>4896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10</v>
      </c>
      <c r="R3748" s="136" t="s">
        <v>1013</v>
      </c>
      <c r="S3748" s="129"/>
    </row>
    <row r="3749" spans="1:19" hidden="1">
      <c r="A3749" s="135" t="s">
        <v>5858</v>
      </c>
      <c r="B3749" s="138" t="str">
        <f ca="1">IFERROR(VLOOKUP(Proc[[#This Row],[App]],Table2[],3,0),"open")</f>
        <v>ok</v>
      </c>
      <c r="C3749" s="138" t="s">
        <v>369</v>
      </c>
      <c r="D3749" t="s">
        <v>5874</v>
      </c>
      <c r="E3749" t="s">
        <v>3741</v>
      </c>
      <c r="F3749" s="129" t="s">
        <v>3741</v>
      </c>
      <c r="G3749" s="135" t="s">
        <v>400</v>
      </c>
      <c r="H3749" s="129" t="str">
        <f ca="1">IF(Proc[[#This Row],[type]]="LFF (MDG-F)",MID(Proc[[#This Row],[Obj]],13,10),"")</f>
        <v/>
      </c>
      <c r="J3749" s="129" t="b">
        <f ca="1">Proc[[#This Row],[Requested]]=Proc[[#This Row],[CurrentParent]]</f>
        <v>1</v>
      </c>
      <c r="K3749" s="129" t="str">
        <f ca="1">IF(Proc[[#This Row],[Author]]="Marcela Urrego",VLOOKUP(LEFT(Proc[[#This Row],[Requested]],1),Table3[#All],2,0),VLOOKUP(Proc[[#This Row],[Author]],Table4[],2,0))</f>
        <v>HC</v>
      </c>
      <c r="L3749" s="129" t="s">
        <v>4896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10</v>
      </c>
      <c r="R3749" s="136" t="s">
        <v>1013</v>
      </c>
      <c r="S3749" s="129"/>
    </row>
    <row r="3750" spans="1:19" hidden="1">
      <c r="A3750" s="135" t="s">
        <v>5858</v>
      </c>
      <c r="B3750" s="138" t="str">
        <f ca="1">IFERROR(VLOOKUP(Proc[[#This Row],[App]],Table2[],3,0),"open")</f>
        <v>ok</v>
      </c>
      <c r="C3750" s="138" t="s">
        <v>369</v>
      </c>
      <c r="D3750" t="s">
        <v>5875</v>
      </c>
      <c r="E3750" t="s">
        <v>4069</v>
      </c>
      <c r="F3750" s="129" t="s">
        <v>4069</v>
      </c>
      <c r="G3750" s="135" t="s">
        <v>400</v>
      </c>
      <c r="H3750" s="129" t="str">
        <f ca="1">IF(Proc[[#This Row],[type]]="LFF (MDG-F)",MID(Proc[[#This Row],[Obj]],13,10),"")</f>
        <v/>
      </c>
      <c r="J3750" s="129" t="b">
        <f ca="1">Proc[[#This Row],[Requested]]=Proc[[#This Row],[CurrentParent]]</f>
        <v>1</v>
      </c>
      <c r="K3750" s="129" t="str">
        <f ca="1">IF(Proc[[#This Row],[Author]]="Marcela Urrego",VLOOKUP(LEFT(Proc[[#This Row],[Requested]],1),Table3[#All],2,0),VLOOKUP(Proc[[#This Row],[Author]],Table4[],2,0))</f>
        <v>HC</v>
      </c>
      <c r="L3750" s="129" t="s">
        <v>4896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10</v>
      </c>
      <c r="R3750" s="136" t="s">
        <v>1013</v>
      </c>
      <c r="S3750" s="129"/>
    </row>
    <row r="3751" spans="1:19" hidden="1">
      <c r="A3751" s="135" t="s">
        <v>5858</v>
      </c>
      <c r="B3751" s="138" t="str">
        <f ca="1">IFERROR(VLOOKUP(Proc[[#This Row],[App]],Table2[],3,0),"open")</f>
        <v>ok</v>
      </c>
      <c r="C3751" s="138" t="s">
        <v>369</v>
      </c>
      <c r="D3751" t="s">
        <v>5876</v>
      </c>
      <c r="E3751" t="s">
        <v>3005</v>
      </c>
      <c r="F3751" s="129" t="s">
        <v>3005</v>
      </c>
      <c r="G3751" s="135" t="s">
        <v>400</v>
      </c>
      <c r="H3751" s="129" t="str">
        <f ca="1">IF(Proc[[#This Row],[type]]="LFF (MDG-F)",MID(Proc[[#This Row],[Obj]],13,10),"")</f>
        <v/>
      </c>
      <c r="J3751" s="129" t="b">
        <f ca="1">Proc[[#This Row],[Requested]]=Proc[[#This Row],[CurrentParent]]</f>
        <v>1</v>
      </c>
      <c r="K3751" s="129" t="str">
        <f ca="1">IF(Proc[[#This Row],[Author]]="Marcela Urrego",VLOOKUP(LEFT(Proc[[#This Row],[Requested]],1),Table3[#All],2,0),VLOOKUP(Proc[[#This Row],[Author]],Table4[],2,0))</f>
        <v>HC</v>
      </c>
      <c r="L3751" s="129" t="s">
        <v>4896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10</v>
      </c>
      <c r="R3751" s="136" t="s">
        <v>1013</v>
      </c>
      <c r="S3751" s="129"/>
    </row>
    <row r="3752" spans="1:19" hidden="1">
      <c r="A3752" s="135" t="s">
        <v>5858</v>
      </c>
      <c r="B3752" s="138" t="str">
        <f ca="1">IFERROR(VLOOKUP(Proc[[#This Row],[App]],Table2[],3,0),"open")</f>
        <v>ok</v>
      </c>
      <c r="C3752" s="138" t="s">
        <v>369</v>
      </c>
      <c r="D3752" t="s">
        <v>5877</v>
      </c>
      <c r="E3752" t="s">
        <v>3005</v>
      </c>
      <c r="F3752" s="129" t="s">
        <v>3005</v>
      </c>
      <c r="G3752" s="135" t="s">
        <v>400</v>
      </c>
      <c r="H3752" s="129" t="str">
        <f ca="1">IF(Proc[[#This Row],[type]]="LFF (MDG-F)",MID(Proc[[#This Row],[Obj]],13,10),"")</f>
        <v/>
      </c>
      <c r="J3752" s="129" t="b">
        <f ca="1">Proc[[#This Row],[Requested]]=Proc[[#This Row],[CurrentParent]]</f>
        <v>1</v>
      </c>
      <c r="K3752" s="129" t="str">
        <f ca="1">IF(Proc[[#This Row],[Author]]="Marcela Urrego",VLOOKUP(LEFT(Proc[[#This Row],[Requested]],1),Table3[#All],2,0),VLOOKUP(Proc[[#This Row],[Author]],Table4[],2,0))</f>
        <v>HC</v>
      </c>
      <c r="L3752" s="129" t="s">
        <v>4896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10</v>
      </c>
      <c r="R3752" s="136" t="s">
        <v>1013</v>
      </c>
      <c r="S3752" s="129"/>
    </row>
    <row r="3753" spans="1:19" hidden="1">
      <c r="A3753" s="135" t="s">
        <v>5858</v>
      </c>
      <c r="B3753" s="138" t="str">
        <f ca="1">IFERROR(VLOOKUP(Proc[[#This Row],[App]],Table2[],3,0),"open")</f>
        <v>ok</v>
      </c>
      <c r="C3753" s="138" t="s">
        <v>369</v>
      </c>
      <c r="D3753" t="s">
        <v>5878</v>
      </c>
      <c r="E3753" t="s">
        <v>3005</v>
      </c>
      <c r="F3753" s="129" t="s">
        <v>3005</v>
      </c>
      <c r="G3753" s="135" t="s">
        <v>400</v>
      </c>
      <c r="H3753" s="129" t="str">
        <f ca="1">IF(Proc[[#This Row],[type]]="LFF (MDG-F)",MID(Proc[[#This Row],[Obj]],13,10),"")</f>
        <v/>
      </c>
      <c r="J3753" s="129" t="b">
        <f ca="1">Proc[[#This Row],[Requested]]=Proc[[#This Row],[CurrentParent]]</f>
        <v>1</v>
      </c>
      <c r="K3753" s="129" t="str">
        <f ca="1">IF(Proc[[#This Row],[Author]]="Marcela Urrego",VLOOKUP(LEFT(Proc[[#This Row],[Requested]],1),Table3[#All],2,0),VLOOKUP(Proc[[#This Row],[Author]],Table4[],2,0))</f>
        <v>HC</v>
      </c>
      <c r="L3753" s="129" t="s">
        <v>4896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10</v>
      </c>
      <c r="R3753" s="136" t="s">
        <v>1013</v>
      </c>
      <c r="S3753" s="129"/>
    </row>
    <row r="3754" spans="1:19" hidden="1">
      <c r="A3754" s="135" t="s">
        <v>5858</v>
      </c>
      <c r="B3754" s="138" t="str">
        <f ca="1">IFERROR(VLOOKUP(Proc[[#This Row],[App]],Table2[],3,0),"open")</f>
        <v>ok</v>
      </c>
      <c r="C3754" s="138" t="s">
        <v>369</v>
      </c>
      <c r="D3754" t="s">
        <v>5879</v>
      </c>
      <c r="E3754" t="s">
        <v>3007</v>
      </c>
      <c r="F3754" s="129" t="s">
        <v>3007</v>
      </c>
      <c r="G3754" s="135" t="s">
        <v>400</v>
      </c>
      <c r="H3754" s="129" t="str">
        <f ca="1">IF(Proc[[#This Row],[type]]="LFF (MDG-F)",MID(Proc[[#This Row],[Obj]],13,10),"")</f>
        <v/>
      </c>
      <c r="J3754" s="129" t="b">
        <f ca="1">Proc[[#This Row],[Requested]]=Proc[[#This Row],[CurrentParent]]</f>
        <v>1</v>
      </c>
      <c r="K3754" s="129" t="str">
        <f ca="1">IF(Proc[[#This Row],[Author]]="Marcela Urrego",VLOOKUP(LEFT(Proc[[#This Row],[Requested]],1),Table3[#All],2,0),VLOOKUP(Proc[[#This Row],[Author]],Table4[],2,0))</f>
        <v>HC</v>
      </c>
      <c r="L3754" s="129" t="s">
        <v>4896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10</v>
      </c>
      <c r="R3754" s="136" t="s">
        <v>1013</v>
      </c>
      <c r="S3754" s="129"/>
    </row>
    <row r="3755" spans="1:19" hidden="1">
      <c r="A3755" s="135" t="s">
        <v>5858</v>
      </c>
      <c r="B3755" s="138" t="str">
        <f ca="1">IFERROR(VLOOKUP(Proc[[#This Row],[App]],Table2[],3,0),"open")</f>
        <v>ok</v>
      </c>
      <c r="C3755" s="138" t="s">
        <v>369</v>
      </c>
      <c r="D3755" t="s">
        <v>5880</v>
      </c>
      <c r="E3755" t="s">
        <v>3004</v>
      </c>
      <c r="F3755" s="129" t="s">
        <v>3004</v>
      </c>
      <c r="G3755" s="135" t="s">
        <v>400</v>
      </c>
      <c r="H3755" s="129" t="str">
        <f ca="1">IF(Proc[[#This Row],[type]]="LFF (MDG-F)",MID(Proc[[#This Row],[Obj]],13,10),"")</f>
        <v/>
      </c>
      <c r="J3755" s="129" t="b">
        <f ca="1">Proc[[#This Row],[Requested]]=Proc[[#This Row],[CurrentParent]]</f>
        <v>1</v>
      </c>
      <c r="K3755" s="129" t="str">
        <f ca="1">IF(Proc[[#This Row],[Author]]="Marcela Urrego",VLOOKUP(LEFT(Proc[[#This Row],[Requested]],1),Table3[#All],2,0),VLOOKUP(Proc[[#This Row],[Author]],Table4[],2,0))</f>
        <v>HC</v>
      </c>
      <c r="L3755" s="129" t="s">
        <v>4896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10</v>
      </c>
      <c r="R3755" s="136" t="s">
        <v>1013</v>
      </c>
      <c r="S3755" s="129"/>
    </row>
    <row r="3756" spans="1:19" hidden="1">
      <c r="A3756" s="135" t="s">
        <v>5858</v>
      </c>
      <c r="B3756" s="138" t="str">
        <f ca="1">IFERROR(VLOOKUP(Proc[[#This Row],[App]],Table2[],3,0),"open")</f>
        <v>ok</v>
      </c>
      <c r="C3756" s="138" t="s">
        <v>369</v>
      </c>
      <c r="D3756" t="s">
        <v>5881</v>
      </c>
      <c r="E3756" t="s">
        <v>3004</v>
      </c>
      <c r="F3756" s="129" t="s">
        <v>3004</v>
      </c>
      <c r="G3756" s="135" t="s">
        <v>400</v>
      </c>
      <c r="H3756" s="129" t="str">
        <f ca="1">IF(Proc[[#This Row],[type]]="LFF (MDG-F)",MID(Proc[[#This Row],[Obj]],13,10),"")</f>
        <v/>
      </c>
      <c r="J3756" s="129" t="b">
        <f ca="1">Proc[[#This Row],[Requested]]=Proc[[#This Row],[CurrentParent]]</f>
        <v>1</v>
      </c>
      <c r="K3756" s="129" t="str">
        <f ca="1">IF(Proc[[#This Row],[Author]]="Marcela Urrego",VLOOKUP(LEFT(Proc[[#This Row],[Requested]],1),Table3[#All],2,0),VLOOKUP(Proc[[#This Row],[Author]],Table4[],2,0))</f>
        <v>HC</v>
      </c>
      <c r="L3756" s="129" t="s">
        <v>4896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10</v>
      </c>
      <c r="R3756" s="136" t="s">
        <v>1013</v>
      </c>
      <c r="S3756" s="129"/>
    </row>
    <row r="3757" spans="1:19" hidden="1">
      <c r="A3757" s="135" t="s">
        <v>5858</v>
      </c>
      <c r="B3757" s="138" t="str">
        <f ca="1">IFERROR(VLOOKUP(Proc[[#This Row],[App]],Table2[],3,0),"open")</f>
        <v>ok</v>
      </c>
      <c r="C3757" s="138" t="s">
        <v>369</v>
      </c>
      <c r="D3757" t="s">
        <v>5882</v>
      </c>
      <c r="E3757" t="s">
        <v>3008</v>
      </c>
      <c r="F3757" s="129" t="s">
        <v>3008</v>
      </c>
      <c r="G3757" s="135" t="s">
        <v>400</v>
      </c>
      <c r="H3757" s="129" t="str">
        <f ca="1">IF(Proc[[#This Row],[type]]="LFF (MDG-F)",MID(Proc[[#This Row],[Obj]],13,10),"")</f>
        <v/>
      </c>
      <c r="J3757" s="129" t="b">
        <f ca="1">Proc[[#This Row],[Requested]]=Proc[[#This Row],[CurrentParent]]</f>
        <v>1</v>
      </c>
      <c r="K3757" s="129" t="str">
        <f ca="1">IF(Proc[[#This Row],[Author]]="Marcela Urrego",VLOOKUP(LEFT(Proc[[#This Row],[Requested]],1),Table3[#All],2,0),VLOOKUP(Proc[[#This Row],[Author]],Table4[],2,0))</f>
        <v>HC</v>
      </c>
      <c r="L3757" s="129" t="s">
        <v>4896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10</v>
      </c>
      <c r="R3757" s="136" t="s">
        <v>1013</v>
      </c>
      <c r="S3757" s="129"/>
    </row>
    <row r="3758" spans="1:19" hidden="1">
      <c r="A3758" s="135" t="s">
        <v>5858</v>
      </c>
      <c r="B3758" s="138" t="str">
        <f ca="1">IFERROR(VLOOKUP(Proc[[#This Row],[App]],Table2[],3,0),"open")</f>
        <v>ok</v>
      </c>
      <c r="C3758" s="138" t="s">
        <v>369</v>
      </c>
      <c r="D3758" t="s">
        <v>5883</v>
      </c>
      <c r="E3758" t="s">
        <v>3008</v>
      </c>
      <c r="F3758" s="129" t="s">
        <v>3008</v>
      </c>
      <c r="G3758" s="135" t="s">
        <v>400</v>
      </c>
      <c r="H3758" s="129" t="str">
        <f ca="1">IF(Proc[[#This Row],[type]]="LFF (MDG-F)",MID(Proc[[#This Row],[Obj]],13,10),"")</f>
        <v/>
      </c>
      <c r="J3758" s="129" t="b">
        <f ca="1">Proc[[#This Row],[Requested]]=Proc[[#This Row],[CurrentParent]]</f>
        <v>1</v>
      </c>
      <c r="K3758" s="129" t="str">
        <f ca="1">IF(Proc[[#This Row],[Author]]="Marcela Urrego",VLOOKUP(LEFT(Proc[[#This Row],[Requested]],1),Table3[#All],2,0),VLOOKUP(Proc[[#This Row],[Author]],Table4[],2,0))</f>
        <v>HC</v>
      </c>
      <c r="L3758" s="129" t="s">
        <v>4896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10</v>
      </c>
      <c r="R3758" s="136" t="s">
        <v>1013</v>
      </c>
      <c r="S3758" s="129"/>
    </row>
    <row r="3759" spans="1:19" hidden="1">
      <c r="A3759" s="135" t="s">
        <v>5858</v>
      </c>
      <c r="B3759" s="138" t="str">
        <f ca="1">IFERROR(VLOOKUP(Proc[[#This Row],[App]],Table2[],3,0),"open")</f>
        <v>ok</v>
      </c>
      <c r="C3759" s="138" t="s">
        <v>369</v>
      </c>
      <c r="D3759" t="s">
        <v>5884</v>
      </c>
      <c r="E3759" t="s">
        <v>3008</v>
      </c>
      <c r="F3759" s="129" t="s">
        <v>3008</v>
      </c>
      <c r="G3759" s="135" t="s">
        <v>400</v>
      </c>
      <c r="H3759" s="129" t="str">
        <f ca="1">IF(Proc[[#This Row],[type]]="LFF (MDG-F)",MID(Proc[[#This Row],[Obj]],13,10),"")</f>
        <v/>
      </c>
      <c r="J3759" s="129" t="b">
        <f ca="1">Proc[[#This Row],[Requested]]=Proc[[#This Row],[CurrentParent]]</f>
        <v>1</v>
      </c>
      <c r="K3759" s="129" t="str">
        <f ca="1">IF(Proc[[#This Row],[Author]]="Marcela Urrego",VLOOKUP(LEFT(Proc[[#This Row],[Requested]],1),Table3[#All],2,0),VLOOKUP(Proc[[#This Row],[Author]],Table4[],2,0))</f>
        <v>HC</v>
      </c>
      <c r="L3759" s="129" t="s">
        <v>4896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10</v>
      </c>
      <c r="R3759" s="136" t="s">
        <v>1013</v>
      </c>
      <c r="S3759" s="129"/>
    </row>
    <row r="3760" spans="1:19" hidden="1">
      <c r="A3760" s="135" t="s">
        <v>5858</v>
      </c>
      <c r="B3760" s="138" t="str">
        <f ca="1">IFERROR(VLOOKUP(Proc[[#This Row],[App]],Table2[],3,0),"open")</f>
        <v>ok</v>
      </c>
      <c r="C3760" s="138" t="s">
        <v>369</v>
      </c>
      <c r="D3760" t="s">
        <v>5885</v>
      </c>
      <c r="E3760" t="s">
        <v>3009</v>
      </c>
      <c r="F3760" s="129" t="s">
        <v>3009</v>
      </c>
      <c r="G3760" s="135" t="s">
        <v>400</v>
      </c>
      <c r="H3760" s="129" t="str">
        <f ca="1">IF(Proc[[#This Row],[type]]="LFF (MDG-F)",MID(Proc[[#This Row],[Obj]],13,10),"")</f>
        <v/>
      </c>
      <c r="J3760" s="129" t="b">
        <f ca="1">Proc[[#This Row],[Requested]]=Proc[[#This Row],[CurrentParent]]</f>
        <v>1</v>
      </c>
      <c r="K3760" s="129" t="str">
        <f ca="1">IF(Proc[[#This Row],[Author]]="Marcela Urrego",VLOOKUP(LEFT(Proc[[#This Row],[Requested]],1),Table3[#All],2,0),VLOOKUP(Proc[[#This Row],[Author]],Table4[],2,0))</f>
        <v>HC</v>
      </c>
      <c r="L3760" s="129" t="s">
        <v>4896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10</v>
      </c>
      <c r="R3760" s="136" t="s">
        <v>1013</v>
      </c>
      <c r="S3760" s="129"/>
    </row>
    <row r="3761" spans="1:19" hidden="1">
      <c r="A3761" s="135" t="s">
        <v>5858</v>
      </c>
      <c r="B3761" s="138" t="str">
        <f ca="1">IFERROR(VLOOKUP(Proc[[#This Row],[App]],Table2[],3,0),"open")</f>
        <v>ok</v>
      </c>
      <c r="C3761" s="138" t="s">
        <v>369</v>
      </c>
      <c r="D3761" t="s">
        <v>5886</v>
      </c>
      <c r="E3761" t="s">
        <v>3003</v>
      </c>
      <c r="F3761" s="129" t="s">
        <v>3003</v>
      </c>
      <c r="G3761" s="135" t="s">
        <v>400</v>
      </c>
      <c r="H3761" s="129" t="str">
        <f ca="1">IF(Proc[[#This Row],[type]]="LFF (MDG-F)",MID(Proc[[#This Row],[Obj]],13,10),"")</f>
        <v/>
      </c>
      <c r="J3761" s="129" t="b">
        <f ca="1">Proc[[#This Row],[Requested]]=Proc[[#This Row],[CurrentParent]]</f>
        <v>1</v>
      </c>
      <c r="K3761" s="129" t="str">
        <f ca="1">IF(Proc[[#This Row],[Author]]="Marcela Urrego",VLOOKUP(LEFT(Proc[[#This Row],[Requested]],1),Table3[#All],2,0),VLOOKUP(Proc[[#This Row],[Author]],Table4[],2,0))</f>
        <v>HC</v>
      </c>
      <c r="L3761" s="129" t="s">
        <v>4896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10</v>
      </c>
      <c r="R3761" s="136" t="s">
        <v>1013</v>
      </c>
      <c r="S3761" s="129"/>
    </row>
    <row r="3762" spans="1:19" hidden="1">
      <c r="A3762" s="135" t="s">
        <v>5858</v>
      </c>
      <c r="B3762" s="138" t="str">
        <f ca="1">IFERROR(VLOOKUP(Proc[[#This Row],[App]],Table2[],3,0),"open")</f>
        <v>ok</v>
      </c>
      <c r="C3762" s="138" t="s">
        <v>369</v>
      </c>
      <c r="D3762" t="s">
        <v>5887</v>
      </c>
      <c r="E3762" t="s">
        <v>3009</v>
      </c>
      <c r="F3762" s="129" t="s">
        <v>3009</v>
      </c>
      <c r="G3762" s="135" t="s">
        <v>400</v>
      </c>
      <c r="H3762" s="129" t="str">
        <f ca="1">IF(Proc[[#This Row],[type]]="LFF (MDG-F)",MID(Proc[[#This Row],[Obj]],13,10),"")</f>
        <v/>
      </c>
      <c r="J3762" s="129" t="b">
        <f ca="1">Proc[[#This Row],[Requested]]=Proc[[#This Row],[CurrentParent]]</f>
        <v>1</v>
      </c>
      <c r="K3762" s="129" t="str">
        <f ca="1">IF(Proc[[#This Row],[Author]]="Marcela Urrego",VLOOKUP(LEFT(Proc[[#This Row],[Requested]],1),Table3[#All],2,0),VLOOKUP(Proc[[#This Row],[Author]],Table4[],2,0))</f>
        <v>HC</v>
      </c>
      <c r="L3762" s="129" t="s">
        <v>4896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10</v>
      </c>
      <c r="R3762" s="136" t="s">
        <v>1013</v>
      </c>
      <c r="S3762" s="129"/>
    </row>
    <row r="3763" spans="1:19" hidden="1">
      <c r="A3763" s="135" t="s">
        <v>5858</v>
      </c>
      <c r="B3763" s="138" t="str">
        <f ca="1">IFERROR(VLOOKUP(Proc[[#This Row],[App]],Table2[],3,0),"open")</f>
        <v>ok</v>
      </c>
      <c r="C3763" s="138" t="s">
        <v>369</v>
      </c>
      <c r="D3763" t="s">
        <v>5888</v>
      </c>
      <c r="E3763" t="s">
        <v>3008</v>
      </c>
      <c r="F3763" s="129" t="s">
        <v>3008</v>
      </c>
      <c r="G3763" s="135" t="s">
        <v>400</v>
      </c>
      <c r="H3763" s="129" t="str">
        <f ca="1">IF(Proc[[#This Row],[type]]="LFF (MDG-F)",MID(Proc[[#This Row],[Obj]],13,10),"")</f>
        <v/>
      </c>
      <c r="J3763" s="129" t="b">
        <f ca="1">Proc[[#This Row],[Requested]]=Proc[[#This Row],[CurrentParent]]</f>
        <v>1</v>
      </c>
      <c r="K3763" s="129" t="str">
        <f ca="1">IF(Proc[[#This Row],[Author]]="Marcela Urrego",VLOOKUP(LEFT(Proc[[#This Row],[Requested]],1),Table3[#All],2,0),VLOOKUP(Proc[[#This Row],[Author]],Table4[],2,0))</f>
        <v>HC</v>
      </c>
      <c r="L3763" s="129" t="s">
        <v>4896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10</v>
      </c>
      <c r="R3763" s="136" t="s">
        <v>1013</v>
      </c>
      <c r="S3763" s="129"/>
    </row>
    <row r="3764" spans="1:19" hidden="1">
      <c r="A3764" s="135" t="s">
        <v>5858</v>
      </c>
      <c r="B3764" s="138" t="str">
        <f ca="1">IFERROR(VLOOKUP(Proc[[#This Row],[App]],Table2[],3,0),"open")</f>
        <v>ok</v>
      </c>
      <c r="C3764" s="138" t="s">
        <v>369</v>
      </c>
      <c r="D3764" t="s">
        <v>5889</v>
      </c>
      <c r="E3764" t="s">
        <v>3004</v>
      </c>
      <c r="F3764" s="129" t="s">
        <v>3004</v>
      </c>
      <c r="G3764" s="135" t="s">
        <v>400</v>
      </c>
      <c r="H3764" s="129" t="str">
        <f ca="1">IF(Proc[[#This Row],[type]]="LFF (MDG-F)",MID(Proc[[#This Row],[Obj]],13,10),"")</f>
        <v/>
      </c>
      <c r="J3764" s="129" t="b">
        <f ca="1">Proc[[#This Row],[Requested]]=Proc[[#This Row],[CurrentParent]]</f>
        <v>1</v>
      </c>
      <c r="K3764" s="129" t="str">
        <f ca="1">IF(Proc[[#This Row],[Author]]="Marcela Urrego",VLOOKUP(LEFT(Proc[[#This Row],[Requested]],1),Table3[#All],2,0),VLOOKUP(Proc[[#This Row],[Author]],Table4[],2,0))</f>
        <v>HC</v>
      </c>
      <c r="L3764" s="129" t="s">
        <v>4896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10</v>
      </c>
      <c r="R3764" s="136" t="s">
        <v>1013</v>
      </c>
      <c r="S3764" s="129"/>
    </row>
    <row r="3765" spans="1:19" hidden="1">
      <c r="A3765" s="135" t="s">
        <v>5858</v>
      </c>
      <c r="B3765" s="138" t="str">
        <f ca="1">IFERROR(VLOOKUP(Proc[[#This Row],[App]],Table2[],3,0),"open")</f>
        <v>ok</v>
      </c>
      <c r="C3765" s="138" t="s">
        <v>369</v>
      </c>
      <c r="D3765" t="s">
        <v>5890</v>
      </c>
      <c r="E3765" t="s">
        <v>3006</v>
      </c>
      <c r="F3765" s="129" t="s">
        <v>3006</v>
      </c>
      <c r="G3765" s="135" t="s">
        <v>400</v>
      </c>
      <c r="H3765" s="129" t="str">
        <f ca="1">IF(Proc[[#This Row],[type]]="LFF (MDG-F)",MID(Proc[[#This Row],[Obj]],13,10),"")</f>
        <v/>
      </c>
      <c r="J3765" s="129" t="b">
        <f ca="1">Proc[[#This Row],[Requested]]=Proc[[#This Row],[CurrentParent]]</f>
        <v>1</v>
      </c>
      <c r="K3765" s="129" t="str">
        <f ca="1">IF(Proc[[#This Row],[Author]]="Marcela Urrego",VLOOKUP(LEFT(Proc[[#This Row],[Requested]],1),Table3[#All],2,0),VLOOKUP(Proc[[#This Row],[Author]],Table4[],2,0))</f>
        <v>HC</v>
      </c>
      <c r="L3765" s="129" t="s">
        <v>4896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10</v>
      </c>
      <c r="R3765" s="136" t="s">
        <v>1013</v>
      </c>
      <c r="S3765" s="129"/>
    </row>
    <row r="3766" spans="1:19" hidden="1">
      <c r="A3766" s="135" t="s">
        <v>5858</v>
      </c>
      <c r="B3766" s="138" t="str">
        <f ca="1">IFERROR(VLOOKUP(Proc[[#This Row],[App]],Table2[],3,0),"open")</f>
        <v>ok</v>
      </c>
      <c r="C3766" s="138" t="s">
        <v>369</v>
      </c>
      <c r="D3766" t="s">
        <v>5891</v>
      </c>
      <c r="E3766" t="s">
        <v>3003</v>
      </c>
      <c r="F3766" s="129" t="s">
        <v>3003</v>
      </c>
      <c r="G3766" s="135" t="s">
        <v>400</v>
      </c>
      <c r="H3766" s="129" t="str">
        <f ca="1">IF(Proc[[#This Row],[type]]="LFF (MDG-F)",MID(Proc[[#This Row],[Obj]],13,10),"")</f>
        <v/>
      </c>
      <c r="J3766" s="129" t="b">
        <f ca="1">Proc[[#This Row],[Requested]]=Proc[[#This Row],[CurrentParent]]</f>
        <v>1</v>
      </c>
      <c r="K3766" s="129" t="str">
        <f ca="1">IF(Proc[[#This Row],[Author]]="Marcela Urrego",VLOOKUP(LEFT(Proc[[#This Row],[Requested]],1),Table3[#All],2,0),VLOOKUP(Proc[[#This Row],[Author]],Table4[],2,0))</f>
        <v>HC</v>
      </c>
      <c r="L3766" s="129" t="s">
        <v>4896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10</v>
      </c>
      <c r="R3766" s="136" t="s">
        <v>1013</v>
      </c>
      <c r="S3766" s="129"/>
    </row>
    <row r="3767" spans="1:19" hidden="1">
      <c r="A3767" s="135" t="s">
        <v>5858</v>
      </c>
      <c r="B3767" s="138" t="str">
        <f ca="1">IFERROR(VLOOKUP(Proc[[#This Row],[App]],Table2[],3,0),"open")</f>
        <v>ok</v>
      </c>
      <c r="C3767" s="138" t="s">
        <v>369</v>
      </c>
      <c r="D3767" t="s">
        <v>5892</v>
      </c>
      <c r="E3767" t="s">
        <v>3005</v>
      </c>
      <c r="F3767" s="129" t="s">
        <v>3005</v>
      </c>
      <c r="G3767" s="135" t="s">
        <v>400</v>
      </c>
      <c r="H3767" s="129" t="str">
        <f ca="1">IF(Proc[[#This Row],[type]]="LFF (MDG-F)",MID(Proc[[#This Row],[Obj]],13,10),"")</f>
        <v/>
      </c>
      <c r="J3767" s="129" t="b">
        <f ca="1">Proc[[#This Row],[Requested]]=Proc[[#This Row],[CurrentParent]]</f>
        <v>1</v>
      </c>
      <c r="K3767" s="129" t="str">
        <f ca="1">IF(Proc[[#This Row],[Author]]="Marcela Urrego",VLOOKUP(LEFT(Proc[[#This Row],[Requested]],1),Table3[#All],2,0),VLOOKUP(Proc[[#This Row],[Author]],Table4[],2,0))</f>
        <v>HC</v>
      </c>
      <c r="L3767" s="129" t="s">
        <v>4896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10</v>
      </c>
      <c r="R3767" s="136" t="s">
        <v>1013</v>
      </c>
      <c r="S3767" s="129"/>
    </row>
    <row r="3768" spans="1:19" hidden="1">
      <c r="A3768" s="135" t="s">
        <v>5858</v>
      </c>
      <c r="B3768" s="138" t="str">
        <f ca="1">IFERROR(VLOOKUP(Proc[[#This Row],[App]],Table2[],3,0),"open")</f>
        <v>ok</v>
      </c>
      <c r="C3768" s="138" t="s">
        <v>369</v>
      </c>
      <c r="D3768" t="s">
        <v>5893</v>
      </c>
      <c r="E3768" t="s">
        <v>3005</v>
      </c>
      <c r="F3768" s="129" t="s">
        <v>3005</v>
      </c>
      <c r="G3768" s="135" t="s">
        <v>400</v>
      </c>
      <c r="H3768" s="129" t="str">
        <f ca="1">IF(Proc[[#This Row],[type]]="LFF (MDG-F)",MID(Proc[[#This Row],[Obj]],13,10),"")</f>
        <v/>
      </c>
      <c r="J3768" s="129" t="b">
        <f ca="1">Proc[[#This Row],[Requested]]=Proc[[#This Row],[CurrentParent]]</f>
        <v>1</v>
      </c>
      <c r="K3768" s="129" t="str">
        <f ca="1">IF(Proc[[#This Row],[Author]]="Marcela Urrego",VLOOKUP(LEFT(Proc[[#This Row],[Requested]],1),Table3[#All],2,0),VLOOKUP(Proc[[#This Row],[Author]],Table4[],2,0))</f>
        <v>HC</v>
      </c>
      <c r="L3768" s="129" t="s">
        <v>4896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10</v>
      </c>
      <c r="R3768" s="136" t="s">
        <v>1013</v>
      </c>
      <c r="S3768" s="129"/>
    </row>
    <row r="3769" spans="1:19" hidden="1">
      <c r="A3769" s="135" t="s">
        <v>5858</v>
      </c>
      <c r="B3769" s="138" t="str">
        <f ca="1">IFERROR(VLOOKUP(Proc[[#This Row],[App]],Table2[],3,0),"open")</f>
        <v>ok</v>
      </c>
      <c r="C3769" s="138" t="s">
        <v>369</v>
      </c>
      <c r="D3769" t="s">
        <v>5894</v>
      </c>
      <c r="E3769" t="s">
        <v>3007</v>
      </c>
      <c r="F3769" s="129" t="s">
        <v>3007</v>
      </c>
      <c r="G3769" s="135" t="s">
        <v>400</v>
      </c>
      <c r="H3769" s="129" t="str">
        <f ca="1">IF(Proc[[#This Row],[type]]="LFF (MDG-F)",MID(Proc[[#This Row],[Obj]],13,10),"")</f>
        <v/>
      </c>
      <c r="J3769" s="129" t="b">
        <f ca="1">Proc[[#This Row],[Requested]]=Proc[[#This Row],[CurrentParent]]</f>
        <v>1</v>
      </c>
      <c r="K3769" s="129" t="str">
        <f ca="1">IF(Proc[[#This Row],[Author]]="Marcela Urrego",VLOOKUP(LEFT(Proc[[#This Row],[Requested]],1),Table3[#All],2,0),VLOOKUP(Proc[[#This Row],[Author]],Table4[],2,0))</f>
        <v>HC</v>
      </c>
      <c r="L3769" s="129" t="s">
        <v>4896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10</v>
      </c>
      <c r="R3769" s="136" t="s">
        <v>1013</v>
      </c>
      <c r="S3769" s="129"/>
    </row>
    <row r="3770" spans="1:19" hidden="1">
      <c r="A3770" s="135" t="s">
        <v>5858</v>
      </c>
      <c r="B3770" s="138" t="str">
        <f ca="1">IFERROR(VLOOKUP(Proc[[#This Row],[App]],Table2[],3,0),"open")</f>
        <v>ok</v>
      </c>
      <c r="C3770" s="138" t="s">
        <v>369</v>
      </c>
      <c r="D3770" t="s">
        <v>5895</v>
      </c>
      <c r="E3770" t="s">
        <v>3008</v>
      </c>
      <c r="F3770" s="129" t="s">
        <v>3008</v>
      </c>
      <c r="G3770" s="135" t="s">
        <v>400</v>
      </c>
      <c r="H3770" s="129" t="str">
        <f ca="1">IF(Proc[[#This Row],[type]]="LFF (MDG-F)",MID(Proc[[#This Row],[Obj]],13,10),"")</f>
        <v/>
      </c>
      <c r="J3770" s="129" t="b">
        <f ca="1">Proc[[#This Row],[Requested]]=Proc[[#This Row],[CurrentParent]]</f>
        <v>1</v>
      </c>
      <c r="K3770" s="129" t="str">
        <f ca="1">IF(Proc[[#This Row],[Author]]="Marcela Urrego",VLOOKUP(LEFT(Proc[[#This Row],[Requested]],1),Table3[#All],2,0),VLOOKUP(Proc[[#This Row],[Author]],Table4[],2,0))</f>
        <v>HC</v>
      </c>
      <c r="L3770" s="129" t="s">
        <v>4896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10</v>
      </c>
      <c r="R3770" s="136" t="s">
        <v>1013</v>
      </c>
      <c r="S3770" s="129"/>
    </row>
    <row r="3771" spans="1:19" hidden="1">
      <c r="A3771" s="135" t="s">
        <v>5858</v>
      </c>
      <c r="B3771" s="138" t="str">
        <f ca="1">IFERROR(VLOOKUP(Proc[[#This Row],[App]],Table2[],3,0),"open")</f>
        <v>ok</v>
      </c>
      <c r="C3771" s="138" t="s">
        <v>369</v>
      </c>
      <c r="D3771" t="s">
        <v>5896</v>
      </c>
      <c r="E3771" t="s">
        <v>3008</v>
      </c>
      <c r="F3771" s="129" t="s">
        <v>3008</v>
      </c>
      <c r="G3771" s="135" t="s">
        <v>400</v>
      </c>
      <c r="H3771" s="129" t="str">
        <f ca="1">IF(Proc[[#This Row],[type]]="LFF (MDG-F)",MID(Proc[[#This Row],[Obj]],13,10),"")</f>
        <v/>
      </c>
      <c r="J3771" s="129" t="b">
        <f ca="1">Proc[[#This Row],[Requested]]=Proc[[#This Row],[CurrentParent]]</f>
        <v>1</v>
      </c>
      <c r="K3771" s="129" t="str">
        <f ca="1">IF(Proc[[#This Row],[Author]]="Marcela Urrego",VLOOKUP(LEFT(Proc[[#This Row],[Requested]],1),Table3[#All],2,0),VLOOKUP(Proc[[#This Row],[Author]],Table4[],2,0))</f>
        <v>HC</v>
      </c>
      <c r="L3771" s="129" t="s">
        <v>4896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10</v>
      </c>
      <c r="R3771" s="136" t="s">
        <v>1013</v>
      </c>
      <c r="S3771" s="129"/>
    </row>
    <row r="3772" spans="1:19" hidden="1">
      <c r="A3772" s="135" t="s">
        <v>5858</v>
      </c>
      <c r="B3772" s="138" t="str">
        <f ca="1">IFERROR(VLOOKUP(Proc[[#This Row],[App]],Table2[],3,0),"open")</f>
        <v>ok</v>
      </c>
      <c r="C3772" s="138" t="s">
        <v>369</v>
      </c>
      <c r="D3772" t="s">
        <v>5897</v>
      </c>
      <c r="E3772" t="s">
        <v>3008</v>
      </c>
      <c r="F3772" s="129" t="s">
        <v>3008</v>
      </c>
      <c r="G3772" s="135" t="s">
        <v>400</v>
      </c>
      <c r="H3772" s="129" t="str">
        <f ca="1">IF(Proc[[#This Row],[type]]="LFF (MDG-F)",MID(Proc[[#This Row],[Obj]],13,10),"")</f>
        <v/>
      </c>
      <c r="J3772" s="129" t="b">
        <f ca="1">Proc[[#This Row],[Requested]]=Proc[[#This Row],[CurrentParent]]</f>
        <v>1</v>
      </c>
      <c r="K3772" s="129" t="str">
        <f ca="1">IF(Proc[[#This Row],[Author]]="Marcela Urrego",VLOOKUP(LEFT(Proc[[#This Row],[Requested]],1),Table3[#All],2,0),VLOOKUP(Proc[[#This Row],[Author]],Table4[],2,0))</f>
        <v>HC</v>
      </c>
      <c r="L3772" s="129" t="s">
        <v>4896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10</v>
      </c>
      <c r="R3772" s="136" t="s">
        <v>1013</v>
      </c>
      <c r="S3772" s="129"/>
    </row>
    <row r="3773" spans="1:19" hidden="1">
      <c r="A3773" s="135" t="s">
        <v>5858</v>
      </c>
      <c r="B3773" s="138" t="str">
        <f ca="1">IFERROR(VLOOKUP(Proc[[#This Row],[App]],Table2[],3,0),"open")</f>
        <v>ok</v>
      </c>
      <c r="C3773" s="138" t="s">
        <v>369</v>
      </c>
      <c r="D3773" t="s">
        <v>5898</v>
      </c>
      <c r="E3773" t="s">
        <v>3009</v>
      </c>
      <c r="F3773" s="129" t="s">
        <v>3009</v>
      </c>
      <c r="G3773" s="135" t="s">
        <v>400</v>
      </c>
      <c r="H3773" s="129" t="str">
        <f ca="1">IF(Proc[[#This Row],[type]]="LFF (MDG-F)",MID(Proc[[#This Row],[Obj]],13,10),"")</f>
        <v/>
      </c>
      <c r="J3773" s="129" t="b">
        <f ca="1">Proc[[#This Row],[Requested]]=Proc[[#This Row],[CurrentParent]]</f>
        <v>1</v>
      </c>
      <c r="K3773" s="129" t="str">
        <f ca="1">IF(Proc[[#This Row],[Author]]="Marcela Urrego",VLOOKUP(LEFT(Proc[[#This Row],[Requested]],1),Table3[#All],2,0),VLOOKUP(Proc[[#This Row],[Author]],Table4[],2,0))</f>
        <v>HC</v>
      </c>
      <c r="L3773" s="129" t="s">
        <v>4896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10</v>
      </c>
      <c r="R3773" s="136" t="s">
        <v>1013</v>
      </c>
      <c r="S3773" s="129"/>
    </row>
    <row r="3774" spans="1:19" hidden="1">
      <c r="A3774" s="135" t="s">
        <v>5858</v>
      </c>
      <c r="B3774" s="138" t="str">
        <f ca="1">IFERROR(VLOOKUP(Proc[[#This Row],[App]],Table2[],3,0),"open")</f>
        <v>ok</v>
      </c>
      <c r="C3774" s="138" t="s">
        <v>369</v>
      </c>
      <c r="D3774" t="s">
        <v>5899</v>
      </c>
      <c r="E3774" t="s">
        <v>3006</v>
      </c>
      <c r="F3774" s="129" t="s">
        <v>3006</v>
      </c>
      <c r="G3774" s="135" t="s">
        <v>400</v>
      </c>
      <c r="H3774" s="129" t="str">
        <f ca="1">IF(Proc[[#This Row],[type]]="LFF (MDG-F)",MID(Proc[[#This Row],[Obj]],13,10),"")</f>
        <v/>
      </c>
      <c r="J3774" s="129" t="b">
        <f ca="1">Proc[[#This Row],[Requested]]=Proc[[#This Row],[CurrentParent]]</f>
        <v>1</v>
      </c>
      <c r="K3774" s="129" t="str">
        <f ca="1">IF(Proc[[#This Row],[Author]]="Marcela Urrego",VLOOKUP(LEFT(Proc[[#This Row],[Requested]],1),Table3[#All],2,0),VLOOKUP(Proc[[#This Row],[Author]],Table4[],2,0))</f>
        <v>HC</v>
      </c>
      <c r="L3774" s="129" t="s">
        <v>4896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10</v>
      </c>
      <c r="R3774" s="136" t="s">
        <v>1013</v>
      </c>
      <c r="S3774" s="129"/>
    </row>
    <row r="3775" spans="1:19" hidden="1">
      <c r="A3775" s="135" t="s">
        <v>5858</v>
      </c>
      <c r="B3775" s="138" t="str">
        <f ca="1">IFERROR(VLOOKUP(Proc[[#This Row],[App]],Table2[],3,0),"open")</f>
        <v>ok</v>
      </c>
      <c r="C3775" s="138" t="s">
        <v>369</v>
      </c>
      <c r="D3775" t="s">
        <v>5900</v>
      </c>
      <c r="E3775" t="s">
        <v>3006</v>
      </c>
      <c r="F3775" s="129" t="s">
        <v>3006</v>
      </c>
      <c r="G3775" s="135" t="s">
        <v>400</v>
      </c>
      <c r="H3775" s="129" t="str">
        <f ca="1">IF(Proc[[#This Row],[type]]="LFF (MDG-F)",MID(Proc[[#This Row],[Obj]],13,10),"")</f>
        <v/>
      </c>
      <c r="J3775" s="129" t="b">
        <f ca="1">Proc[[#This Row],[Requested]]=Proc[[#This Row],[CurrentParent]]</f>
        <v>1</v>
      </c>
      <c r="K3775" s="129" t="str">
        <f ca="1">IF(Proc[[#This Row],[Author]]="Marcela Urrego",VLOOKUP(LEFT(Proc[[#This Row],[Requested]],1),Table3[#All],2,0),VLOOKUP(Proc[[#This Row],[Author]],Table4[],2,0))</f>
        <v>HC</v>
      </c>
      <c r="L3775" s="129" t="s">
        <v>4896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10</v>
      </c>
      <c r="R3775" s="136" t="s">
        <v>1013</v>
      </c>
      <c r="S3775" s="129"/>
    </row>
    <row r="3776" spans="1:19" hidden="1">
      <c r="A3776" s="135" t="s">
        <v>5858</v>
      </c>
      <c r="B3776" s="138" t="str">
        <f ca="1">IFERROR(VLOOKUP(Proc[[#This Row],[App]],Table2[],3,0),"open")</f>
        <v>ok</v>
      </c>
      <c r="C3776" s="138" t="s">
        <v>369</v>
      </c>
      <c r="D3776" t="s">
        <v>5901</v>
      </c>
      <c r="E3776" t="s">
        <v>3003</v>
      </c>
      <c r="F3776" s="129" t="s">
        <v>3003</v>
      </c>
      <c r="G3776" s="135" t="s">
        <v>400</v>
      </c>
      <c r="H3776" s="129" t="str">
        <f ca="1">IF(Proc[[#This Row],[type]]="LFF (MDG-F)",MID(Proc[[#This Row],[Obj]],13,10),"")</f>
        <v/>
      </c>
      <c r="J3776" s="129" t="b">
        <f ca="1">Proc[[#This Row],[Requested]]=Proc[[#This Row],[CurrentParent]]</f>
        <v>1</v>
      </c>
      <c r="K3776" s="129" t="str">
        <f ca="1">IF(Proc[[#This Row],[Author]]="Marcela Urrego",VLOOKUP(LEFT(Proc[[#This Row],[Requested]],1),Table3[#All],2,0),VLOOKUP(Proc[[#This Row],[Author]],Table4[],2,0))</f>
        <v>HC</v>
      </c>
      <c r="L3776" s="129" t="s">
        <v>4896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10</v>
      </c>
      <c r="R3776" s="136" t="s">
        <v>1013</v>
      </c>
      <c r="S3776" s="129"/>
    </row>
    <row r="3777" spans="1:19" hidden="1">
      <c r="A3777" s="135" t="s">
        <v>5858</v>
      </c>
      <c r="B3777" s="138" t="str">
        <f ca="1">IFERROR(VLOOKUP(Proc[[#This Row],[App]],Table2[],3,0),"open")</f>
        <v>ok</v>
      </c>
      <c r="C3777" s="138" t="s">
        <v>369</v>
      </c>
      <c r="D3777" t="s">
        <v>5902</v>
      </c>
      <c r="E3777" t="s">
        <v>5919</v>
      </c>
      <c r="F3777" s="129" t="s">
        <v>5919</v>
      </c>
      <c r="G3777" s="135" t="s">
        <v>400</v>
      </c>
      <c r="H3777" s="129" t="str">
        <f ca="1">IF(Proc[[#This Row],[type]]="LFF (MDG-F)",MID(Proc[[#This Row],[Obj]],13,10),"")</f>
        <v/>
      </c>
      <c r="J3777" s="129" t="b">
        <f ca="1">Proc[[#This Row],[Requested]]=Proc[[#This Row],[CurrentParent]]</f>
        <v>1</v>
      </c>
      <c r="K3777" s="129" t="str">
        <f ca="1">IF(Proc[[#This Row],[Author]]="Marcela Urrego",VLOOKUP(LEFT(Proc[[#This Row],[Requested]],1),Table3[#All],2,0),VLOOKUP(Proc[[#This Row],[Author]],Table4[],2,0))</f>
        <v>HC</v>
      </c>
      <c r="L3777" s="129" t="s">
        <v>4896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10</v>
      </c>
      <c r="R3777" s="136" t="s">
        <v>1013</v>
      </c>
      <c r="S3777" s="129"/>
    </row>
    <row r="3778" spans="1:19" hidden="1">
      <c r="A3778" s="135" t="s">
        <v>5858</v>
      </c>
      <c r="B3778" s="138" t="str">
        <f ca="1">IFERROR(VLOOKUP(Proc[[#This Row],[App]],Table2[],3,0),"open")</f>
        <v>ok</v>
      </c>
      <c r="C3778" s="138" t="s">
        <v>369</v>
      </c>
      <c r="D3778" t="s">
        <v>5903</v>
      </c>
      <c r="E3778" t="s">
        <v>3400</v>
      </c>
      <c r="F3778" s="129" t="s">
        <v>3400</v>
      </c>
      <c r="G3778" s="135" t="s">
        <v>400</v>
      </c>
      <c r="H3778" s="129" t="str">
        <f ca="1">IF(Proc[[#This Row],[type]]="LFF (MDG-F)",MID(Proc[[#This Row],[Obj]],13,10),"")</f>
        <v/>
      </c>
      <c r="J3778" s="129" t="b">
        <f ca="1">Proc[[#This Row],[Requested]]=Proc[[#This Row],[CurrentParent]]</f>
        <v>1</v>
      </c>
      <c r="K3778" s="129" t="str">
        <f ca="1">IF(Proc[[#This Row],[Author]]="Marcela Urrego",VLOOKUP(LEFT(Proc[[#This Row],[Requested]],1),Table3[#All],2,0),VLOOKUP(Proc[[#This Row],[Author]],Table4[],2,0))</f>
        <v>HC</v>
      </c>
      <c r="L3778" s="129" t="s">
        <v>4896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10</v>
      </c>
      <c r="R3778" s="136" t="s">
        <v>1013</v>
      </c>
      <c r="S3778" s="129"/>
    </row>
    <row r="3779" spans="1:19" hidden="1">
      <c r="A3779" s="135" t="s">
        <v>5858</v>
      </c>
      <c r="B3779" s="138" t="str">
        <f ca="1">IFERROR(VLOOKUP(Proc[[#This Row],[App]],Table2[],3,0),"open")</f>
        <v>ok</v>
      </c>
      <c r="C3779" s="138" t="s">
        <v>369</v>
      </c>
      <c r="D3779" t="s">
        <v>5904</v>
      </c>
      <c r="E3779" t="s">
        <v>3400</v>
      </c>
      <c r="F3779" s="129" t="s">
        <v>3400</v>
      </c>
      <c r="G3779" s="135" t="s">
        <v>400</v>
      </c>
      <c r="H3779" s="129" t="str">
        <f ca="1">IF(Proc[[#This Row],[type]]="LFF (MDG-F)",MID(Proc[[#This Row],[Obj]],13,10),"")</f>
        <v/>
      </c>
      <c r="J3779" s="129" t="b">
        <f ca="1">Proc[[#This Row],[Requested]]=Proc[[#This Row],[CurrentParent]]</f>
        <v>1</v>
      </c>
      <c r="K3779" s="129" t="str">
        <f ca="1">IF(Proc[[#This Row],[Author]]="Marcela Urrego",VLOOKUP(LEFT(Proc[[#This Row],[Requested]],1),Table3[#All],2,0),VLOOKUP(Proc[[#This Row],[Author]],Table4[],2,0))</f>
        <v>HC</v>
      </c>
      <c r="L3779" s="129" t="s">
        <v>4896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10</v>
      </c>
      <c r="R3779" s="136" t="s">
        <v>1013</v>
      </c>
      <c r="S3779" s="129"/>
    </row>
    <row r="3780" spans="1:19" hidden="1">
      <c r="A3780" s="135" t="s">
        <v>5858</v>
      </c>
      <c r="B3780" s="138" t="str">
        <f ca="1">IFERROR(VLOOKUP(Proc[[#This Row],[App]],Table2[],3,0),"open")</f>
        <v>ok</v>
      </c>
      <c r="C3780" s="138" t="s">
        <v>369</v>
      </c>
      <c r="D3780" t="s">
        <v>5905</v>
      </c>
      <c r="E3780" t="s">
        <v>3400</v>
      </c>
      <c r="F3780" s="129" t="s">
        <v>3400</v>
      </c>
      <c r="G3780" s="135" t="s">
        <v>400</v>
      </c>
      <c r="H3780" s="129" t="str">
        <f ca="1">IF(Proc[[#This Row],[type]]="LFF (MDG-F)",MID(Proc[[#This Row],[Obj]],13,10),"")</f>
        <v/>
      </c>
      <c r="J3780" s="129" t="b">
        <f ca="1">Proc[[#This Row],[Requested]]=Proc[[#This Row],[CurrentParent]]</f>
        <v>1</v>
      </c>
      <c r="K3780" s="129" t="str">
        <f ca="1">IF(Proc[[#This Row],[Author]]="Marcela Urrego",VLOOKUP(LEFT(Proc[[#This Row],[Requested]],1),Table3[#All],2,0),VLOOKUP(Proc[[#This Row],[Author]],Table4[],2,0))</f>
        <v>HC</v>
      </c>
      <c r="L3780" s="129" t="s">
        <v>4896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10</v>
      </c>
      <c r="R3780" s="136" t="s">
        <v>1013</v>
      </c>
      <c r="S3780" s="129"/>
    </row>
    <row r="3781" spans="1:19" hidden="1">
      <c r="A3781" s="135" t="s">
        <v>5858</v>
      </c>
      <c r="B3781" s="138" t="str">
        <f ca="1">IFERROR(VLOOKUP(Proc[[#This Row],[App]],Table2[],3,0),"open")</f>
        <v>ok</v>
      </c>
      <c r="C3781" s="138" t="s">
        <v>369</v>
      </c>
      <c r="D3781" t="s">
        <v>5906</v>
      </c>
      <c r="E3781" t="s">
        <v>3400</v>
      </c>
      <c r="F3781" s="129" t="s">
        <v>3400</v>
      </c>
      <c r="G3781" s="135" t="s">
        <v>400</v>
      </c>
      <c r="H3781" s="129" t="str">
        <f ca="1">IF(Proc[[#This Row],[type]]="LFF (MDG-F)",MID(Proc[[#This Row],[Obj]],13,10),"")</f>
        <v/>
      </c>
      <c r="J3781" s="129" t="b">
        <f ca="1">Proc[[#This Row],[Requested]]=Proc[[#This Row],[CurrentParent]]</f>
        <v>1</v>
      </c>
      <c r="K3781" s="129" t="str">
        <f ca="1">IF(Proc[[#This Row],[Author]]="Marcela Urrego",VLOOKUP(LEFT(Proc[[#This Row],[Requested]],1),Table3[#All],2,0),VLOOKUP(Proc[[#This Row],[Author]],Table4[],2,0))</f>
        <v>HC</v>
      </c>
      <c r="L3781" s="129" t="s">
        <v>4896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10</v>
      </c>
      <c r="R3781" s="136" t="s">
        <v>1013</v>
      </c>
      <c r="S3781" s="129"/>
    </row>
    <row r="3782" spans="1:19" hidden="1">
      <c r="A3782" s="135" t="s">
        <v>5858</v>
      </c>
      <c r="B3782" s="138" t="str">
        <f ca="1">IFERROR(VLOOKUP(Proc[[#This Row],[App]],Table2[],3,0),"open")</f>
        <v>ok</v>
      </c>
      <c r="C3782" s="138" t="s">
        <v>369</v>
      </c>
      <c r="D3782" t="s">
        <v>5907</v>
      </c>
      <c r="E3782" t="s">
        <v>3398</v>
      </c>
      <c r="F3782" s="129" t="s">
        <v>3398</v>
      </c>
      <c r="G3782" s="135" t="s">
        <v>400</v>
      </c>
      <c r="H3782" s="129" t="str">
        <f ca="1">IF(Proc[[#This Row],[type]]="LFF (MDG-F)",MID(Proc[[#This Row],[Obj]],13,10),"")</f>
        <v/>
      </c>
      <c r="J3782" s="129" t="b">
        <f ca="1">Proc[[#This Row],[Requested]]=Proc[[#This Row],[CurrentParent]]</f>
        <v>1</v>
      </c>
      <c r="K3782" s="129" t="str">
        <f ca="1">IF(Proc[[#This Row],[Author]]="Marcela Urrego",VLOOKUP(LEFT(Proc[[#This Row],[Requested]],1),Table3[#All],2,0),VLOOKUP(Proc[[#This Row],[Author]],Table4[],2,0))</f>
        <v>HC</v>
      </c>
      <c r="L3782" s="129" t="s">
        <v>4896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10</v>
      </c>
      <c r="R3782" s="136" t="s">
        <v>1013</v>
      </c>
      <c r="S3782" s="129"/>
    </row>
    <row r="3783" spans="1:19" hidden="1">
      <c r="A3783" s="135" t="s">
        <v>5858</v>
      </c>
      <c r="B3783" s="138" t="str">
        <f ca="1">IFERROR(VLOOKUP(Proc[[#This Row],[App]],Table2[],3,0),"open")</f>
        <v>ok</v>
      </c>
      <c r="C3783" s="138" t="s">
        <v>369</v>
      </c>
      <c r="D3783" t="s">
        <v>5908</v>
      </c>
      <c r="E3783" t="s">
        <v>3402</v>
      </c>
      <c r="F3783" s="129" t="s">
        <v>3402</v>
      </c>
      <c r="G3783" s="135" t="s">
        <v>400</v>
      </c>
      <c r="H3783" s="129" t="str">
        <f ca="1">IF(Proc[[#This Row],[type]]="LFF (MDG-F)",MID(Proc[[#This Row],[Obj]],13,10),"")</f>
        <v/>
      </c>
      <c r="J3783" s="129" t="b">
        <f ca="1">Proc[[#This Row],[Requested]]=Proc[[#This Row],[CurrentParent]]</f>
        <v>1</v>
      </c>
      <c r="K3783" s="129" t="str">
        <f ca="1">IF(Proc[[#This Row],[Author]]="Marcela Urrego",VLOOKUP(LEFT(Proc[[#This Row],[Requested]],1),Table3[#All],2,0),VLOOKUP(Proc[[#This Row],[Author]],Table4[],2,0))</f>
        <v>HC</v>
      </c>
      <c r="L3783" s="129" t="s">
        <v>4896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10</v>
      </c>
      <c r="R3783" s="136" t="s">
        <v>1013</v>
      </c>
      <c r="S3783" s="129"/>
    </row>
    <row r="3784" spans="1:19" hidden="1">
      <c r="A3784" s="135" t="s">
        <v>5858</v>
      </c>
      <c r="B3784" s="138" t="str">
        <f ca="1">IFERROR(VLOOKUP(Proc[[#This Row],[App]],Table2[],3,0),"open")</f>
        <v>ok</v>
      </c>
      <c r="C3784" s="138" t="s">
        <v>369</v>
      </c>
      <c r="D3784" t="s">
        <v>5909</v>
      </c>
      <c r="E3784" t="s">
        <v>3402</v>
      </c>
      <c r="F3784" s="129" t="s">
        <v>3402</v>
      </c>
      <c r="G3784" s="135" t="s">
        <v>400</v>
      </c>
      <c r="H3784" s="129" t="str">
        <f ca="1">IF(Proc[[#This Row],[type]]="LFF (MDG-F)",MID(Proc[[#This Row],[Obj]],13,10),"")</f>
        <v/>
      </c>
      <c r="J3784" s="129" t="b">
        <f ca="1">Proc[[#This Row],[Requested]]=Proc[[#This Row],[CurrentParent]]</f>
        <v>1</v>
      </c>
      <c r="K3784" s="129" t="str">
        <f ca="1">IF(Proc[[#This Row],[Author]]="Marcela Urrego",VLOOKUP(LEFT(Proc[[#This Row],[Requested]],1),Table3[#All],2,0),VLOOKUP(Proc[[#This Row],[Author]],Table4[],2,0))</f>
        <v>HC</v>
      </c>
      <c r="L3784" s="129" t="s">
        <v>4896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10</v>
      </c>
      <c r="R3784" s="136" t="s">
        <v>1013</v>
      </c>
      <c r="S3784" s="129"/>
    </row>
    <row r="3785" spans="1:19" hidden="1">
      <c r="A3785" s="135" t="s">
        <v>5858</v>
      </c>
      <c r="B3785" s="138" t="str">
        <f ca="1">IFERROR(VLOOKUP(Proc[[#This Row],[App]],Table2[],3,0),"open")</f>
        <v>ok</v>
      </c>
      <c r="C3785" s="138" t="s">
        <v>369</v>
      </c>
      <c r="D3785" t="s">
        <v>5910</v>
      </c>
      <c r="E3785" t="s">
        <v>3402</v>
      </c>
      <c r="F3785" s="129" t="s">
        <v>3402</v>
      </c>
      <c r="G3785" s="135" t="s">
        <v>400</v>
      </c>
      <c r="H3785" s="129" t="str">
        <f ca="1">IF(Proc[[#This Row],[type]]="LFF (MDG-F)",MID(Proc[[#This Row],[Obj]],13,10),"")</f>
        <v/>
      </c>
      <c r="J3785" s="129" t="b">
        <f ca="1">Proc[[#This Row],[Requested]]=Proc[[#This Row],[CurrentParent]]</f>
        <v>1</v>
      </c>
      <c r="K3785" s="129" t="str">
        <f ca="1">IF(Proc[[#This Row],[Author]]="Marcela Urrego",VLOOKUP(LEFT(Proc[[#This Row],[Requested]],1),Table3[#All],2,0),VLOOKUP(Proc[[#This Row],[Author]],Table4[],2,0))</f>
        <v>HC</v>
      </c>
      <c r="L3785" s="129" t="s">
        <v>4896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10</v>
      </c>
      <c r="R3785" s="136" t="s">
        <v>1013</v>
      </c>
      <c r="S3785" s="129"/>
    </row>
    <row r="3786" spans="1:19" hidden="1">
      <c r="A3786" s="135" t="s">
        <v>5858</v>
      </c>
      <c r="B3786" s="138" t="str">
        <f ca="1">IFERROR(VLOOKUP(Proc[[#This Row],[App]],Table2[],3,0),"open")</f>
        <v>ok</v>
      </c>
      <c r="C3786" s="138" t="s">
        <v>369</v>
      </c>
      <c r="D3786" t="s">
        <v>5911</v>
      </c>
      <c r="E3786" t="s">
        <v>3402</v>
      </c>
      <c r="F3786" s="129" t="s">
        <v>3402</v>
      </c>
      <c r="G3786" s="135" t="s">
        <v>400</v>
      </c>
      <c r="H3786" s="129" t="str">
        <f ca="1">IF(Proc[[#This Row],[type]]="LFF (MDG-F)",MID(Proc[[#This Row],[Obj]],13,10),"")</f>
        <v/>
      </c>
      <c r="J3786" s="129" t="b">
        <f ca="1">Proc[[#This Row],[Requested]]=Proc[[#This Row],[CurrentParent]]</f>
        <v>1</v>
      </c>
      <c r="K3786" s="129" t="str">
        <f ca="1">IF(Proc[[#This Row],[Author]]="Marcela Urrego",VLOOKUP(LEFT(Proc[[#This Row],[Requested]],1),Table3[#All],2,0),VLOOKUP(Proc[[#This Row],[Author]],Table4[],2,0))</f>
        <v>HC</v>
      </c>
      <c r="L3786" s="129" t="s">
        <v>4896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10</v>
      </c>
      <c r="R3786" s="136" t="s">
        <v>1013</v>
      </c>
      <c r="S3786" s="129"/>
    </row>
    <row r="3787" spans="1:19" hidden="1">
      <c r="A3787" s="135" t="s">
        <v>5858</v>
      </c>
      <c r="B3787" s="138" t="str">
        <f ca="1">IFERROR(VLOOKUP(Proc[[#This Row],[App]],Table2[],3,0),"open")</f>
        <v>ok</v>
      </c>
      <c r="C3787" s="138" t="s">
        <v>369</v>
      </c>
      <c r="D3787" t="s">
        <v>5912</v>
      </c>
      <c r="E3787" t="s">
        <v>3402</v>
      </c>
      <c r="F3787" s="129" t="s">
        <v>3402</v>
      </c>
      <c r="G3787" s="135" t="s">
        <v>400</v>
      </c>
      <c r="H3787" s="129" t="str">
        <f ca="1">IF(Proc[[#This Row],[type]]="LFF (MDG-F)",MID(Proc[[#This Row],[Obj]],13,10),"")</f>
        <v/>
      </c>
      <c r="J3787" s="129" t="b">
        <f ca="1">Proc[[#This Row],[Requested]]=Proc[[#This Row],[CurrentParent]]</f>
        <v>1</v>
      </c>
      <c r="K3787" s="129" t="str">
        <f ca="1">IF(Proc[[#This Row],[Author]]="Marcela Urrego",VLOOKUP(LEFT(Proc[[#This Row],[Requested]],1),Table3[#All],2,0),VLOOKUP(Proc[[#This Row],[Author]],Table4[],2,0))</f>
        <v>HC</v>
      </c>
      <c r="L3787" s="129" t="s">
        <v>4896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10</v>
      </c>
      <c r="R3787" s="136" t="s">
        <v>1013</v>
      </c>
      <c r="S3787" s="129"/>
    </row>
    <row r="3788" spans="1:19" hidden="1">
      <c r="A3788" s="135" t="s">
        <v>5858</v>
      </c>
      <c r="B3788" s="138" t="str">
        <f ca="1">IFERROR(VLOOKUP(Proc[[#This Row],[App]],Table2[],3,0),"open")</f>
        <v>ok</v>
      </c>
      <c r="C3788" s="138" t="s">
        <v>369</v>
      </c>
      <c r="D3788" t="s">
        <v>5913</v>
      </c>
      <c r="E3788" t="s">
        <v>3402</v>
      </c>
      <c r="F3788" s="129" t="s">
        <v>3402</v>
      </c>
      <c r="G3788" s="135" t="s">
        <v>400</v>
      </c>
      <c r="H3788" s="129" t="str">
        <f ca="1">IF(Proc[[#This Row],[type]]="LFF (MDG-F)",MID(Proc[[#This Row],[Obj]],13,10),"")</f>
        <v/>
      </c>
      <c r="J3788" s="129" t="b">
        <f ca="1">Proc[[#This Row],[Requested]]=Proc[[#This Row],[CurrentParent]]</f>
        <v>1</v>
      </c>
      <c r="K3788" s="129" t="str">
        <f ca="1">IF(Proc[[#This Row],[Author]]="Marcela Urrego",VLOOKUP(LEFT(Proc[[#This Row],[Requested]],1),Table3[#All],2,0),VLOOKUP(Proc[[#This Row],[Author]],Table4[],2,0))</f>
        <v>HC</v>
      </c>
      <c r="L3788" s="129" t="s">
        <v>4896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10</v>
      </c>
      <c r="R3788" s="136" t="s">
        <v>1013</v>
      </c>
      <c r="S3788" s="129"/>
    </row>
    <row r="3789" spans="1:19" hidden="1">
      <c r="A3789" s="135" t="s">
        <v>5858</v>
      </c>
      <c r="B3789" s="138" t="str">
        <f ca="1">IFERROR(VLOOKUP(Proc[[#This Row],[App]],Table2[],3,0),"open")</f>
        <v>ok</v>
      </c>
      <c r="C3789" s="138" t="s">
        <v>369</v>
      </c>
      <c r="D3789" t="s">
        <v>5914</v>
      </c>
      <c r="E3789" t="s">
        <v>3402</v>
      </c>
      <c r="F3789" s="129" t="s">
        <v>3402</v>
      </c>
      <c r="G3789" s="135" t="s">
        <v>400</v>
      </c>
      <c r="H3789" s="129" t="str">
        <f ca="1">IF(Proc[[#This Row],[type]]="LFF (MDG-F)",MID(Proc[[#This Row],[Obj]],13,10),"")</f>
        <v/>
      </c>
      <c r="J3789" s="129" t="b">
        <f ca="1">Proc[[#This Row],[Requested]]=Proc[[#This Row],[CurrentParent]]</f>
        <v>1</v>
      </c>
      <c r="K3789" s="129" t="str">
        <f ca="1">IF(Proc[[#This Row],[Author]]="Marcela Urrego",VLOOKUP(LEFT(Proc[[#This Row],[Requested]],1),Table3[#All],2,0),VLOOKUP(Proc[[#This Row],[Author]],Table4[],2,0))</f>
        <v>HC</v>
      </c>
      <c r="L3789" s="129" t="s">
        <v>4896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10</v>
      </c>
      <c r="R3789" s="136" t="s">
        <v>1013</v>
      </c>
      <c r="S3789" s="129"/>
    </row>
    <row r="3790" spans="1:19" hidden="1">
      <c r="A3790" s="135" t="s">
        <v>5858</v>
      </c>
      <c r="B3790" s="138" t="str">
        <f ca="1">IFERROR(VLOOKUP(Proc[[#This Row],[App]],Table2[],3,0),"open")</f>
        <v>ok</v>
      </c>
      <c r="C3790" s="138" t="s">
        <v>369</v>
      </c>
      <c r="D3790" t="s">
        <v>5915</v>
      </c>
      <c r="E3790" t="s">
        <v>3398</v>
      </c>
      <c r="F3790" s="129" t="s">
        <v>3398</v>
      </c>
      <c r="G3790" s="135" t="s">
        <v>400</v>
      </c>
      <c r="H3790" s="129" t="str">
        <f ca="1">IF(Proc[[#This Row],[type]]="LFF (MDG-F)",MID(Proc[[#This Row],[Obj]],13,10),"")</f>
        <v/>
      </c>
      <c r="J3790" s="129" t="b">
        <f ca="1">Proc[[#This Row],[Requested]]=Proc[[#This Row],[CurrentParent]]</f>
        <v>1</v>
      </c>
      <c r="K3790" s="129" t="str">
        <f ca="1">IF(Proc[[#This Row],[Author]]="Marcela Urrego",VLOOKUP(LEFT(Proc[[#This Row],[Requested]],1),Table3[#All],2,0),VLOOKUP(Proc[[#This Row],[Author]],Table4[],2,0))</f>
        <v>HC</v>
      </c>
      <c r="L3790" s="129" t="s">
        <v>4896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10</v>
      </c>
      <c r="R3790" s="136" t="s">
        <v>1013</v>
      </c>
      <c r="S3790" s="129"/>
    </row>
    <row r="3791" spans="1:19" hidden="1">
      <c r="A3791" s="135" t="s">
        <v>5858</v>
      </c>
      <c r="B3791" s="138" t="str">
        <f ca="1">IFERROR(VLOOKUP(Proc[[#This Row],[App]],Table2[],3,0),"open")</f>
        <v>ok</v>
      </c>
      <c r="C3791" s="138" t="s">
        <v>369</v>
      </c>
      <c r="D3791" t="s">
        <v>5916</v>
      </c>
      <c r="E3791" t="s">
        <v>3402</v>
      </c>
      <c r="F3791" s="129" t="s">
        <v>3402</v>
      </c>
      <c r="G3791" s="135" t="s">
        <v>400</v>
      </c>
      <c r="H3791" s="129" t="str">
        <f ca="1">IF(Proc[[#This Row],[type]]="LFF (MDG-F)",MID(Proc[[#This Row],[Obj]],13,10),"")</f>
        <v/>
      </c>
      <c r="J3791" s="129" t="b">
        <f ca="1">Proc[[#This Row],[Requested]]=Proc[[#This Row],[CurrentParent]]</f>
        <v>1</v>
      </c>
      <c r="K3791" s="129" t="str">
        <f ca="1">IF(Proc[[#This Row],[Author]]="Marcela Urrego",VLOOKUP(LEFT(Proc[[#This Row],[Requested]],1),Table3[#All],2,0),VLOOKUP(Proc[[#This Row],[Author]],Table4[],2,0))</f>
        <v>HC</v>
      </c>
      <c r="L3791" s="129" t="s">
        <v>4896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10</v>
      </c>
      <c r="R3791" s="136" t="s">
        <v>1013</v>
      </c>
      <c r="S3791" s="129"/>
    </row>
    <row r="3792" spans="1:19" hidden="1">
      <c r="A3792" s="135" t="s">
        <v>5858</v>
      </c>
      <c r="B3792" s="138" t="str">
        <f ca="1">IFERROR(VLOOKUP(Proc[[#This Row],[App]],Table2[],3,0),"open")</f>
        <v>ok</v>
      </c>
      <c r="C3792" s="138" t="s">
        <v>369</v>
      </c>
      <c r="D3792" t="s">
        <v>5917</v>
      </c>
      <c r="E3792" t="s">
        <v>3402</v>
      </c>
      <c r="F3792" s="129" t="s">
        <v>3402</v>
      </c>
      <c r="G3792" s="135" t="s">
        <v>400</v>
      </c>
      <c r="H3792" s="129" t="str">
        <f ca="1">IF(Proc[[#This Row],[type]]="LFF (MDG-F)",MID(Proc[[#This Row],[Obj]],13,10),"")</f>
        <v/>
      </c>
      <c r="J3792" s="129" t="b">
        <f ca="1">Proc[[#This Row],[Requested]]=Proc[[#This Row],[CurrentParent]]</f>
        <v>1</v>
      </c>
      <c r="K3792" s="129" t="str">
        <f ca="1">IF(Proc[[#This Row],[Author]]="Marcela Urrego",VLOOKUP(LEFT(Proc[[#This Row],[Requested]],1),Table3[#All],2,0),VLOOKUP(Proc[[#This Row],[Author]],Table4[],2,0))</f>
        <v>HC</v>
      </c>
      <c r="L3792" s="129" t="s">
        <v>4896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10</v>
      </c>
      <c r="R3792" s="136" t="s">
        <v>1013</v>
      </c>
      <c r="S3792" s="129"/>
    </row>
    <row r="3793" spans="1:19" hidden="1">
      <c r="A3793" s="135" t="s">
        <v>5858</v>
      </c>
      <c r="B3793" s="138" t="str">
        <f ca="1">IFERROR(VLOOKUP(Proc[[#This Row],[App]],Table2[],3,0),"open")</f>
        <v>ok</v>
      </c>
      <c r="C3793" s="138" t="s">
        <v>369</v>
      </c>
      <c r="D3793" t="s">
        <v>5918</v>
      </c>
      <c r="E3793" t="s">
        <v>3402</v>
      </c>
      <c r="F3793" s="129" t="s">
        <v>3402</v>
      </c>
      <c r="G3793" s="135" t="s">
        <v>400</v>
      </c>
      <c r="H3793" s="129" t="str">
        <f ca="1">IF(Proc[[#This Row],[type]]="LFF (MDG-F)",MID(Proc[[#This Row],[Obj]],13,10),"")</f>
        <v/>
      </c>
      <c r="J3793" s="129" t="b">
        <f ca="1">Proc[[#This Row],[Requested]]=Proc[[#This Row],[CurrentParent]]</f>
        <v>1</v>
      </c>
      <c r="K3793" s="129" t="str">
        <f ca="1">IF(Proc[[#This Row],[Author]]="Marcela Urrego",VLOOKUP(LEFT(Proc[[#This Row],[Requested]],1),Table3[#All],2,0),VLOOKUP(Proc[[#This Row],[Author]],Table4[],2,0))</f>
        <v>HC</v>
      </c>
      <c r="L3793" s="129" t="s">
        <v>4896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10</v>
      </c>
      <c r="R3793" s="136" t="s">
        <v>1013</v>
      </c>
      <c r="S3793" s="129"/>
    </row>
    <row r="3794" spans="1:19" hidden="1">
      <c r="A3794" s="135" t="s">
        <v>5920</v>
      </c>
      <c r="B3794" s="138" t="str">
        <f ca="1">IFERROR(VLOOKUP(Proc[[#This Row],[App]],Table2[],3,0),"open")</f>
        <v>ok</v>
      </c>
      <c r="C3794" s="138" t="s">
        <v>369</v>
      </c>
      <c r="D3794" s="135" t="s">
        <v>5925</v>
      </c>
      <c r="E3794" t="s">
        <v>1590</v>
      </c>
      <c r="F3794" s="129" t="s">
        <v>1590</v>
      </c>
      <c r="G3794" s="135" t="s">
        <v>406</v>
      </c>
      <c r="H3794" s="129" t="str">
        <f ca="1">IF(Proc[[#This Row],[type]]="LFF (MDG-F)",MID(Proc[[#This Row],[Obj]],13,10),"")</f>
        <v>DE10523400</v>
      </c>
      <c r="J3794" s="129" t="b">
        <f ca="1">Proc[[#This Row],[Requested]]=Proc[[#This Row],[CurrentParent]]</f>
        <v>1</v>
      </c>
      <c r="K3794" s="129" t="str">
        <f ca="1">IF(Proc[[#This Row],[Author]]="Marcela Urrego",VLOOKUP(LEFT(Proc[[#This Row],[Requested]],1),Table3[#All],2,0),VLOOKUP(Proc[[#This Row],[Author]],Table4[],2,0))</f>
        <v>MGF</v>
      </c>
      <c r="L3794" s="129" t="s">
        <v>4896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10</v>
      </c>
      <c r="R3794" s="136" t="s">
        <v>452</v>
      </c>
      <c r="S3794" s="129"/>
    </row>
    <row r="3795" spans="1:19" hidden="1">
      <c r="A3795" s="135" t="s">
        <v>5920</v>
      </c>
      <c r="B3795" s="138" t="str">
        <f ca="1">IFERROR(VLOOKUP(Proc[[#This Row],[App]],Table2[],3,0),"open")</f>
        <v>ok</v>
      </c>
      <c r="C3795" s="138" t="s">
        <v>369</v>
      </c>
      <c r="D3795" s="135" t="s">
        <v>5926</v>
      </c>
      <c r="E3795" t="s">
        <v>1590</v>
      </c>
      <c r="F3795" s="129" t="s">
        <v>1590</v>
      </c>
      <c r="G3795" s="135" t="s">
        <v>406</v>
      </c>
      <c r="H3795" s="129" t="str">
        <f ca="1">IF(Proc[[#This Row],[type]]="LFF (MDG-F)",MID(Proc[[#This Row],[Obj]],13,10),"")</f>
        <v>DE10524300</v>
      </c>
      <c r="J3795" s="129" t="b">
        <f ca="1">Proc[[#This Row],[Requested]]=Proc[[#This Row],[CurrentParent]]</f>
        <v>1</v>
      </c>
      <c r="K3795" s="129" t="str">
        <f ca="1">IF(Proc[[#This Row],[Author]]="Marcela Urrego",VLOOKUP(LEFT(Proc[[#This Row],[Requested]],1),Table3[#All],2,0),VLOOKUP(Proc[[#This Row],[Author]],Table4[],2,0))</f>
        <v>MGF</v>
      </c>
      <c r="L3795" s="129" t="s">
        <v>4896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10</v>
      </c>
      <c r="R3795" s="136" t="s">
        <v>452</v>
      </c>
      <c r="S3795" s="129"/>
    </row>
    <row r="3796" spans="1:19" hidden="1">
      <c r="A3796" s="135" t="s">
        <v>5920</v>
      </c>
      <c r="B3796" s="138" t="str">
        <f ca="1">IFERROR(VLOOKUP(Proc[[#This Row],[App]],Table2[],3,0),"open")</f>
        <v>ok</v>
      </c>
      <c r="C3796" s="138" t="s">
        <v>369</v>
      </c>
      <c r="D3796" s="135" t="s">
        <v>5927</v>
      </c>
      <c r="E3796" t="s">
        <v>5921</v>
      </c>
      <c r="F3796" s="129" t="s">
        <v>5921</v>
      </c>
      <c r="G3796" s="135" t="s">
        <v>406</v>
      </c>
      <c r="H3796" s="129" t="str">
        <f ca="1">IF(Proc[[#This Row],[type]]="LFF (MDG-F)",MID(Proc[[#This Row],[Obj]],13,10),"")</f>
        <v>DE10625700</v>
      </c>
      <c r="J3796" s="129" t="b">
        <f ca="1">Proc[[#This Row],[Requested]]=Proc[[#This Row],[CurrentParent]]</f>
        <v>1</v>
      </c>
      <c r="K3796" s="129" t="str">
        <f ca="1">IF(Proc[[#This Row],[Author]]="Marcela Urrego",VLOOKUP(LEFT(Proc[[#This Row],[Requested]],1),Table3[#All],2,0),VLOOKUP(Proc[[#This Row],[Author]],Table4[],2,0))</f>
        <v>MGF</v>
      </c>
      <c r="L3796" s="129" t="s">
        <v>4896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10</v>
      </c>
      <c r="R3796" s="136" t="s">
        <v>452</v>
      </c>
      <c r="S3796" s="129"/>
    </row>
    <row r="3797" spans="1:19" hidden="1">
      <c r="A3797" s="135" t="s">
        <v>5920</v>
      </c>
      <c r="B3797" s="138" t="str">
        <f ca="1">IFERROR(VLOOKUP(Proc[[#This Row],[App]],Table2[],3,0),"open")</f>
        <v>ok</v>
      </c>
      <c r="C3797" s="138" t="s">
        <v>369</v>
      </c>
      <c r="D3797" s="135" t="s">
        <v>5928</v>
      </c>
      <c r="E3797" t="s">
        <v>5921</v>
      </c>
      <c r="F3797" s="129" t="s">
        <v>5921</v>
      </c>
      <c r="G3797" s="135" t="s">
        <v>406</v>
      </c>
      <c r="H3797" s="129" t="str">
        <f ca="1">IF(Proc[[#This Row],[type]]="LFF (MDG-F)",MID(Proc[[#This Row],[Obj]],13,10),"")</f>
        <v>DE10510000</v>
      </c>
      <c r="J3797" s="129" t="b">
        <f ca="1">Proc[[#This Row],[Requested]]=Proc[[#This Row],[CurrentParent]]</f>
        <v>1</v>
      </c>
      <c r="K3797" s="129" t="str">
        <f ca="1">IF(Proc[[#This Row],[Author]]="Marcela Urrego",VLOOKUP(LEFT(Proc[[#This Row],[Requested]],1),Table3[#All],2,0),VLOOKUP(Proc[[#This Row],[Author]],Table4[],2,0))</f>
        <v>MGF</v>
      </c>
      <c r="L3797" s="129" t="s">
        <v>4896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10</v>
      </c>
      <c r="R3797" s="136" t="s">
        <v>452</v>
      </c>
      <c r="S3797" s="129"/>
    </row>
    <row r="3798" spans="1:19" hidden="1">
      <c r="A3798" s="135" t="s">
        <v>5920</v>
      </c>
      <c r="B3798" s="138" t="str">
        <f ca="1">IFERROR(VLOOKUP(Proc[[#This Row],[App]],Table2[],3,0),"open")</f>
        <v>ok</v>
      </c>
      <c r="C3798" s="138" t="s">
        <v>369</v>
      </c>
      <c r="D3798" s="135" t="s">
        <v>5929</v>
      </c>
      <c r="E3798" t="s">
        <v>5921</v>
      </c>
      <c r="F3798" s="129" t="s">
        <v>5921</v>
      </c>
      <c r="G3798" s="135" t="s">
        <v>406</v>
      </c>
      <c r="H3798" s="129" t="str">
        <f ca="1">IF(Proc[[#This Row],[type]]="LFF (MDG-F)",MID(Proc[[#This Row],[Obj]],13,10),"")</f>
        <v>DE10551100</v>
      </c>
      <c r="J3798" s="129" t="b">
        <f ca="1">Proc[[#This Row],[Requested]]=Proc[[#This Row],[CurrentParent]]</f>
        <v>1</v>
      </c>
      <c r="K3798" s="129" t="str">
        <f ca="1">IF(Proc[[#This Row],[Author]]="Marcela Urrego",VLOOKUP(LEFT(Proc[[#This Row],[Requested]],1),Table3[#All],2,0),VLOOKUP(Proc[[#This Row],[Author]],Table4[],2,0))</f>
        <v>MGF</v>
      </c>
      <c r="L3798" s="129" t="s">
        <v>4896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10</v>
      </c>
      <c r="R3798" s="136" t="s">
        <v>452</v>
      </c>
      <c r="S3798" s="129"/>
    </row>
    <row r="3799" spans="1:19" hidden="1">
      <c r="A3799" t="s">
        <v>5922</v>
      </c>
      <c r="B3799" s="138" t="str">
        <f ca="1">IFERROR(VLOOKUP(Proc[[#This Row],[App]],Table2[],3,0),"open")</f>
        <v>ok</v>
      </c>
      <c r="C3799" s="138" t="s">
        <v>369</v>
      </c>
      <c r="D3799" t="s">
        <v>5930</v>
      </c>
      <c r="E3799" t="s">
        <v>3402</v>
      </c>
      <c r="F3799" s="129" t="s">
        <v>3402</v>
      </c>
      <c r="G3799" s="135" t="s">
        <v>400</v>
      </c>
      <c r="H3799" s="129" t="str">
        <f ca="1">IF(Proc[[#This Row],[type]]="LFF (MDG-F)",MID(Proc[[#This Row],[Obj]],13,10),"")</f>
        <v/>
      </c>
      <c r="J3799" s="129" t="b">
        <f ca="1">Proc[[#This Row],[Requested]]=Proc[[#This Row],[CurrentParent]]</f>
        <v>1</v>
      </c>
      <c r="K3799" s="129" t="str">
        <f ca="1">IF(Proc[[#This Row],[Author]]="Marcela Urrego",VLOOKUP(LEFT(Proc[[#This Row],[Requested]],1),Table3[#All],2,0),VLOOKUP(Proc[[#This Row],[Author]],Table4[],2,0))</f>
        <v>HC</v>
      </c>
      <c r="L3799" s="129" t="s">
        <v>4896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10</v>
      </c>
      <c r="R3799" s="136" t="s">
        <v>1013</v>
      </c>
      <c r="S3799" s="129"/>
    </row>
    <row r="3800" spans="1:19" hidden="1">
      <c r="A3800" s="135" t="s">
        <v>5922</v>
      </c>
      <c r="B3800" s="138" t="str">
        <f ca="1">IFERROR(VLOOKUP(Proc[[#This Row],[App]],Table2[],3,0),"open")</f>
        <v>ok</v>
      </c>
      <c r="C3800" s="138" t="s">
        <v>369</v>
      </c>
      <c r="D3800" t="s">
        <v>5931</v>
      </c>
      <c r="E3800" s="135" t="s">
        <v>3402</v>
      </c>
      <c r="F3800" s="129" t="s">
        <v>3402</v>
      </c>
      <c r="G3800" s="135" t="s">
        <v>400</v>
      </c>
      <c r="H3800" s="129" t="str">
        <f ca="1">IF(Proc[[#This Row],[type]]="LFF (MDG-F)",MID(Proc[[#This Row],[Obj]],13,10),"")</f>
        <v/>
      </c>
      <c r="J3800" s="129" t="b">
        <f ca="1">Proc[[#This Row],[Requested]]=Proc[[#This Row],[CurrentParent]]</f>
        <v>1</v>
      </c>
      <c r="K3800" s="129" t="str">
        <f ca="1">IF(Proc[[#This Row],[Author]]="Marcela Urrego",VLOOKUP(LEFT(Proc[[#This Row],[Requested]],1),Table3[#All],2,0),VLOOKUP(Proc[[#This Row],[Author]],Table4[],2,0))</f>
        <v>HC</v>
      </c>
      <c r="L3800" s="129" t="s">
        <v>4896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10</v>
      </c>
      <c r="R3800" s="136" t="s">
        <v>1013</v>
      </c>
      <c r="S3800" s="129"/>
    </row>
    <row r="3801" spans="1:19" hidden="1">
      <c r="A3801" s="135" t="s">
        <v>5922</v>
      </c>
      <c r="B3801" s="138" t="str">
        <f ca="1">IFERROR(VLOOKUP(Proc[[#This Row],[App]],Table2[],3,0),"open")</f>
        <v>ok</v>
      </c>
      <c r="C3801" s="138" t="s">
        <v>369</v>
      </c>
      <c r="D3801" t="s">
        <v>5932</v>
      </c>
      <c r="E3801" s="135" t="s">
        <v>3402</v>
      </c>
      <c r="F3801" s="129" t="s">
        <v>3402</v>
      </c>
      <c r="G3801" s="135" t="s">
        <v>400</v>
      </c>
      <c r="H3801" s="129" t="str">
        <f ca="1">IF(Proc[[#This Row],[type]]="LFF (MDG-F)",MID(Proc[[#This Row],[Obj]],13,10),"")</f>
        <v/>
      </c>
      <c r="J3801" s="129" t="b">
        <f ca="1">Proc[[#This Row],[Requested]]=Proc[[#This Row],[CurrentParent]]</f>
        <v>1</v>
      </c>
      <c r="K3801" s="129" t="str">
        <f ca="1">IF(Proc[[#This Row],[Author]]="Marcela Urrego",VLOOKUP(LEFT(Proc[[#This Row],[Requested]],1),Table3[#All],2,0),VLOOKUP(Proc[[#This Row],[Author]],Table4[],2,0))</f>
        <v>HC</v>
      </c>
      <c r="L3801" s="129" t="s">
        <v>4896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10</v>
      </c>
      <c r="R3801" s="136" t="s">
        <v>1013</v>
      </c>
      <c r="S3801" s="129"/>
    </row>
    <row r="3802" spans="1:19" hidden="1">
      <c r="A3802" s="135" t="s">
        <v>5922</v>
      </c>
      <c r="B3802" s="138" t="str">
        <f ca="1">IFERROR(VLOOKUP(Proc[[#This Row],[App]],Table2[],3,0),"open")</f>
        <v>ok</v>
      </c>
      <c r="C3802" s="138" t="s">
        <v>369</v>
      </c>
      <c r="D3802" t="s">
        <v>5933</v>
      </c>
      <c r="E3802" s="135" t="s">
        <v>3402</v>
      </c>
      <c r="F3802" s="129" t="s">
        <v>3402</v>
      </c>
      <c r="G3802" s="135" t="s">
        <v>400</v>
      </c>
      <c r="H3802" s="129" t="str">
        <f ca="1">IF(Proc[[#This Row],[type]]="LFF (MDG-F)",MID(Proc[[#This Row],[Obj]],13,10),"")</f>
        <v/>
      </c>
      <c r="I3802" s="135"/>
      <c r="J3802" s="129" t="b">
        <f ca="1">Proc[[#This Row],[Requested]]=Proc[[#This Row],[CurrentParent]]</f>
        <v>1</v>
      </c>
      <c r="K3802" s="129" t="str">
        <f ca="1">IF(Proc[[#This Row],[Author]]="Marcela Urrego",VLOOKUP(LEFT(Proc[[#This Row],[Requested]],1),Table3[#All],2,0),VLOOKUP(Proc[[#This Row],[Author]],Table4[],2,0))</f>
        <v>HC</v>
      </c>
      <c r="L3802" s="129" t="s">
        <v>4896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10</v>
      </c>
      <c r="R3802" s="136" t="s">
        <v>1013</v>
      </c>
      <c r="S3802" s="129"/>
    </row>
    <row r="3803" spans="1:19" hidden="1">
      <c r="A3803" s="135" t="s">
        <v>5922</v>
      </c>
      <c r="B3803" s="138" t="str">
        <f ca="1">IFERROR(VLOOKUP(Proc[[#This Row],[App]],Table2[],3,0),"open")</f>
        <v>ok</v>
      </c>
      <c r="C3803" s="138" t="s">
        <v>369</v>
      </c>
      <c r="D3803" t="s">
        <v>5934</v>
      </c>
      <c r="E3803" s="135" t="s">
        <v>3402</v>
      </c>
      <c r="F3803" s="129" t="s">
        <v>3402</v>
      </c>
      <c r="G3803" s="135" t="s">
        <v>400</v>
      </c>
      <c r="H3803" s="129" t="str">
        <f ca="1">IF(Proc[[#This Row],[type]]="LFF (MDG-F)",MID(Proc[[#This Row],[Obj]],13,10),"")</f>
        <v/>
      </c>
      <c r="I3803" s="135"/>
      <c r="J3803" s="129" t="b">
        <f ca="1">Proc[[#This Row],[Requested]]=Proc[[#This Row],[CurrentParent]]</f>
        <v>1</v>
      </c>
      <c r="K3803" s="129" t="str">
        <f ca="1">IF(Proc[[#This Row],[Author]]="Marcela Urrego",VLOOKUP(LEFT(Proc[[#This Row],[Requested]],1),Table3[#All],2,0),VLOOKUP(Proc[[#This Row],[Author]],Table4[],2,0))</f>
        <v>HC</v>
      </c>
      <c r="L3803" s="129" t="s">
        <v>4896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10</v>
      </c>
      <c r="R3803" s="136" t="s">
        <v>1013</v>
      </c>
      <c r="S3803" s="129"/>
    </row>
    <row r="3804" spans="1:19" hidden="1">
      <c r="A3804" s="135" t="s">
        <v>5922</v>
      </c>
      <c r="B3804" s="138" t="str">
        <f ca="1">IFERROR(VLOOKUP(Proc[[#This Row],[App]],Table2[],3,0),"open")</f>
        <v>ok</v>
      </c>
      <c r="C3804" s="138" t="s">
        <v>369</v>
      </c>
      <c r="D3804" t="s">
        <v>5935</v>
      </c>
      <c r="E3804" s="135" t="s">
        <v>3402</v>
      </c>
      <c r="F3804" s="129" t="s">
        <v>3402</v>
      </c>
      <c r="G3804" s="135" t="s">
        <v>400</v>
      </c>
      <c r="H3804" s="129" t="str">
        <f ca="1">IF(Proc[[#This Row],[type]]="LFF (MDG-F)",MID(Proc[[#This Row],[Obj]],13,10),"")</f>
        <v/>
      </c>
      <c r="I3804" s="135"/>
      <c r="J3804" s="129" t="b">
        <f ca="1">Proc[[#This Row],[Requested]]=Proc[[#This Row],[CurrentParent]]</f>
        <v>1</v>
      </c>
      <c r="K3804" s="129" t="str">
        <f ca="1">IF(Proc[[#This Row],[Author]]="Marcela Urrego",VLOOKUP(LEFT(Proc[[#This Row],[Requested]],1),Table3[#All],2,0),VLOOKUP(Proc[[#This Row],[Author]],Table4[],2,0))</f>
        <v>HC</v>
      </c>
      <c r="L3804" s="129" t="s">
        <v>4896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10</v>
      </c>
      <c r="R3804" s="136" t="s">
        <v>1013</v>
      </c>
      <c r="S3804" s="129"/>
    </row>
    <row r="3805" spans="1:19" hidden="1">
      <c r="A3805" s="135" t="s">
        <v>5922</v>
      </c>
      <c r="B3805" s="138" t="str">
        <f ca="1">IFERROR(VLOOKUP(Proc[[#This Row],[App]],Table2[],3,0),"open")</f>
        <v>ok</v>
      </c>
      <c r="C3805" s="138" t="s">
        <v>369</v>
      </c>
      <c r="D3805" t="s">
        <v>5936</v>
      </c>
      <c r="E3805" s="135" t="s">
        <v>3402</v>
      </c>
      <c r="F3805" s="129" t="s">
        <v>3402</v>
      </c>
      <c r="G3805" s="135" t="s">
        <v>400</v>
      </c>
      <c r="H3805" s="129" t="str">
        <f ca="1">IF(Proc[[#This Row],[type]]="LFF (MDG-F)",MID(Proc[[#This Row],[Obj]],13,10),"")</f>
        <v/>
      </c>
      <c r="I3805" s="135"/>
      <c r="J3805" s="129" t="b">
        <f ca="1">Proc[[#This Row],[Requested]]=Proc[[#This Row],[CurrentParent]]</f>
        <v>1</v>
      </c>
      <c r="K3805" s="129" t="str">
        <f ca="1">IF(Proc[[#This Row],[Author]]="Marcela Urrego",VLOOKUP(LEFT(Proc[[#This Row],[Requested]],1),Table3[#All],2,0),VLOOKUP(Proc[[#This Row],[Author]],Table4[],2,0))</f>
        <v>HC</v>
      </c>
      <c r="L3805" s="129" t="s">
        <v>4896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10</v>
      </c>
      <c r="R3805" s="136" t="s">
        <v>1013</v>
      </c>
      <c r="S3805" s="129"/>
    </row>
    <row r="3806" spans="1:19" hidden="1">
      <c r="A3806" s="135" t="s">
        <v>5922</v>
      </c>
      <c r="B3806" s="138" t="str">
        <f ca="1">IFERROR(VLOOKUP(Proc[[#This Row],[App]],Table2[],3,0),"open")</f>
        <v>ok</v>
      </c>
      <c r="C3806" s="138" t="s">
        <v>369</v>
      </c>
      <c r="D3806" t="s">
        <v>5937</v>
      </c>
      <c r="E3806" s="135" t="s">
        <v>3402</v>
      </c>
      <c r="F3806" s="129" t="s">
        <v>3402</v>
      </c>
      <c r="G3806" s="135" t="s">
        <v>400</v>
      </c>
      <c r="H3806" s="129" t="str">
        <f ca="1">IF(Proc[[#This Row],[type]]="LFF (MDG-F)",MID(Proc[[#This Row],[Obj]],13,10),"")</f>
        <v/>
      </c>
      <c r="I3806" s="135"/>
      <c r="J3806" s="129" t="b">
        <f ca="1">Proc[[#This Row],[Requested]]=Proc[[#This Row],[CurrentParent]]</f>
        <v>1</v>
      </c>
      <c r="K3806" s="129" t="str">
        <f ca="1">IF(Proc[[#This Row],[Author]]="Marcela Urrego",VLOOKUP(LEFT(Proc[[#This Row],[Requested]],1),Table3[#All],2,0),VLOOKUP(Proc[[#This Row],[Author]],Table4[],2,0))</f>
        <v>HC</v>
      </c>
      <c r="L3806" s="129" t="s">
        <v>4896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10</v>
      </c>
      <c r="R3806" s="136" t="s">
        <v>1013</v>
      </c>
      <c r="S3806" s="129"/>
    </row>
    <row r="3807" spans="1:19" hidden="1">
      <c r="A3807" s="135" t="s">
        <v>5922</v>
      </c>
      <c r="B3807" s="138" t="str">
        <f ca="1">IFERROR(VLOOKUP(Proc[[#This Row],[App]],Table2[],3,0),"open")</f>
        <v>ok</v>
      </c>
      <c r="C3807" s="138" t="s">
        <v>369</v>
      </c>
      <c r="D3807" t="s">
        <v>5938</v>
      </c>
      <c r="E3807" s="135" t="s">
        <v>3402</v>
      </c>
      <c r="F3807" s="129" t="s">
        <v>3402</v>
      </c>
      <c r="G3807" s="135" t="s">
        <v>400</v>
      </c>
      <c r="H3807" s="129" t="str">
        <f ca="1">IF(Proc[[#This Row],[type]]="LFF (MDG-F)",MID(Proc[[#This Row],[Obj]],13,10),"")</f>
        <v/>
      </c>
      <c r="I3807" s="135"/>
      <c r="J3807" s="129" t="b">
        <f ca="1">Proc[[#This Row],[Requested]]=Proc[[#This Row],[CurrentParent]]</f>
        <v>1</v>
      </c>
      <c r="K3807" s="129" t="str">
        <f ca="1">IF(Proc[[#This Row],[Author]]="Marcela Urrego",VLOOKUP(LEFT(Proc[[#This Row],[Requested]],1),Table3[#All],2,0),VLOOKUP(Proc[[#This Row],[Author]],Table4[],2,0))</f>
        <v>HC</v>
      </c>
      <c r="L3807" s="129" t="s">
        <v>4896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10</v>
      </c>
      <c r="R3807" s="136" t="s">
        <v>1013</v>
      </c>
      <c r="S3807" s="129"/>
    </row>
    <row r="3808" spans="1:19" hidden="1">
      <c r="A3808" s="135" t="s">
        <v>5922</v>
      </c>
      <c r="B3808" s="138" t="str">
        <f ca="1">IFERROR(VLOOKUP(Proc[[#This Row],[App]],Table2[],3,0),"open")</f>
        <v>ok</v>
      </c>
      <c r="C3808" s="138" t="s">
        <v>369</v>
      </c>
      <c r="D3808" t="s">
        <v>5939</v>
      </c>
      <c r="E3808" s="135" t="s">
        <v>3402</v>
      </c>
      <c r="F3808" s="129" t="s">
        <v>3402</v>
      </c>
      <c r="G3808" s="135" t="s">
        <v>400</v>
      </c>
      <c r="H3808" s="129" t="str">
        <f ca="1">IF(Proc[[#This Row],[type]]="LFF (MDG-F)",MID(Proc[[#This Row],[Obj]],13,10),"")</f>
        <v/>
      </c>
      <c r="I3808" s="135"/>
      <c r="J3808" s="129" t="b">
        <f ca="1">Proc[[#This Row],[Requested]]=Proc[[#This Row],[CurrentParent]]</f>
        <v>1</v>
      </c>
      <c r="K3808" s="129" t="str">
        <f ca="1">IF(Proc[[#This Row],[Author]]="Marcela Urrego",VLOOKUP(LEFT(Proc[[#This Row],[Requested]],1),Table3[#All],2,0),VLOOKUP(Proc[[#This Row],[Author]],Table4[],2,0))</f>
        <v>HC</v>
      </c>
      <c r="L3808" s="129" t="s">
        <v>4896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10</v>
      </c>
      <c r="R3808" s="136" t="s">
        <v>1013</v>
      </c>
      <c r="S3808" s="129"/>
    </row>
    <row r="3809" spans="1:19" hidden="1">
      <c r="A3809" s="135" t="s">
        <v>5922</v>
      </c>
      <c r="B3809" s="138" t="str">
        <f ca="1">IFERROR(VLOOKUP(Proc[[#This Row],[App]],Table2[],3,0),"open")</f>
        <v>ok</v>
      </c>
      <c r="C3809" s="138" t="s">
        <v>369</v>
      </c>
      <c r="D3809" t="s">
        <v>5940</v>
      </c>
      <c r="E3809" s="135" t="s">
        <v>3402</v>
      </c>
      <c r="F3809" s="129" t="s">
        <v>3402</v>
      </c>
      <c r="G3809" s="135" t="s">
        <v>400</v>
      </c>
      <c r="H3809" s="129" t="str">
        <f ca="1">IF(Proc[[#This Row],[type]]="LFF (MDG-F)",MID(Proc[[#This Row],[Obj]],13,10),"")</f>
        <v/>
      </c>
      <c r="I3809" s="135"/>
      <c r="J3809" s="129" t="b">
        <f ca="1">Proc[[#This Row],[Requested]]=Proc[[#This Row],[CurrentParent]]</f>
        <v>1</v>
      </c>
      <c r="K3809" s="129" t="str">
        <f ca="1">IF(Proc[[#This Row],[Author]]="Marcela Urrego",VLOOKUP(LEFT(Proc[[#This Row],[Requested]],1),Table3[#All],2,0),VLOOKUP(Proc[[#This Row],[Author]],Table4[],2,0))</f>
        <v>HC</v>
      </c>
      <c r="L3809" s="129" t="s">
        <v>4896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10</v>
      </c>
      <c r="R3809" s="136" t="s">
        <v>1013</v>
      </c>
      <c r="S3809" s="129"/>
    </row>
    <row r="3810" spans="1:19" hidden="1">
      <c r="A3810" s="135" t="s">
        <v>5922</v>
      </c>
      <c r="B3810" s="138" t="str">
        <f ca="1">IFERROR(VLOOKUP(Proc[[#This Row],[App]],Table2[],3,0),"open")</f>
        <v>ok</v>
      </c>
      <c r="C3810" s="138" t="s">
        <v>369</v>
      </c>
      <c r="D3810" t="s">
        <v>5941</v>
      </c>
      <c r="E3810" s="135" t="s">
        <v>3402</v>
      </c>
      <c r="F3810" s="129" t="s">
        <v>3402</v>
      </c>
      <c r="G3810" s="135" t="s">
        <v>400</v>
      </c>
      <c r="H3810" s="129" t="str">
        <f ca="1">IF(Proc[[#This Row],[type]]="LFF (MDG-F)",MID(Proc[[#This Row],[Obj]],13,10),"")</f>
        <v/>
      </c>
      <c r="I3810" s="135"/>
      <c r="J3810" s="129" t="b">
        <f ca="1">Proc[[#This Row],[Requested]]=Proc[[#This Row],[CurrentParent]]</f>
        <v>1</v>
      </c>
      <c r="K3810" s="129" t="str">
        <f ca="1">IF(Proc[[#This Row],[Author]]="Marcela Urrego",VLOOKUP(LEFT(Proc[[#This Row],[Requested]],1),Table3[#All],2,0),VLOOKUP(Proc[[#This Row],[Author]],Table4[],2,0))</f>
        <v>HC</v>
      </c>
      <c r="L3810" s="129" t="s">
        <v>4896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10</v>
      </c>
      <c r="R3810" s="136" t="s">
        <v>1013</v>
      </c>
      <c r="S3810" s="129"/>
    </row>
    <row r="3811" spans="1:19" hidden="1">
      <c r="A3811" s="135" t="s">
        <v>5922</v>
      </c>
      <c r="B3811" s="138" t="str">
        <f ca="1">IFERROR(VLOOKUP(Proc[[#This Row],[App]],Table2[],3,0),"open")</f>
        <v>ok</v>
      </c>
      <c r="C3811" s="138" t="s">
        <v>369</v>
      </c>
      <c r="D3811" t="s">
        <v>5942</v>
      </c>
      <c r="E3811" s="135" t="s">
        <v>3402</v>
      </c>
      <c r="F3811" s="129" t="s">
        <v>3402</v>
      </c>
      <c r="G3811" s="135" t="s">
        <v>400</v>
      </c>
      <c r="H3811" s="129" t="str">
        <f ca="1">IF(Proc[[#This Row],[type]]="LFF (MDG-F)",MID(Proc[[#This Row],[Obj]],13,10),"")</f>
        <v/>
      </c>
      <c r="I3811" s="135"/>
      <c r="J3811" s="129" t="b">
        <f ca="1">Proc[[#This Row],[Requested]]=Proc[[#This Row],[CurrentParent]]</f>
        <v>1</v>
      </c>
      <c r="K3811" s="129" t="str">
        <f ca="1">IF(Proc[[#This Row],[Author]]="Marcela Urrego",VLOOKUP(LEFT(Proc[[#This Row],[Requested]],1),Table3[#All],2,0),VLOOKUP(Proc[[#This Row],[Author]],Table4[],2,0))</f>
        <v>HC</v>
      </c>
      <c r="L3811" s="129" t="s">
        <v>4896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10</v>
      </c>
      <c r="R3811" s="136" t="s">
        <v>1013</v>
      </c>
      <c r="S3811" s="129"/>
    </row>
    <row r="3812" spans="1:19" hidden="1">
      <c r="A3812" s="135" t="s">
        <v>5922</v>
      </c>
      <c r="B3812" s="138" t="str">
        <f ca="1">IFERROR(VLOOKUP(Proc[[#This Row],[App]],Table2[],3,0),"open")</f>
        <v>ok</v>
      </c>
      <c r="C3812" s="138" t="s">
        <v>369</v>
      </c>
      <c r="D3812" t="s">
        <v>5943</v>
      </c>
      <c r="E3812" s="135" t="s">
        <v>3402</v>
      </c>
      <c r="F3812" s="129" t="s">
        <v>3402</v>
      </c>
      <c r="G3812" s="135" t="s">
        <v>400</v>
      </c>
      <c r="H3812" s="129" t="str">
        <f ca="1">IF(Proc[[#This Row],[type]]="LFF (MDG-F)",MID(Proc[[#This Row],[Obj]],13,10),"")</f>
        <v/>
      </c>
      <c r="I3812" s="135"/>
      <c r="J3812" s="129" t="b">
        <f ca="1">Proc[[#This Row],[Requested]]=Proc[[#This Row],[CurrentParent]]</f>
        <v>1</v>
      </c>
      <c r="K3812" s="129" t="str">
        <f ca="1">IF(Proc[[#This Row],[Author]]="Marcela Urrego",VLOOKUP(LEFT(Proc[[#This Row],[Requested]],1),Table3[#All],2,0),VLOOKUP(Proc[[#This Row],[Author]],Table4[],2,0))</f>
        <v>HC</v>
      </c>
      <c r="L3812" s="129" t="s">
        <v>4896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10</v>
      </c>
      <c r="R3812" s="136" t="s">
        <v>1013</v>
      </c>
      <c r="S3812" s="129"/>
    </row>
    <row r="3813" spans="1:19" hidden="1">
      <c r="A3813" s="135" t="s">
        <v>5922</v>
      </c>
      <c r="B3813" s="138" t="str">
        <f ca="1">IFERROR(VLOOKUP(Proc[[#This Row],[App]],Table2[],3,0),"open")</f>
        <v>ok</v>
      </c>
      <c r="C3813" s="138" t="s">
        <v>369</v>
      </c>
      <c r="D3813" t="s">
        <v>5944</v>
      </c>
      <c r="E3813" s="135" t="s">
        <v>3402</v>
      </c>
      <c r="F3813" s="129" t="s">
        <v>3402</v>
      </c>
      <c r="G3813" s="135" t="s">
        <v>400</v>
      </c>
      <c r="H3813" s="129" t="str">
        <f ca="1">IF(Proc[[#This Row],[type]]="LFF (MDG-F)",MID(Proc[[#This Row],[Obj]],13,10),"")</f>
        <v/>
      </c>
      <c r="I3813" s="135"/>
      <c r="J3813" s="129" t="b">
        <f ca="1">Proc[[#This Row],[Requested]]=Proc[[#This Row],[CurrentParent]]</f>
        <v>1</v>
      </c>
      <c r="K3813" s="129" t="str">
        <f ca="1">IF(Proc[[#This Row],[Author]]="Marcela Urrego",VLOOKUP(LEFT(Proc[[#This Row],[Requested]],1),Table3[#All],2,0),VLOOKUP(Proc[[#This Row],[Author]],Table4[],2,0))</f>
        <v>HC</v>
      </c>
      <c r="L3813" s="129" t="s">
        <v>4896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10</v>
      </c>
      <c r="R3813" s="136" t="s">
        <v>1013</v>
      </c>
      <c r="S3813" s="129"/>
    </row>
    <row r="3814" spans="1:19" hidden="1">
      <c r="A3814" s="135" t="s">
        <v>5922</v>
      </c>
      <c r="B3814" s="138" t="str">
        <f ca="1">IFERROR(VLOOKUP(Proc[[#This Row],[App]],Table2[],3,0),"open")</f>
        <v>ok</v>
      </c>
      <c r="C3814" s="138" t="s">
        <v>369</v>
      </c>
      <c r="D3814" t="s">
        <v>5945</v>
      </c>
      <c r="E3814" s="135" t="s">
        <v>3402</v>
      </c>
      <c r="F3814" s="129" t="s">
        <v>3402</v>
      </c>
      <c r="G3814" s="135" t="s">
        <v>400</v>
      </c>
      <c r="H3814" s="129" t="str">
        <f ca="1">IF(Proc[[#This Row],[type]]="LFF (MDG-F)",MID(Proc[[#This Row],[Obj]],13,10),"")</f>
        <v/>
      </c>
      <c r="I3814" s="135"/>
      <c r="J3814" s="129" t="b">
        <f ca="1">Proc[[#This Row],[Requested]]=Proc[[#This Row],[CurrentParent]]</f>
        <v>1</v>
      </c>
      <c r="K3814" s="129" t="str">
        <f ca="1">IF(Proc[[#This Row],[Author]]="Marcela Urrego",VLOOKUP(LEFT(Proc[[#This Row],[Requested]],1),Table3[#All],2,0),VLOOKUP(Proc[[#This Row],[Author]],Table4[],2,0))</f>
        <v>HC</v>
      </c>
      <c r="L3814" s="129" t="s">
        <v>4896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10</v>
      </c>
      <c r="R3814" s="136" t="s">
        <v>1013</v>
      </c>
      <c r="S3814" s="129"/>
    </row>
    <row r="3815" spans="1:19" hidden="1">
      <c r="A3815" s="135" t="s">
        <v>5922</v>
      </c>
      <c r="B3815" s="138" t="str">
        <f ca="1">IFERROR(VLOOKUP(Proc[[#This Row],[App]],Table2[],3,0),"open")</f>
        <v>ok</v>
      </c>
      <c r="C3815" s="138" t="s">
        <v>369</v>
      </c>
      <c r="D3815" t="s">
        <v>5946</v>
      </c>
      <c r="E3815" s="135" t="s">
        <v>3402</v>
      </c>
      <c r="F3815" s="129" t="s">
        <v>3402</v>
      </c>
      <c r="G3815" s="135" t="s">
        <v>400</v>
      </c>
      <c r="H3815" s="129" t="str">
        <f ca="1">IF(Proc[[#This Row],[type]]="LFF (MDG-F)",MID(Proc[[#This Row],[Obj]],13,10),"")</f>
        <v/>
      </c>
      <c r="I3815" s="135"/>
      <c r="J3815" s="129" t="b">
        <f ca="1">Proc[[#This Row],[Requested]]=Proc[[#This Row],[CurrentParent]]</f>
        <v>1</v>
      </c>
      <c r="K3815" s="129" t="str">
        <f ca="1">IF(Proc[[#This Row],[Author]]="Marcela Urrego",VLOOKUP(LEFT(Proc[[#This Row],[Requested]],1),Table3[#All],2,0),VLOOKUP(Proc[[#This Row],[Author]],Table4[],2,0))</f>
        <v>HC</v>
      </c>
      <c r="L3815" s="129" t="s">
        <v>4896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10</v>
      </c>
      <c r="R3815" s="136" t="s">
        <v>1013</v>
      </c>
      <c r="S3815" s="129"/>
    </row>
    <row r="3816" spans="1:19" hidden="1">
      <c r="A3816" s="135" t="s">
        <v>5922</v>
      </c>
      <c r="B3816" s="138" t="str">
        <f ca="1">IFERROR(VLOOKUP(Proc[[#This Row],[App]],Table2[],3,0),"open")</f>
        <v>ok</v>
      </c>
      <c r="C3816" s="138" t="s">
        <v>369</v>
      </c>
      <c r="D3816" t="s">
        <v>5923</v>
      </c>
      <c r="E3816" s="135" t="s">
        <v>3402</v>
      </c>
      <c r="F3816" s="129" t="s">
        <v>3402</v>
      </c>
      <c r="G3816" s="135" t="s">
        <v>406</v>
      </c>
      <c r="H3816" s="129" t="str">
        <f ca="1">IF(Proc[[#This Row],[type]]="LFF (MDG-F)",MID(Proc[[#This Row],[Obj]],13,10),"")</f>
        <v>CZ50GEQ001</v>
      </c>
      <c r="J3816" s="129" t="b">
        <f ca="1">Proc[[#This Row],[Requested]]=Proc[[#This Row],[CurrentParent]]</f>
        <v>1</v>
      </c>
      <c r="K3816" s="129" t="str">
        <f ca="1">IF(Proc[[#This Row],[Author]]="Marcela Urrego",VLOOKUP(LEFT(Proc[[#This Row],[Requested]],1),Table3[#All],2,0),VLOOKUP(Proc[[#This Row],[Author]],Table4[],2,0))</f>
        <v>HC</v>
      </c>
      <c r="L3816" s="129" t="s">
        <v>4896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10</v>
      </c>
      <c r="R3816" s="136" t="s">
        <v>1013</v>
      </c>
      <c r="S3816" s="129"/>
    </row>
    <row r="3817" spans="1:19" hidden="1">
      <c r="A3817" s="135" t="s">
        <v>5922</v>
      </c>
      <c r="B3817" s="138" t="str">
        <f ca="1">IFERROR(VLOOKUP(Proc[[#This Row],[App]],Table2[],3,0),"open")</f>
        <v>ok</v>
      </c>
      <c r="C3817" s="135" t="s">
        <v>369</v>
      </c>
      <c r="D3817" t="s">
        <v>5924</v>
      </c>
      <c r="E3817" s="135" t="s">
        <v>3402</v>
      </c>
      <c r="F3817" s="138" t="s">
        <v>3402</v>
      </c>
      <c r="G3817" s="135" t="s">
        <v>406</v>
      </c>
      <c r="H3817" s="129" t="str">
        <f ca="1">IF(Proc[[#This Row],[type]]="LFF (MDG-F)",MID(Proc[[#This Row],[Obj]],13,10),"")</f>
        <v>CZ50Z02185</v>
      </c>
      <c r="J3817" s="129" t="b">
        <f ca="1">Proc[[#This Row],[Requested]]=Proc[[#This Row],[CurrentParent]]</f>
        <v>1</v>
      </c>
      <c r="K3817" s="129" t="str">
        <f ca="1">IF(Proc[[#This Row],[Author]]="Marcela Urrego",VLOOKUP(LEFT(Proc[[#This Row],[Requested]],1),Table3[#All],2,0),VLOOKUP(Proc[[#This Row],[Author]],Table4[],2,0))</f>
        <v>HC</v>
      </c>
      <c r="L3817" s="129" t="s">
        <v>4896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10</v>
      </c>
      <c r="R3817" s="136" t="s">
        <v>1013</v>
      </c>
      <c r="S3817" s="129"/>
    </row>
    <row r="3818" spans="1:19" hidden="1">
      <c r="A3818" s="135" t="s">
        <v>6089</v>
      </c>
      <c r="B3818" s="138" t="str">
        <f ca="1">IFERROR(VLOOKUP(Proc[[#This Row],[App]],Table2[],3,0),"open")</f>
        <v>open</v>
      </c>
      <c r="C3818" s="138" t="s">
        <v>369</v>
      </c>
      <c r="D3818" t="s">
        <v>5948</v>
      </c>
      <c r="E3818" t="s">
        <v>6062</v>
      </c>
      <c r="F3818" s="129" t="s">
        <v>6062</v>
      </c>
      <c r="G3818" s="135" t="s">
        <v>406</v>
      </c>
      <c r="H3818" s="129" t="str">
        <f ca="1">IF(Proc[[#This Row],[type]]="LFF (MDG-F)",MID(Proc[[#This Row],[Obj]],13,10),"")</f>
        <v>JP01C00020</v>
      </c>
      <c r="J3818" s="129" t="b">
        <f ca="1">Proc[[#This Row],[Requested]]=Proc[[#This Row],[CurrentParent]]</f>
        <v>1</v>
      </c>
      <c r="K3818" s="129" t="str">
        <f ca="1">IF(Proc[[#This Row],[Author]]="Marcela Urrego",VLOOKUP(LEFT(Proc[[#This Row],[Requested]],1),Table3[#All],2,0),VLOOKUP(Proc[[#This Row],[Author]],Table4[],2,0))</f>
        <v>EL</v>
      </c>
      <c r="L3818" s="129" t="s">
        <v>4896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10</v>
      </c>
      <c r="R3818" s="136" t="s">
        <v>6090</v>
      </c>
      <c r="S3818" s="129"/>
    </row>
    <row r="3819" spans="1:19" hidden="1">
      <c r="A3819" s="135" t="s">
        <v>6089</v>
      </c>
      <c r="B3819" s="138" t="str">
        <f ca="1">IFERROR(VLOOKUP(Proc[[#This Row],[App]],Table2[],3,0),"open")</f>
        <v>open</v>
      </c>
      <c r="C3819" s="138" t="s">
        <v>369</v>
      </c>
      <c r="D3819" t="s">
        <v>5949</v>
      </c>
      <c r="E3819" t="s">
        <v>6062</v>
      </c>
      <c r="F3819" s="129" t="s">
        <v>6062</v>
      </c>
      <c r="G3819" s="135" t="s">
        <v>406</v>
      </c>
      <c r="H3819" s="129" t="str">
        <f ca="1">IF(Proc[[#This Row],[type]]="LFF (MDG-F)",MID(Proc[[#This Row],[Obj]],13,10),"")</f>
        <v>JP01C00301</v>
      </c>
      <c r="J3819" s="129" t="b">
        <f ca="1">Proc[[#This Row],[Requested]]=Proc[[#This Row],[CurrentParent]]</f>
        <v>1</v>
      </c>
      <c r="K3819" s="129" t="str">
        <f ca="1">IF(Proc[[#This Row],[Author]]="Marcela Urrego",VLOOKUP(LEFT(Proc[[#This Row],[Requested]],1),Table3[#All],2,0),VLOOKUP(Proc[[#This Row],[Author]],Table4[],2,0))</f>
        <v>EL</v>
      </c>
      <c r="L3819" s="129" t="s">
        <v>4896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10</v>
      </c>
      <c r="R3819" s="136" t="s">
        <v>6090</v>
      </c>
      <c r="S3819" s="129"/>
    </row>
    <row r="3820" spans="1:19" hidden="1">
      <c r="A3820" s="135" t="s">
        <v>6089</v>
      </c>
      <c r="B3820" s="138" t="str">
        <f ca="1">IFERROR(VLOOKUP(Proc[[#This Row],[App]],Table2[],3,0),"open")</f>
        <v>open</v>
      </c>
      <c r="C3820" s="138" t="s">
        <v>369</v>
      </c>
      <c r="D3820" t="s">
        <v>5950</v>
      </c>
      <c r="E3820" t="s">
        <v>6062</v>
      </c>
      <c r="F3820" s="129" t="s">
        <v>6062</v>
      </c>
      <c r="G3820" s="135" t="s">
        <v>406</v>
      </c>
      <c r="H3820" s="129" t="str">
        <f ca="1">IF(Proc[[#This Row],[type]]="LFF (MDG-F)",MID(Proc[[#This Row],[Obj]],13,10),"")</f>
        <v>JP01C00401</v>
      </c>
      <c r="J3820" s="129" t="b">
        <f ca="1">Proc[[#This Row],[Requested]]=Proc[[#This Row],[CurrentParent]]</f>
        <v>1</v>
      </c>
      <c r="K3820" s="129" t="str">
        <f ca="1">IF(Proc[[#This Row],[Author]]="Marcela Urrego",VLOOKUP(LEFT(Proc[[#This Row],[Requested]],1),Table3[#All],2,0),VLOOKUP(Proc[[#This Row],[Author]],Table4[],2,0))</f>
        <v>EL</v>
      </c>
      <c r="L3820" s="129" t="s">
        <v>4896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10</v>
      </c>
      <c r="R3820" s="136" t="s">
        <v>6090</v>
      </c>
      <c r="S3820" s="129"/>
    </row>
    <row r="3821" spans="1:19" hidden="1">
      <c r="A3821" s="135" t="s">
        <v>6089</v>
      </c>
      <c r="B3821" s="138" t="str">
        <f ca="1">IFERROR(VLOOKUP(Proc[[#This Row],[App]],Table2[],3,0),"open")</f>
        <v>open</v>
      </c>
      <c r="C3821" s="138" t="s">
        <v>369</v>
      </c>
      <c r="D3821" t="s">
        <v>5951</v>
      </c>
      <c r="E3821" t="s">
        <v>6063</v>
      </c>
      <c r="F3821" s="129" t="s">
        <v>6063</v>
      </c>
      <c r="G3821" s="135" t="s">
        <v>406</v>
      </c>
      <c r="H3821" s="129" t="str">
        <f ca="1">IF(Proc[[#This Row],[type]]="LFF (MDG-F)",MID(Proc[[#This Row],[Obj]],13,10),"")</f>
        <v>JP01C0M121</v>
      </c>
      <c r="J3821" s="129" t="b">
        <f ca="1">Proc[[#This Row],[Requested]]=Proc[[#This Row],[CurrentParent]]</f>
        <v>1</v>
      </c>
      <c r="K3821" s="129" t="str">
        <f ca="1">IF(Proc[[#This Row],[Author]]="Marcela Urrego",VLOOKUP(LEFT(Proc[[#This Row],[Requested]],1),Table3[#All],2,0),VLOOKUP(Proc[[#This Row],[Author]],Table4[],2,0))</f>
        <v>EL</v>
      </c>
      <c r="L3821" s="129" t="s">
        <v>4896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10</v>
      </c>
      <c r="R3821" s="136" t="s">
        <v>6090</v>
      </c>
      <c r="S3821" s="129"/>
    </row>
    <row r="3822" spans="1:19" hidden="1">
      <c r="A3822" s="135" t="s">
        <v>6089</v>
      </c>
      <c r="B3822" s="138" t="str">
        <f ca="1">IFERROR(VLOOKUP(Proc[[#This Row],[App]],Table2[],3,0),"open")</f>
        <v>open</v>
      </c>
      <c r="C3822" s="138" t="s">
        <v>369</v>
      </c>
      <c r="D3822" t="s">
        <v>5952</v>
      </c>
      <c r="E3822" t="s">
        <v>6064</v>
      </c>
      <c r="F3822" s="129" t="s">
        <v>6064</v>
      </c>
      <c r="G3822" s="135" t="s">
        <v>406</v>
      </c>
      <c r="H3822" s="129" t="str">
        <f ca="1">IF(Proc[[#This Row],[type]]="LFF (MDG-F)",MID(Proc[[#This Row],[Obj]],13,10),"")</f>
        <v>JP01C0M600</v>
      </c>
      <c r="J3822" s="129" t="b">
        <f ca="1">Proc[[#This Row],[Requested]]=Proc[[#This Row],[CurrentParent]]</f>
        <v>1</v>
      </c>
      <c r="K3822" s="129" t="str">
        <f ca="1">IF(Proc[[#This Row],[Author]]="Marcela Urrego",VLOOKUP(LEFT(Proc[[#This Row],[Requested]],1),Table3[#All],2,0),VLOOKUP(Proc[[#This Row],[Author]],Table4[],2,0))</f>
        <v>EL</v>
      </c>
      <c r="L3822" s="129" t="s">
        <v>4896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10</v>
      </c>
      <c r="R3822" s="136" t="s">
        <v>6090</v>
      </c>
      <c r="S3822" s="129"/>
    </row>
    <row r="3823" spans="1:19" hidden="1">
      <c r="A3823" s="135" t="s">
        <v>6089</v>
      </c>
      <c r="B3823" s="138" t="str">
        <f ca="1">IFERROR(VLOOKUP(Proc[[#This Row],[App]],Table2[],3,0),"open")</f>
        <v>open</v>
      </c>
      <c r="C3823" s="138" t="s">
        <v>369</v>
      </c>
      <c r="D3823" t="s">
        <v>5953</v>
      </c>
      <c r="E3823" t="s">
        <v>6064</v>
      </c>
      <c r="F3823" s="129" t="s">
        <v>6064</v>
      </c>
      <c r="G3823" s="135" t="s">
        <v>406</v>
      </c>
      <c r="H3823" s="129" t="str">
        <f ca="1">IF(Proc[[#This Row],[type]]="LFF (MDG-F)",MID(Proc[[#This Row],[Obj]],13,10),"")</f>
        <v>JP01C0M621</v>
      </c>
      <c r="J3823" s="129" t="b">
        <f ca="1">Proc[[#This Row],[Requested]]=Proc[[#This Row],[CurrentParent]]</f>
        <v>1</v>
      </c>
      <c r="K3823" s="129" t="str">
        <f ca="1">IF(Proc[[#This Row],[Author]]="Marcela Urrego",VLOOKUP(LEFT(Proc[[#This Row],[Requested]],1),Table3[#All],2,0),VLOOKUP(Proc[[#This Row],[Author]],Table4[],2,0))</f>
        <v>EL</v>
      </c>
      <c r="L3823" s="129" t="s">
        <v>4896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10</v>
      </c>
      <c r="R3823" s="136" t="s">
        <v>6090</v>
      </c>
      <c r="S3823" s="129"/>
    </row>
    <row r="3824" spans="1:19" hidden="1">
      <c r="A3824" s="135" t="s">
        <v>6089</v>
      </c>
      <c r="B3824" s="138" t="str">
        <f ca="1">IFERROR(VLOOKUP(Proc[[#This Row],[App]],Table2[],3,0),"open")</f>
        <v>open</v>
      </c>
      <c r="C3824" s="138" t="s">
        <v>369</v>
      </c>
      <c r="D3824" t="s">
        <v>5954</v>
      </c>
      <c r="E3824" t="s">
        <v>6065</v>
      </c>
      <c r="F3824" s="129" t="s">
        <v>6065</v>
      </c>
      <c r="G3824" s="135" t="s">
        <v>406</v>
      </c>
      <c r="H3824" s="129" t="str">
        <f ca="1">IF(Proc[[#This Row],[type]]="LFF (MDG-F)",MID(Proc[[#This Row],[Obj]],13,10),"")</f>
        <v>JP01C0M821</v>
      </c>
      <c r="J3824" s="129" t="b">
        <f ca="1">Proc[[#This Row],[Requested]]=Proc[[#This Row],[CurrentParent]]</f>
        <v>1</v>
      </c>
      <c r="K3824" s="129" t="str">
        <f ca="1">IF(Proc[[#This Row],[Author]]="Marcela Urrego",VLOOKUP(LEFT(Proc[[#This Row],[Requested]],1),Table3[#All],2,0),VLOOKUP(Proc[[#This Row],[Author]],Table4[],2,0))</f>
        <v>EL</v>
      </c>
      <c r="L3824" s="129" t="s">
        <v>4896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10</v>
      </c>
      <c r="R3824" s="136" t="s">
        <v>6090</v>
      </c>
      <c r="S3824" s="129"/>
    </row>
    <row r="3825" spans="1:19" hidden="1">
      <c r="A3825" s="135" t="s">
        <v>6089</v>
      </c>
      <c r="B3825" s="138" t="str">
        <f ca="1">IFERROR(VLOOKUP(Proc[[#This Row],[App]],Table2[],3,0),"open")</f>
        <v>open</v>
      </c>
      <c r="C3825" s="138" t="s">
        <v>369</v>
      </c>
      <c r="D3825" t="s">
        <v>5955</v>
      </c>
      <c r="E3825" t="s">
        <v>6065</v>
      </c>
      <c r="F3825" s="129" t="s">
        <v>6065</v>
      </c>
      <c r="G3825" s="135" t="s">
        <v>406</v>
      </c>
      <c r="H3825" s="129" t="str">
        <f ca="1">IF(Proc[[#This Row],[type]]="LFF (MDG-F)",MID(Proc[[#This Row],[Obj]],13,10),"")</f>
        <v>JP01C0M822</v>
      </c>
      <c r="J3825" s="129" t="b">
        <f ca="1">Proc[[#This Row],[Requested]]=Proc[[#This Row],[CurrentParent]]</f>
        <v>1</v>
      </c>
      <c r="K3825" s="129" t="str">
        <f ca="1">IF(Proc[[#This Row],[Author]]="Marcela Urrego",VLOOKUP(LEFT(Proc[[#This Row],[Requested]],1),Table3[#All],2,0),VLOOKUP(Proc[[#This Row],[Author]],Table4[],2,0))</f>
        <v>EL</v>
      </c>
      <c r="L3825" s="129" t="s">
        <v>4896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10</v>
      </c>
      <c r="R3825" s="136" t="s">
        <v>6090</v>
      </c>
      <c r="S3825" s="129"/>
    </row>
    <row r="3826" spans="1:19" hidden="1">
      <c r="A3826" s="135" t="s">
        <v>6089</v>
      </c>
      <c r="B3826" s="138" t="str">
        <f ca="1">IFERROR(VLOOKUP(Proc[[#This Row],[App]],Table2[],3,0),"open")</f>
        <v>open</v>
      </c>
      <c r="C3826" s="144" t="s">
        <v>370</v>
      </c>
      <c r="D3826" t="s">
        <v>5956</v>
      </c>
      <c r="E3826" t="s">
        <v>6066</v>
      </c>
      <c r="F3826" s="140" t="s">
        <v>6106</v>
      </c>
      <c r="G3826" s="135" t="s">
        <v>406</v>
      </c>
      <c r="H3826" s="129" t="str">
        <f ca="1">IF(Proc[[#This Row],[type]]="LFF (MDG-F)",MID(Proc[[#This Row],[Obj]],13,10),"")</f>
        <v>JP01C0M825</v>
      </c>
      <c r="J3826" s="129" t="b">
        <f ca="1">Proc[[#This Row],[Requested]]=Proc[[#This Row],[CurrentParent]]</f>
        <v>0</v>
      </c>
      <c r="K3826" s="129" t="str">
        <f ca="1">IF(Proc[[#This Row],[Author]]="Marcela Urrego",VLOOKUP(LEFT(Proc[[#This Row],[Requested]],1),Table3[#All],2,0),VLOOKUP(Proc[[#This Row],[Author]],Table4[],2,0))</f>
        <v>EL</v>
      </c>
      <c r="L3826" s="129" t="s">
        <v>4896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10</v>
      </c>
      <c r="R3826" s="136" t="s">
        <v>6090</v>
      </c>
      <c r="S3826" s="129"/>
    </row>
    <row r="3827" spans="1:19" hidden="1">
      <c r="A3827" s="135" t="s">
        <v>6089</v>
      </c>
      <c r="B3827" s="138" t="str">
        <f ca="1">IFERROR(VLOOKUP(Proc[[#This Row],[App]],Table2[],3,0),"open")</f>
        <v>open</v>
      </c>
      <c r="C3827" s="138" t="s">
        <v>369</v>
      </c>
      <c r="D3827" t="s">
        <v>5957</v>
      </c>
      <c r="E3827" t="s">
        <v>6067</v>
      </c>
      <c r="F3827" s="138" t="s">
        <v>6067</v>
      </c>
      <c r="G3827" s="135" t="s">
        <v>406</v>
      </c>
      <c r="H3827" s="129" t="str">
        <f ca="1">IF(Proc[[#This Row],[type]]="LFF (MDG-F)",MID(Proc[[#This Row],[Obj]],13,10),"")</f>
        <v>JP01C0M921</v>
      </c>
      <c r="J3827" s="129" t="b">
        <f ca="1">Proc[[#This Row],[Requested]]=Proc[[#This Row],[CurrentParent]]</f>
        <v>1</v>
      </c>
      <c r="K3827" s="129" t="str">
        <f ca="1">IF(Proc[[#This Row],[Author]]="Marcela Urrego",VLOOKUP(LEFT(Proc[[#This Row],[Requested]],1),Table3[#All],2,0),VLOOKUP(Proc[[#This Row],[Author]],Table4[],2,0))</f>
        <v>EL</v>
      </c>
      <c r="L3827" s="129" t="s">
        <v>4896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10</v>
      </c>
      <c r="R3827" s="136" t="s">
        <v>6090</v>
      </c>
      <c r="S3827" s="129"/>
    </row>
    <row r="3828" spans="1:19" hidden="1">
      <c r="A3828" s="135" t="s">
        <v>6089</v>
      </c>
      <c r="B3828" s="138" t="str">
        <f ca="1">IFERROR(VLOOKUP(Proc[[#This Row],[App]],Table2[],3,0),"open")</f>
        <v>open</v>
      </c>
      <c r="C3828" s="138" t="s">
        <v>369</v>
      </c>
      <c r="D3828" t="s">
        <v>5958</v>
      </c>
      <c r="E3828" t="s">
        <v>6068</v>
      </c>
      <c r="F3828" s="129" t="s">
        <v>6068</v>
      </c>
      <c r="G3828" s="135" t="s">
        <v>406</v>
      </c>
      <c r="H3828" s="129" t="str">
        <f ca="1">IF(Proc[[#This Row],[type]]="LFF (MDG-F)",MID(Proc[[#This Row],[Obj]],13,10),"")</f>
        <v>JP01C0O921</v>
      </c>
      <c r="J3828" s="129" t="b">
        <f ca="1">Proc[[#This Row],[Requested]]=Proc[[#This Row],[CurrentParent]]</f>
        <v>1</v>
      </c>
      <c r="K3828" s="129" t="str">
        <f ca="1">IF(Proc[[#This Row],[Author]]="Marcela Urrego",VLOOKUP(LEFT(Proc[[#This Row],[Requested]],1),Table3[#All],2,0),VLOOKUP(Proc[[#This Row],[Author]],Table4[],2,0))</f>
        <v>EL</v>
      </c>
      <c r="L3828" s="129" t="s">
        <v>4896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10</v>
      </c>
      <c r="R3828" s="136" t="s">
        <v>6090</v>
      </c>
      <c r="S3828" s="129"/>
    </row>
    <row r="3829" spans="1:19" hidden="1">
      <c r="A3829" s="135" t="s">
        <v>6089</v>
      </c>
      <c r="B3829" s="138" t="str">
        <f ca="1">IFERROR(VLOOKUP(Proc[[#This Row],[App]],Table2[],3,0),"open")</f>
        <v>open</v>
      </c>
      <c r="C3829" s="138" t="s">
        <v>369</v>
      </c>
      <c r="D3829" t="s">
        <v>5959</v>
      </c>
      <c r="E3829" t="s">
        <v>6065</v>
      </c>
      <c r="F3829" s="129" t="s">
        <v>6065</v>
      </c>
      <c r="G3829" s="135" t="s">
        <v>406</v>
      </c>
      <c r="H3829" s="129" t="str">
        <f ca="1">IF(Proc[[#This Row],[type]]="LFF (MDG-F)",MID(Proc[[#This Row],[Obj]],13,10),"")</f>
        <v>JP01C0O999</v>
      </c>
      <c r="J3829" s="129" t="b">
        <f ca="1">Proc[[#This Row],[Requested]]=Proc[[#This Row],[CurrentParent]]</f>
        <v>1</v>
      </c>
      <c r="K3829" s="129" t="str">
        <f ca="1">IF(Proc[[#This Row],[Author]]="Marcela Urrego",VLOOKUP(LEFT(Proc[[#This Row],[Requested]],1),Table3[#All],2,0),VLOOKUP(Proc[[#This Row],[Author]],Table4[],2,0))</f>
        <v>EL</v>
      </c>
      <c r="L3829" s="129" t="s">
        <v>4896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10</v>
      </c>
      <c r="R3829" s="136" t="s">
        <v>6090</v>
      </c>
      <c r="S3829" s="129"/>
    </row>
    <row r="3830" spans="1:19" hidden="1">
      <c r="A3830" s="135" t="s">
        <v>6089</v>
      </c>
      <c r="B3830" s="138" t="str">
        <f ca="1">IFERROR(VLOOKUP(Proc[[#This Row],[App]],Table2[],3,0),"open")</f>
        <v>open</v>
      </c>
      <c r="C3830" s="138" t="s">
        <v>369</v>
      </c>
      <c r="D3830" t="s">
        <v>5960</v>
      </c>
      <c r="E3830" t="s">
        <v>6069</v>
      </c>
      <c r="F3830" s="129" t="s">
        <v>6069</v>
      </c>
      <c r="G3830" s="135" t="s">
        <v>406</v>
      </c>
      <c r="H3830" s="129" t="str">
        <f ca="1">IF(Proc[[#This Row],[type]]="LFF (MDG-F)",MID(Proc[[#This Row],[Obj]],13,10),"")</f>
        <v>JP01GBT301</v>
      </c>
      <c r="J3830" s="129" t="b">
        <f ca="1">Proc[[#This Row],[Requested]]=Proc[[#This Row],[CurrentParent]]</f>
        <v>1</v>
      </c>
      <c r="K3830" s="129" t="str">
        <f ca="1">IF(Proc[[#This Row],[Author]]="Marcela Urrego",VLOOKUP(LEFT(Proc[[#This Row],[Requested]],1),Table3[#All],2,0),VLOOKUP(Proc[[#This Row],[Author]],Table4[],2,0))</f>
        <v>EL</v>
      </c>
      <c r="L3830" s="129" t="s">
        <v>4896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10</v>
      </c>
      <c r="R3830" s="136" t="s">
        <v>6090</v>
      </c>
      <c r="S3830" s="129"/>
    </row>
    <row r="3831" spans="1:19" hidden="1">
      <c r="A3831" s="135" t="s">
        <v>6089</v>
      </c>
      <c r="B3831" s="138" t="str">
        <f ca="1">IFERROR(VLOOKUP(Proc[[#This Row],[App]],Table2[],3,0),"open")</f>
        <v>open</v>
      </c>
      <c r="C3831" s="138" t="s">
        <v>369</v>
      </c>
      <c r="D3831" t="s">
        <v>5961</v>
      </c>
      <c r="E3831" t="s">
        <v>6069</v>
      </c>
      <c r="F3831" s="129" t="s">
        <v>6069</v>
      </c>
      <c r="G3831" s="135" t="s">
        <v>406</v>
      </c>
      <c r="H3831" s="129" t="str">
        <f ca="1">IF(Proc[[#This Row],[type]]="LFF (MDG-F)",MID(Proc[[#This Row],[Obj]],13,10),"")</f>
        <v>JP01GBT303</v>
      </c>
      <c r="J3831" s="129" t="b">
        <f ca="1">Proc[[#This Row],[Requested]]=Proc[[#This Row],[CurrentParent]]</f>
        <v>1</v>
      </c>
      <c r="K3831" s="129" t="str">
        <f ca="1">IF(Proc[[#This Row],[Author]]="Marcela Urrego",VLOOKUP(LEFT(Proc[[#This Row],[Requested]],1),Table3[#All],2,0),VLOOKUP(Proc[[#This Row],[Author]],Table4[],2,0))</f>
        <v>EL</v>
      </c>
      <c r="L3831" s="129" t="s">
        <v>4896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10</v>
      </c>
      <c r="R3831" s="136" t="s">
        <v>6090</v>
      </c>
      <c r="S3831" s="129"/>
    </row>
    <row r="3832" spans="1:19" hidden="1">
      <c r="A3832" s="135" t="s">
        <v>6089</v>
      </c>
      <c r="B3832" s="138" t="str">
        <f ca="1">IFERROR(VLOOKUP(Proc[[#This Row],[App]],Table2[],3,0),"open")</f>
        <v>open</v>
      </c>
      <c r="C3832" s="138" t="s">
        <v>369</v>
      </c>
      <c r="D3832" t="s">
        <v>5962</v>
      </c>
      <c r="E3832" t="s">
        <v>6069</v>
      </c>
      <c r="F3832" s="129" t="s">
        <v>6069</v>
      </c>
      <c r="G3832" s="135" t="s">
        <v>406</v>
      </c>
      <c r="H3832" s="129" t="str">
        <f ca="1">IF(Proc[[#This Row],[type]]="LFF (MDG-F)",MID(Proc[[#This Row],[Obj]],13,10),"")</f>
        <v>JP01GBT304</v>
      </c>
      <c r="J3832" s="129" t="b">
        <f ca="1">Proc[[#This Row],[Requested]]=Proc[[#This Row],[CurrentParent]]</f>
        <v>1</v>
      </c>
      <c r="K3832" s="129" t="str">
        <f ca="1">IF(Proc[[#This Row],[Author]]="Marcela Urrego",VLOOKUP(LEFT(Proc[[#This Row],[Requested]],1),Table3[#All],2,0),VLOOKUP(Proc[[#This Row],[Author]],Table4[],2,0))</f>
        <v>EL</v>
      </c>
      <c r="L3832" s="129" t="s">
        <v>4896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10</v>
      </c>
      <c r="R3832" s="136" t="s">
        <v>6090</v>
      </c>
      <c r="S3832" s="129"/>
    </row>
    <row r="3833" spans="1:19" hidden="1">
      <c r="A3833" s="135" t="s">
        <v>6089</v>
      </c>
      <c r="B3833" s="138" t="str">
        <f ca="1">IFERROR(VLOOKUP(Proc[[#This Row],[App]],Table2[],3,0),"open")</f>
        <v>open</v>
      </c>
      <c r="C3833" s="138" t="s">
        <v>369</v>
      </c>
      <c r="D3833" t="s">
        <v>5963</v>
      </c>
      <c r="E3833" t="s">
        <v>6069</v>
      </c>
      <c r="F3833" s="129" t="s">
        <v>6069</v>
      </c>
      <c r="G3833" s="135" t="s">
        <v>406</v>
      </c>
      <c r="H3833" s="129" t="str">
        <f ca="1">IF(Proc[[#This Row],[type]]="LFF (MDG-F)",MID(Proc[[#This Row],[Obj]],13,10),"")</f>
        <v>JP01GBT305</v>
      </c>
      <c r="J3833" s="129" t="b">
        <f ca="1">Proc[[#This Row],[Requested]]=Proc[[#This Row],[CurrentParent]]</f>
        <v>1</v>
      </c>
      <c r="K3833" s="129" t="str">
        <f ca="1">IF(Proc[[#This Row],[Author]]="Marcela Urrego",VLOOKUP(LEFT(Proc[[#This Row],[Requested]],1),Table3[#All],2,0),VLOOKUP(Proc[[#This Row],[Author]],Table4[],2,0))</f>
        <v>EL</v>
      </c>
      <c r="L3833" s="129" t="s">
        <v>4896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10</v>
      </c>
      <c r="R3833" s="136" t="s">
        <v>6090</v>
      </c>
      <c r="S3833" s="129"/>
    </row>
    <row r="3834" spans="1:19" hidden="1">
      <c r="A3834" s="135" t="s">
        <v>6089</v>
      </c>
      <c r="B3834" s="138" t="str">
        <f ca="1">IFERROR(VLOOKUP(Proc[[#This Row],[App]],Table2[],3,0),"open")</f>
        <v>open</v>
      </c>
      <c r="C3834" s="138" t="s">
        <v>369</v>
      </c>
      <c r="D3834" t="s">
        <v>5964</v>
      </c>
      <c r="E3834" t="s">
        <v>6070</v>
      </c>
      <c r="F3834" s="129" t="s">
        <v>6070</v>
      </c>
      <c r="G3834" s="135" t="s">
        <v>406</v>
      </c>
      <c r="H3834" s="129" t="str">
        <f ca="1">IF(Proc[[#This Row],[type]]="LFF (MDG-F)",MID(Proc[[#This Row],[Obj]],13,10),"")</f>
        <v>JP01GCM301</v>
      </c>
      <c r="J3834" s="129" t="b">
        <f ca="1">Proc[[#This Row],[Requested]]=Proc[[#This Row],[CurrentParent]]</f>
        <v>1</v>
      </c>
      <c r="K3834" s="129" t="str">
        <f ca="1">IF(Proc[[#This Row],[Author]]="Marcela Urrego",VLOOKUP(LEFT(Proc[[#This Row],[Requested]],1),Table3[#All],2,0),VLOOKUP(Proc[[#This Row],[Author]],Table4[],2,0))</f>
        <v>EL</v>
      </c>
      <c r="L3834" s="129" t="s">
        <v>4896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10</v>
      </c>
      <c r="R3834" s="136" t="s">
        <v>6090</v>
      </c>
      <c r="S3834" s="129"/>
    </row>
    <row r="3835" spans="1:19" hidden="1">
      <c r="A3835" s="135" t="s">
        <v>6089</v>
      </c>
      <c r="B3835" s="138" t="str">
        <f ca="1">IFERROR(VLOOKUP(Proc[[#This Row],[App]],Table2[],3,0),"open")</f>
        <v>open</v>
      </c>
      <c r="C3835" s="138" t="s">
        <v>369</v>
      </c>
      <c r="D3835" t="s">
        <v>5965</v>
      </c>
      <c r="E3835" t="s">
        <v>6071</v>
      </c>
      <c r="F3835" s="129" t="s">
        <v>6071</v>
      </c>
      <c r="G3835" s="135" t="s">
        <v>406</v>
      </c>
      <c r="H3835" s="129" t="str">
        <f ca="1">IF(Proc[[#This Row],[type]]="LFF (MDG-F)",MID(Proc[[#This Row],[Obj]],13,10),"")</f>
        <v>JP01GCO301</v>
      </c>
      <c r="J3835" s="129" t="b">
        <f ca="1">Proc[[#This Row],[Requested]]=Proc[[#This Row],[CurrentParent]]</f>
        <v>1</v>
      </c>
      <c r="K3835" s="129" t="str">
        <f ca="1">IF(Proc[[#This Row],[Author]]="Marcela Urrego",VLOOKUP(LEFT(Proc[[#This Row],[Requested]],1),Table3[#All],2,0),VLOOKUP(Proc[[#This Row],[Author]],Table4[],2,0))</f>
        <v>EL</v>
      </c>
      <c r="L3835" s="129" t="s">
        <v>4896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10</v>
      </c>
      <c r="R3835" s="136" t="s">
        <v>6090</v>
      </c>
      <c r="S3835" s="129"/>
    </row>
    <row r="3836" spans="1:19" hidden="1">
      <c r="A3836" s="135" t="s">
        <v>6089</v>
      </c>
      <c r="B3836" s="138" t="str">
        <f ca="1">IFERROR(VLOOKUP(Proc[[#This Row],[App]],Table2[],3,0),"open")</f>
        <v>open</v>
      </c>
      <c r="C3836" s="138" t="s">
        <v>369</v>
      </c>
      <c r="D3836" t="s">
        <v>5966</v>
      </c>
      <c r="E3836" t="s">
        <v>6070</v>
      </c>
      <c r="F3836" s="129" t="s">
        <v>6070</v>
      </c>
      <c r="G3836" s="135" t="s">
        <v>406</v>
      </c>
      <c r="H3836" s="129" t="str">
        <f ca="1">IF(Proc[[#This Row],[type]]="LFF (MDG-F)",MID(Proc[[#This Row],[Obj]],13,10),"")</f>
        <v>JP01GFO300</v>
      </c>
      <c r="J3836" s="129" t="b">
        <f ca="1">Proc[[#This Row],[Requested]]=Proc[[#This Row],[CurrentParent]]</f>
        <v>1</v>
      </c>
      <c r="K3836" s="129" t="str">
        <f ca="1">IF(Proc[[#This Row],[Author]]="Marcela Urrego",VLOOKUP(LEFT(Proc[[#This Row],[Requested]],1),Table3[#All],2,0),VLOOKUP(Proc[[#This Row],[Author]],Table4[],2,0))</f>
        <v>EL</v>
      </c>
      <c r="L3836" s="129" t="s">
        <v>4896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10</v>
      </c>
      <c r="R3836" s="136" t="s">
        <v>6090</v>
      </c>
      <c r="S3836" s="129"/>
    </row>
    <row r="3837" spans="1:19" hidden="1">
      <c r="A3837" s="135" t="s">
        <v>6089</v>
      </c>
      <c r="B3837" s="138" t="str">
        <f ca="1">IFERROR(VLOOKUP(Proc[[#This Row],[App]],Table2[],3,0),"open")</f>
        <v>open</v>
      </c>
      <c r="C3837" s="138" t="s">
        <v>369</v>
      </c>
      <c r="D3837" t="s">
        <v>5967</v>
      </c>
      <c r="E3837" t="s">
        <v>6070</v>
      </c>
      <c r="F3837" s="129" t="s">
        <v>6070</v>
      </c>
      <c r="G3837" s="135" t="s">
        <v>406</v>
      </c>
      <c r="H3837" s="129" t="str">
        <f ca="1">IF(Proc[[#This Row],[type]]="LFF (MDG-F)",MID(Proc[[#This Row],[Obj]],13,10),"")</f>
        <v>JP01GFO301</v>
      </c>
      <c r="J3837" s="129" t="b">
        <f ca="1">Proc[[#This Row],[Requested]]=Proc[[#This Row],[CurrentParent]]</f>
        <v>1</v>
      </c>
      <c r="K3837" s="129" t="str">
        <f ca="1">IF(Proc[[#This Row],[Author]]="Marcela Urrego",VLOOKUP(LEFT(Proc[[#This Row],[Requested]],1),Table3[#All],2,0),VLOOKUP(Proc[[#This Row],[Author]],Table4[],2,0))</f>
        <v>EL</v>
      </c>
      <c r="L3837" s="129" t="s">
        <v>4896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10</v>
      </c>
      <c r="R3837" s="136" t="s">
        <v>6090</v>
      </c>
      <c r="S3837" s="129"/>
    </row>
    <row r="3838" spans="1:19" hidden="1">
      <c r="A3838" s="135" t="s">
        <v>6089</v>
      </c>
      <c r="B3838" s="138" t="str">
        <f ca="1">IFERROR(VLOOKUP(Proc[[#This Row],[App]],Table2[],3,0),"open")</f>
        <v>open</v>
      </c>
      <c r="C3838" s="138" t="s">
        <v>369</v>
      </c>
      <c r="D3838" t="s">
        <v>5968</v>
      </c>
      <c r="E3838" t="s">
        <v>6072</v>
      </c>
      <c r="F3838" s="129" t="s">
        <v>6072</v>
      </c>
      <c r="G3838" s="135" t="s">
        <v>406</v>
      </c>
      <c r="H3838" s="129" t="str">
        <f ca="1">IF(Proc[[#This Row],[type]]="LFF (MDG-F)",MID(Proc[[#This Row],[Obj]],13,10),"")</f>
        <v>JP01GHR301</v>
      </c>
      <c r="J3838" s="129" t="b">
        <f ca="1">Proc[[#This Row],[Requested]]=Proc[[#This Row],[CurrentParent]]</f>
        <v>1</v>
      </c>
      <c r="K3838" s="129" t="str">
        <f ca="1">IF(Proc[[#This Row],[Author]]="Marcela Urrego",VLOOKUP(LEFT(Proc[[#This Row],[Requested]],1),Table3[#All],2,0),VLOOKUP(Proc[[#This Row],[Author]],Table4[],2,0))</f>
        <v>EL</v>
      </c>
      <c r="L3838" s="129" t="s">
        <v>4896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10</v>
      </c>
      <c r="R3838" s="136" t="s">
        <v>6090</v>
      </c>
      <c r="S3838" s="129"/>
    </row>
    <row r="3839" spans="1:19" hidden="1">
      <c r="A3839" s="135" t="s">
        <v>6089</v>
      </c>
      <c r="B3839" s="138" t="str">
        <f ca="1">IFERROR(VLOOKUP(Proc[[#This Row],[App]],Table2[],3,0),"open")</f>
        <v>open</v>
      </c>
      <c r="C3839" s="138" t="s">
        <v>369</v>
      </c>
      <c r="D3839" t="s">
        <v>5969</v>
      </c>
      <c r="E3839" t="s">
        <v>6072</v>
      </c>
      <c r="F3839" s="129" t="s">
        <v>6072</v>
      </c>
      <c r="G3839" s="135" t="s">
        <v>406</v>
      </c>
      <c r="H3839" s="129" t="str">
        <f ca="1">IF(Proc[[#This Row],[type]]="LFF (MDG-F)",MID(Proc[[#This Row],[Obj]],13,10),"")</f>
        <v>JP01GHR303</v>
      </c>
      <c r="J3839" s="129" t="b">
        <f ca="1">Proc[[#This Row],[Requested]]=Proc[[#This Row],[CurrentParent]]</f>
        <v>1</v>
      </c>
      <c r="K3839" s="129" t="str">
        <f ca="1">IF(Proc[[#This Row],[Author]]="Marcela Urrego",VLOOKUP(LEFT(Proc[[#This Row],[Requested]],1),Table3[#All],2,0),VLOOKUP(Proc[[#This Row],[Author]],Table4[],2,0))</f>
        <v>EL</v>
      </c>
      <c r="L3839" s="129" t="s">
        <v>4896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10</v>
      </c>
      <c r="R3839" s="136" t="s">
        <v>6090</v>
      </c>
      <c r="S3839" s="129"/>
    </row>
    <row r="3840" spans="1:19" hidden="1">
      <c r="A3840" s="135" t="s">
        <v>6089</v>
      </c>
      <c r="B3840" s="138" t="str">
        <f ca="1">IFERROR(VLOOKUP(Proc[[#This Row],[App]],Table2[],3,0),"open")</f>
        <v>open</v>
      </c>
      <c r="C3840" s="138" t="s">
        <v>369</v>
      </c>
      <c r="D3840" t="s">
        <v>5970</v>
      </c>
      <c r="E3840" t="s">
        <v>6069</v>
      </c>
      <c r="F3840" s="129" t="s">
        <v>6069</v>
      </c>
      <c r="G3840" s="135" t="s">
        <v>406</v>
      </c>
      <c r="H3840" s="129" t="str">
        <f ca="1">IF(Proc[[#This Row],[type]]="LFF (MDG-F)",MID(Proc[[#This Row],[Obj]],13,10),"")</f>
        <v>JP01GIT01B</v>
      </c>
      <c r="J3840" s="129" t="b">
        <f ca="1">Proc[[#This Row],[Requested]]=Proc[[#This Row],[CurrentParent]]</f>
        <v>1</v>
      </c>
      <c r="K3840" s="129" t="str">
        <f ca="1">IF(Proc[[#This Row],[Author]]="Marcela Urrego",VLOOKUP(LEFT(Proc[[#This Row],[Requested]],1),Table3[#All],2,0),VLOOKUP(Proc[[#This Row],[Author]],Table4[],2,0))</f>
        <v>EL</v>
      </c>
      <c r="L3840" s="129" t="s">
        <v>4896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10</v>
      </c>
      <c r="R3840" s="136" t="s">
        <v>6090</v>
      </c>
      <c r="S3840" s="129"/>
    </row>
    <row r="3841" spans="1:19" hidden="1">
      <c r="A3841" s="135" t="s">
        <v>6089</v>
      </c>
      <c r="B3841" s="138" t="str">
        <f ca="1">IFERROR(VLOOKUP(Proc[[#This Row],[App]],Table2[],3,0),"open")</f>
        <v>open</v>
      </c>
      <c r="C3841" s="138" t="s">
        <v>369</v>
      </c>
      <c r="D3841" t="s">
        <v>5971</v>
      </c>
      <c r="E3841" t="s">
        <v>6073</v>
      </c>
      <c r="F3841" s="129" t="s">
        <v>6073</v>
      </c>
      <c r="G3841" s="135" t="s">
        <v>406</v>
      </c>
      <c r="H3841" s="129" t="str">
        <f ca="1">IF(Proc[[#This Row],[type]]="LFF (MDG-F)",MID(Proc[[#This Row],[Obj]],13,10),"")</f>
        <v>JP01GLE301</v>
      </c>
      <c r="J3841" s="129" t="b">
        <f ca="1">Proc[[#This Row],[Requested]]=Proc[[#This Row],[CurrentParent]]</f>
        <v>1</v>
      </c>
      <c r="K3841" s="129" t="str">
        <f ca="1">IF(Proc[[#This Row],[Author]]="Marcela Urrego",VLOOKUP(LEFT(Proc[[#This Row],[Requested]],1),Table3[#All],2,0),VLOOKUP(Proc[[#This Row],[Author]],Table4[],2,0))</f>
        <v>EL</v>
      </c>
      <c r="L3841" s="129" t="s">
        <v>4896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10</v>
      </c>
      <c r="R3841" s="136" t="s">
        <v>6090</v>
      </c>
      <c r="S3841" s="129"/>
    </row>
    <row r="3842" spans="1:19" hidden="1">
      <c r="A3842" s="135" t="s">
        <v>6089</v>
      </c>
      <c r="B3842" s="138" t="str">
        <f ca="1">IFERROR(VLOOKUP(Proc[[#This Row],[App]],Table2[],3,0),"open")</f>
        <v>open</v>
      </c>
      <c r="C3842" s="138" t="s">
        <v>369</v>
      </c>
      <c r="D3842" t="s">
        <v>5972</v>
      </c>
      <c r="E3842" t="s">
        <v>6073</v>
      </c>
      <c r="F3842" s="129" t="s">
        <v>6073</v>
      </c>
      <c r="G3842" s="135" t="s">
        <v>406</v>
      </c>
      <c r="H3842" s="129" t="str">
        <f ca="1">IF(Proc[[#This Row],[type]]="LFF (MDG-F)",MID(Proc[[#This Row],[Obj]],13,10),"")</f>
        <v>JP01GLE302</v>
      </c>
      <c r="J3842" s="129" t="b">
        <f ca="1">Proc[[#This Row],[Requested]]=Proc[[#This Row],[CurrentParent]]</f>
        <v>1</v>
      </c>
      <c r="K3842" s="129" t="str">
        <f ca="1">IF(Proc[[#This Row],[Author]]="Marcela Urrego",VLOOKUP(LEFT(Proc[[#This Row],[Requested]],1),Table3[#All],2,0),VLOOKUP(Proc[[#This Row],[Author]],Table4[],2,0))</f>
        <v>EL</v>
      </c>
      <c r="L3842" s="129" t="s">
        <v>4896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10</v>
      </c>
      <c r="R3842" s="136" t="s">
        <v>6090</v>
      </c>
      <c r="S3842" s="129"/>
    </row>
    <row r="3843" spans="1:19" hidden="1">
      <c r="A3843" s="135" t="s">
        <v>6089</v>
      </c>
      <c r="B3843" s="138" t="str">
        <f ca="1">IFERROR(VLOOKUP(Proc[[#This Row],[App]],Table2[],3,0),"open")</f>
        <v>open</v>
      </c>
      <c r="C3843" s="138" t="s">
        <v>369</v>
      </c>
      <c r="D3843" t="s">
        <v>5973</v>
      </c>
      <c r="E3843" t="s">
        <v>6062</v>
      </c>
      <c r="F3843" s="129" t="s">
        <v>6062</v>
      </c>
      <c r="G3843" s="135" t="s">
        <v>406</v>
      </c>
      <c r="H3843" s="129" t="str">
        <f ca="1">IF(Proc[[#This Row],[type]]="LFF (MDG-F)",MID(Proc[[#This Row],[Obj]],13,10),"")</f>
        <v>JP01GM1002</v>
      </c>
      <c r="J3843" s="129" t="b">
        <f ca="1">Proc[[#This Row],[Requested]]=Proc[[#This Row],[CurrentParent]]</f>
        <v>1</v>
      </c>
      <c r="K3843" s="129" t="str">
        <f ca="1">IF(Proc[[#This Row],[Author]]="Marcela Urrego",VLOOKUP(LEFT(Proc[[#This Row],[Requested]],1),Table3[#All],2,0),VLOOKUP(Proc[[#This Row],[Author]],Table4[],2,0))</f>
        <v>EL</v>
      </c>
      <c r="L3843" s="129" t="s">
        <v>4896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10</v>
      </c>
      <c r="R3843" s="136" t="s">
        <v>6090</v>
      </c>
      <c r="S3843" s="129"/>
    </row>
    <row r="3844" spans="1:19" hidden="1">
      <c r="A3844" s="135" t="s">
        <v>6089</v>
      </c>
      <c r="B3844" s="138" t="str">
        <f ca="1">IFERROR(VLOOKUP(Proc[[#This Row],[App]],Table2[],3,0),"open")</f>
        <v>open</v>
      </c>
      <c r="C3844" s="138" t="s">
        <v>369</v>
      </c>
      <c r="D3844" t="s">
        <v>5974</v>
      </c>
      <c r="E3844" t="s">
        <v>6062</v>
      </c>
      <c r="F3844" s="129" t="s">
        <v>6062</v>
      </c>
      <c r="G3844" s="135" t="s">
        <v>406</v>
      </c>
      <c r="H3844" s="129" t="str">
        <f ca="1">IF(Proc[[#This Row],[type]]="LFF (MDG-F)",MID(Proc[[#This Row],[Obj]],13,10),"")</f>
        <v>JP01GM4001</v>
      </c>
      <c r="J3844" s="129" t="b">
        <f ca="1">Proc[[#This Row],[Requested]]=Proc[[#This Row],[CurrentParent]]</f>
        <v>1</v>
      </c>
      <c r="K3844" s="129" t="str">
        <f ca="1">IF(Proc[[#This Row],[Author]]="Marcela Urrego",VLOOKUP(LEFT(Proc[[#This Row],[Requested]],1),Table3[#All],2,0),VLOOKUP(Proc[[#This Row],[Author]],Table4[],2,0))</f>
        <v>EL</v>
      </c>
      <c r="L3844" s="129" t="s">
        <v>4896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10</v>
      </c>
      <c r="R3844" s="136" t="s">
        <v>6090</v>
      </c>
      <c r="S3844" s="129"/>
    </row>
    <row r="3845" spans="1:19" hidden="1">
      <c r="A3845" s="135" t="s">
        <v>6089</v>
      </c>
      <c r="B3845" s="138" t="str">
        <f ca="1">IFERROR(VLOOKUP(Proc[[#This Row],[App]],Table2[],3,0),"open")</f>
        <v>open</v>
      </c>
      <c r="C3845" s="138" t="s">
        <v>369</v>
      </c>
      <c r="D3845" t="s">
        <v>5975</v>
      </c>
      <c r="E3845" t="s">
        <v>6062</v>
      </c>
      <c r="F3845" s="129" t="s">
        <v>6062</v>
      </c>
      <c r="G3845" s="135" t="s">
        <v>406</v>
      </c>
      <c r="H3845" s="129" t="str">
        <f ca="1">IF(Proc[[#This Row],[type]]="LFF (MDG-F)",MID(Proc[[#This Row],[Obj]],13,10),"")</f>
        <v>JP01GM4002</v>
      </c>
      <c r="J3845" s="129" t="b">
        <f ca="1">Proc[[#This Row],[Requested]]=Proc[[#This Row],[CurrentParent]]</f>
        <v>1</v>
      </c>
      <c r="K3845" s="129" t="str">
        <f ca="1">IF(Proc[[#This Row],[Author]]="Marcela Urrego",VLOOKUP(LEFT(Proc[[#This Row],[Requested]],1),Table3[#All],2,0),VLOOKUP(Proc[[#This Row],[Author]],Table4[],2,0))</f>
        <v>EL</v>
      </c>
      <c r="L3845" s="129" t="s">
        <v>4896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10</v>
      </c>
      <c r="R3845" s="136" t="s">
        <v>6090</v>
      </c>
      <c r="S3845" s="129"/>
    </row>
    <row r="3846" spans="1:19" hidden="1">
      <c r="A3846" s="135" t="s">
        <v>6089</v>
      </c>
      <c r="B3846" s="138" t="str">
        <f ca="1">IFERROR(VLOOKUP(Proc[[#This Row],[App]],Table2[],3,0),"open")</f>
        <v>open</v>
      </c>
      <c r="C3846" s="138" t="s">
        <v>369</v>
      </c>
      <c r="D3846" t="s">
        <v>5976</v>
      </c>
      <c r="E3846" t="s">
        <v>6070</v>
      </c>
      <c r="F3846" s="129" t="s">
        <v>6070</v>
      </c>
      <c r="G3846" s="135" t="s">
        <v>406</v>
      </c>
      <c r="H3846" s="129" t="str">
        <f ca="1">IF(Proc[[#This Row],[type]]="LFF (MDG-F)",MID(Proc[[#This Row],[Obj]],13,10),"")</f>
        <v>JP01GM8001</v>
      </c>
      <c r="J3846" s="129" t="b">
        <f ca="1">Proc[[#This Row],[Requested]]=Proc[[#This Row],[CurrentParent]]</f>
        <v>1</v>
      </c>
      <c r="K3846" s="129" t="str">
        <f ca="1">IF(Proc[[#This Row],[Author]]="Marcela Urrego",VLOOKUP(LEFT(Proc[[#This Row],[Requested]],1),Table3[#All],2,0),VLOOKUP(Proc[[#This Row],[Author]],Table4[],2,0))</f>
        <v>EL</v>
      </c>
      <c r="L3846" s="129" t="s">
        <v>4896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10</v>
      </c>
      <c r="R3846" s="136" t="s">
        <v>6090</v>
      </c>
      <c r="S3846" s="129"/>
    </row>
    <row r="3847" spans="1:19" hidden="1">
      <c r="A3847" s="135" t="s">
        <v>6089</v>
      </c>
      <c r="B3847" s="138" t="str">
        <f ca="1">IFERROR(VLOOKUP(Proc[[#This Row],[App]],Table2[],3,0),"open")</f>
        <v>open</v>
      </c>
      <c r="C3847" s="138" t="s">
        <v>369</v>
      </c>
      <c r="D3847" t="s">
        <v>5977</v>
      </c>
      <c r="E3847" t="s">
        <v>6062</v>
      </c>
      <c r="F3847" s="129" t="s">
        <v>6062</v>
      </c>
      <c r="G3847" s="135" t="s">
        <v>406</v>
      </c>
      <c r="H3847" s="129" t="str">
        <f ca="1">IF(Proc[[#This Row],[type]]="LFF (MDG-F)",MID(Proc[[#This Row],[Obj]],13,10),"")</f>
        <v>JP01GM8002</v>
      </c>
      <c r="J3847" s="129" t="b">
        <f ca="1">Proc[[#This Row],[Requested]]=Proc[[#This Row],[CurrentParent]]</f>
        <v>1</v>
      </c>
      <c r="K3847" s="129" t="str">
        <f ca="1">IF(Proc[[#This Row],[Author]]="Marcela Urrego",VLOOKUP(LEFT(Proc[[#This Row],[Requested]],1),Table3[#All],2,0),VLOOKUP(Proc[[#This Row],[Author]],Table4[],2,0))</f>
        <v>EL</v>
      </c>
      <c r="L3847" s="129" t="s">
        <v>4896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10</v>
      </c>
      <c r="R3847" s="136" t="s">
        <v>6090</v>
      </c>
      <c r="S3847" s="129"/>
    </row>
    <row r="3848" spans="1:19" hidden="1">
      <c r="A3848" s="135" t="s">
        <v>6089</v>
      </c>
      <c r="B3848" s="138" t="str">
        <f ca="1">IFERROR(VLOOKUP(Proc[[#This Row],[App]],Table2[],3,0),"open")</f>
        <v>open</v>
      </c>
      <c r="C3848" s="138" t="s">
        <v>369</v>
      </c>
      <c r="D3848" t="s">
        <v>5978</v>
      </c>
      <c r="E3848" t="s">
        <v>6062</v>
      </c>
      <c r="F3848" s="129" t="s">
        <v>6062</v>
      </c>
      <c r="G3848" s="135" t="s">
        <v>406</v>
      </c>
      <c r="H3848" s="129" t="str">
        <f ca="1">IF(Proc[[#This Row],[type]]="LFF (MDG-F)",MID(Proc[[#This Row],[Obj]],13,10),"")</f>
        <v>JP01GMB040</v>
      </c>
      <c r="J3848" s="129" t="b">
        <f ca="1">Proc[[#This Row],[Requested]]=Proc[[#This Row],[CurrentParent]]</f>
        <v>1</v>
      </c>
      <c r="K3848" s="129" t="str">
        <f ca="1">IF(Proc[[#This Row],[Author]]="Marcela Urrego",VLOOKUP(LEFT(Proc[[#This Row],[Requested]],1),Table3[#All],2,0),VLOOKUP(Proc[[#This Row],[Author]],Table4[],2,0))</f>
        <v>EL</v>
      </c>
      <c r="L3848" s="129" t="s">
        <v>4896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10</v>
      </c>
      <c r="R3848" s="136" t="s">
        <v>6090</v>
      </c>
      <c r="S3848" s="129"/>
    </row>
    <row r="3849" spans="1:19" hidden="1">
      <c r="A3849" s="135" t="s">
        <v>6089</v>
      </c>
      <c r="B3849" s="138" t="str">
        <f ca="1">IFERROR(VLOOKUP(Proc[[#This Row],[App]],Table2[],3,0),"open")</f>
        <v>open</v>
      </c>
      <c r="C3849" s="138" t="s">
        <v>369</v>
      </c>
      <c r="D3849" t="s">
        <v>5979</v>
      </c>
      <c r="E3849" t="s">
        <v>6062</v>
      </c>
      <c r="F3849" s="129" t="s">
        <v>6062</v>
      </c>
      <c r="G3849" s="135" t="s">
        <v>406</v>
      </c>
      <c r="H3849" s="129" t="str">
        <f ca="1">IF(Proc[[#This Row],[type]]="LFF (MDG-F)",MID(Proc[[#This Row],[Obj]],13,10),"")</f>
        <v>JP01GMW080</v>
      </c>
      <c r="J3849" s="129" t="b">
        <f ca="1">Proc[[#This Row],[Requested]]=Proc[[#This Row],[CurrentParent]]</f>
        <v>1</v>
      </c>
      <c r="K3849" s="129" t="str">
        <f ca="1">IF(Proc[[#This Row],[Author]]="Marcela Urrego",VLOOKUP(LEFT(Proc[[#This Row],[Requested]],1),Table3[#All],2,0),VLOOKUP(Proc[[#This Row],[Author]],Table4[],2,0))</f>
        <v>EL</v>
      </c>
      <c r="L3849" s="129" t="s">
        <v>4896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10</v>
      </c>
      <c r="R3849" s="136" t="s">
        <v>6090</v>
      </c>
      <c r="S3849" s="129"/>
    </row>
    <row r="3850" spans="1:19" hidden="1">
      <c r="A3850" s="135" t="s">
        <v>6089</v>
      </c>
      <c r="B3850" s="138" t="str">
        <f ca="1">IFERROR(VLOOKUP(Proc[[#This Row],[App]],Table2[],3,0),"open")</f>
        <v>open</v>
      </c>
      <c r="C3850" s="138" t="s">
        <v>369</v>
      </c>
      <c r="D3850" t="s">
        <v>5980</v>
      </c>
      <c r="E3850" t="s">
        <v>6074</v>
      </c>
      <c r="F3850" s="129" t="s">
        <v>6074</v>
      </c>
      <c r="G3850" s="135" t="s">
        <v>406</v>
      </c>
      <c r="H3850" s="129" t="str">
        <f ca="1">IF(Proc[[#This Row],[type]]="LFF (MDG-F)",MID(Proc[[#This Row],[Obj]],13,10),"")</f>
        <v>JP01GPO301</v>
      </c>
      <c r="J3850" s="129" t="b">
        <f ca="1">Proc[[#This Row],[Requested]]=Proc[[#This Row],[CurrentParent]]</f>
        <v>1</v>
      </c>
      <c r="K3850" s="129" t="str">
        <f ca="1">IF(Proc[[#This Row],[Author]]="Marcela Urrego",VLOOKUP(LEFT(Proc[[#This Row],[Requested]],1),Table3[#All],2,0),VLOOKUP(Proc[[#This Row],[Author]],Table4[],2,0))</f>
        <v>EL</v>
      </c>
      <c r="L3850" s="129" t="s">
        <v>4896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10</v>
      </c>
      <c r="R3850" s="136" t="s">
        <v>6090</v>
      </c>
      <c r="S3850" s="129"/>
    </row>
    <row r="3851" spans="1:19" hidden="1">
      <c r="A3851" s="135" t="s">
        <v>6089</v>
      </c>
      <c r="B3851" s="138" t="str">
        <f ca="1">IFERROR(VLOOKUP(Proc[[#This Row],[App]],Table2[],3,0),"open")</f>
        <v>open</v>
      </c>
      <c r="C3851" s="138" t="s">
        <v>369</v>
      </c>
      <c r="D3851" t="s">
        <v>5981</v>
      </c>
      <c r="E3851" t="s">
        <v>6074</v>
      </c>
      <c r="F3851" s="129" t="s">
        <v>6074</v>
      </c>
      <c r="G3851" s="135" t="s">
        <v>406</v>
      </c>
      <c r="H3851" s="129" t="str">
        <f ca="1">IF(Proc[[#This Row],[type]]="LFF (MDG-F)",MID(Proc[[#This Row],[Obj]],13,10),"")</f>
        <v>JP01GPO302</v>
      </c>
      <c r="J3851" s="129" t="b">
        <f ca="1">Proc[[#This Row],[Requested]]=Proc[[#This Row],[CurrentParent]]</f>
        <v>1</v>
      </c>
      <c r="K3851" s="129" t="str">
        <f ca="1">IF(Proc[[#This Row],[Author]]="Marcela Urrego",VLOOKUP(LEFT(Proc[[#This Row],[Requested]],1),Table3[#All],2,0),VLOOKUP(Proc[[#This Row],[Author]],Table4[],2,0))</f>
        <v>EL</v>
      </c>
      <c r="L3851" s="129" t="s">
        <v>4896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10</v>
      </c>
      <c r="R3851" s="136" t="s">
        <v>6090</v>
      </c>
      <c r="S3851" s="129"/>
    </row>
    <row r="3852" spans="1:19" hidden="1">
      <c r="A3852" s="135" t="s">
        <v>6089</v>
      </c>
      <c r="B3852" s="138" t="str">
        <f ca="1">IFERROR(VLOOKUP(Proc[[#This Row],[App]],Table2[],3,0),"open")</f>
        <v>open</v>
      </c>
      <c r="C3852" s="138" t="s">
        <v>369</v>
      </c>
      <c r="D3852" t="s">
        <v>5982</v>
      </c>
      <c r="E3852" t="s">
        <v>6070</v>
      </c>
      <c r="F3852" s="129" t="s">
        <v>6070</v>
      </c>
      <c r="G3852" s="135" t="s">
        <v>406</v>
      </c>
      <c r="H3852" s="129" t="str">
        <f ca="1">IF(Proc[[#This Row],[type]]="LFF (MDG-F)",MID(Proc[[#This Row],[Obj]],13,10),"")</f>
        <v>JP01GPO303</v>
      </c>
      <c r="J3852" s="129" t="b">
        <f ca="1">Proc[[#This Row],[Requested]]=Proc[[#This Row],[CurrentParent]]</f>
        <v>1</v>
      </c>
      <c r="K3852" s="129" t="str">
        <f ca="1">IF(Proc[[#This Row],[Author]]="Marcela Urrego",VLOOKUP(LEFT(Proc[[#This Row],[Requested]],1),Table3[#All],2,0),VLOOKUP(Proc[[#This Row],[Author]],Table4[],2,0))</f>
        <v>EL</v>
      </c>
      <c r="L3852" s="129" t="s">
        <v>4896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10</v>
      </c>
      <c r="R3852" s="136" t="s">
        <v>6090</v>
      </c>
      <c r="S3852" s="129"/>
    </row>
    <row r="3853" spans="1:19" hidden="1">
      <c r="A3853" s="135" t="s">
        <v>6089</v>
      </c>
      <c r="B3853" s="138" t="str">
        <f ca="1">IFERROR(VLOOKUP(Proc[[#This Row],[App]],Table2[],3,0),"open")</f>
        <v>open</v>
      </c>
      <c r="C3853" s="138" t="s">
        <v>369</v>
      </c>
      <c r="D3853" t="s">
        <v>5983</v>
      </c>
      <c r="E3853" t="s">
        <v>6075</v>
      </c>
      <c r="F3853" s="129" t="s">
        <v>6075</v>
      </c>
      <c r="G3853" s="135" t="s">
        <v>406</v>
      </c>
      <c r="H3853" s="129" t="str">
        <f ca="1">IF(Proc[[#This Row],[type]]="LFF (MDG-F)",MID(Proc[[#This Row],[Obj]],13,10),"")</f>
        <v>JP01GPS302</v>
      </c>
      <c r="J3853" s="129" t="b">
        <f ca="1">Proc[[#This Row],[Requested]]=Proc[[#This Row],[CurrentParent]]</f>
        <v>1</v>
      </c>
      <c r="K3853" s="129" t="str">
        <f ca="1">IF(Proc[[#This Row],[Author]]="Marcela Urrego",VLOOKUP(LEFT(Proc[[#This Row],[Requested]],1),Table3[#All],2,0),VLOOKUP(Proc[[#This Row],[Author]],Table4[],2,0))</f>
        <v>EL</v>
      </c>
      <c r="L3853" s="129" t="s">
        <v>4896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10</v>
      </c>
      <c r="R3853" s="136" t="s">
        <v>6090</v>
      </c>
      <c r="S3853" s="129"/>
    </row>
    <row r="3854" spans="1:19" hidden="1">
      <c r="A3854" s="135" t="s">
        <v>6089</v>
      </c>
      <c r="B3854" s="138" t="str">
        <f ca="1">IFERROR(VLOOKUP(Proc[[#This Row],[App]],Table2[],3,0),"open")</f>
        <v>open</v>
      </c>
      <c r="C3854" s="138" t="s">
        <v>369</v>
      </c>
      <c r="D3854" t="s">
        <v>5984</v>
      </c>
      <c r="E3854" t="s">
        <v>6069</v>
      </c>
      <c r="F3854" s="129" t="s">
        <v>6069</v>
      </c>
      <c r="G3854" s="135" t="s">
        <v>406</v>
      </c>
      <c r="H3854" s="129" t="str">
        <f ca="1">IF(Proc[[#This Row],[type]]="LFF (MDG-F)",MID(Proc[[#This Row],[Obj]],13,10),"")</f>
        <v>JP01GSQ013</v>
      </c>
      <c r="J3854" s="129" t="b">
        <f ca="1">Proc[[#This Row],[Requested]]=Proc[[#This Row],[CurrentParent]]</f>
        <v>1</v>
      </c>
      <c r="K3854" s="129" t="str">
        <f ca="1">IF(Proc[[#This Row],[Author]]="Marcela Urrego",VLOOKUP(LEFT(Proc[[#This Row],[Requested]],1),Table3[#All],2,0),VLOOKUP(Proc[[#This Row],[Author]],Table4[],2,0))</f>
        <v>EL</v>
      </c>
      <c r="L3854" s="129" t="s">
        <v>4896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10</v>
      </c>
      <c r="R3854" s="136" t="s">
        <v>6090</v>
      </c>
      <c r="S3854" s="129"/>
    </row>
    <row r="3855" spans="1:19" hidden="1">
      <c r="A3855" s="135" t="s">
        <v>6089</v>
      </c>
      <c r="B3855" s="138" t="str">
        <f ca="1">IFERROR(VLOOKUP(Proc[[#This Row],[App]],Table2[],3,0),"open")</f>
        <v>open</v>
      </c>
      <c r="C3855" s="138" t="s">
        <v>369</v>
      </c>
      <c r="D3855" t="s">
        <v>5985</v>
      </c>
      <c r="E3855" t="s">
        <v>6070</v>
      </c>
      <c r="F3855" s="129" t="s">
        <v>6070</v>
      </c>
      <c r="G3855" s="135" t="s">
        <v>406</v>
      </c>
      <c r="H3855" s="129" t="str">
        <f ca="1">IF(Proc[[#This Row],[type]]="LFF (MDG-F)",MID(Proc[[#This Row],[Obj]],13,10),"")</f>
        <v>JP01L1M001</v>
      </c>
      <c r="J3855" s="129" t="b">
        <f ca="1">Proc[[#This Row],[Requested]]=Proc[[#This Row],[CurrentParent]]</f>
        <v>1</v>
      </c>
      <c r="K3855" s="129" t="str">
        <f ca="1">IF(Proc[[#This Row],[Author]]="Marcela Urrego",VLOOKUP(LEFT(Proc[[#This Row],[Requested]],1),Table3[#All],2,0),VLOOKUP(Proc[[#This Row],[Author]],Table4[],2,0))</f>
        <v>EL</v>
      </c>
      <c r="L3855" s="129" t="s">
        <v>4896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10</v>
      </c>
      <c r="R3855" s="136" t="s">
        <v>6090</v>
      </c>
      <c r="S3855" s="129"/>
    </row>
    <row r="3856" spans="1:19" hidden="1">
      <c r="A3856" s="135" t="s">
        <v>6089</v>
      </c>
      <c r="B3856" s="138" t="str">
        <f ca="1">IFERROR(VLOOKUP(Proc[[#This Row],[App]],Table2[],3,0),"open")</f>
        <v>open</v>
      </c>
      <c r="C3856" s="138" t="s">
        <v>369</v>
      </c>
      <c r="D3856" t="s">
        <v>5986</v>
      </c>
      <c r="E3856" t="s">
        <v>6070</v>
      </c>
      <c r="F3856" s="129" t="s">
        <v>6070</v>
      </c>
      <c r="G3856" s="135" t="s">
        <v>406</v>
      </c>
      <c r="H3856" s="129" t="str">
        <f ca="1">IF(Proc[[#This Row],[type]]="LFF (MDG-F)",MID(Proc[[#This Row],[Obj]],13,10),"")</f>
        <v>JP01L3K302</v>
      </c>
      <c r="J3856" s="129" t="b">
        <f ca="1">Proc[[#This Row],[Requested]]=Proc[[#This Row],[CurrentParent]]</f>
        <v>1</v>
      </c>
      <c r="K3856" s="129" t="str">
        <f ca="1">IF(Proc[[#This Row],[Author]]="Marcela Urrego",VLOOKUP(LEFT(Proc[[#This Row],[Requested]],1),Table3[#All],2,0),VLOOKUP(Proc[[#This Row],[Author]],Table4[],2,0))</f>
        <v>EL</v>
      </c>
      <c r="L3856" s="129" t="s">
        <v>4896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10</v>
      </c>
      <c r="R3856" s="136" t="s">
        <v>6090</v>
      </c>
      <c r="S3856" s="129"/>
    </row>
    <row r="3857" spans="1:19" hidden="1">
      <c r="A3857" s="135" t="s">
        <v>6089</v>
      </c>
      <c r="B3857" s="138" t="str">
        <f ca="1">IFERROR(VLOOKUP(Proc[[#This Row],[App]],Table2[],3,0),"open")</f>
        <v>open</v>
      </c>
      <c r="C3857" s="138" t="s">
        <v>369</v>
      </c>
      <c r="D3857" t="s">
        <v>5987</v>
      </c>
      <c r="E3857" t="s">
        <v>6070</v>
      </c>
      <c r="F3857" s="129" t="s">
        <v>6070</v>
      </c>
      <c r="G3857" s="135" t="s">
        <v>406</v>
      </c>
      <c r="H3857" s="129" t="str">
        <f ca="1">IF(Proc[[#This Row],[type]]="LFF (MDG-F)",MID(Proc[[#This Row],[Obj]],13,10),"")</f>
        <v>JP01L3K304</v>
      </c>
      <c r="J3857" s="129" t="b">
        <f ca="1">Proc[[#This Row],[Requested]]=Proc[[#This Row],[CurrentParent]]</f>
        <v>1</v>
      </c>
      <c r="K3857" s="129" t="str">
        <f ca="1">IF(Proc[[#This Row],[Author]]="Marcela Urrego",VLOOKUP(LEFT(Proc[[#This Row],[Requested]],1),Table3[#All],2,0),VLOOKUP(Proc[[#This Row],[Author]],Table4[],2,0))</f>
        <v>EL</v>
      </c>
      <c r="L3857" s="129" t="s">
        <v>4896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10</v>
      </c>
      <c r="R3857" s="136" t="s">
        <v>6090</v>
      </c>
      <c r="S3857" s="129"/>
    </row>
    <row r="3858" spans="1:19" hidden="1">
      <c r="A3858" s="135" t="s">
        <v>6089</v>
      </c>
      <c r="B3858" s="138" t="str">
        <f ca="1">IFERROR(VLOOKUP(Proc[[#This Row],[App]],Table2[],3,0),"open")</f>
        <v>open</v>
      </c>
      <c r="C3858" s="138" t="s">
        <v>369</v>
      </c>
      <c r="D3858" t="s">
        <v>5988</v>
      </c>
      <c r="E3858" t="s">
        <v>6070</v>
      </c>
      <c r="F3858" s="129" t="s">
        <v>6070</v>
      </c>
      <c r="G3858" s="135" t="s">
        <v>406</v>
      </c>
      <c r="H3858" s="129" t="str">
        <f ca="1">IF(Proc[[#This Row],[type]]="LFF (MDG-F)",MID(Proc[[#This Row],[Obj]],13,10),"")</f>
        <v>JP01L3M301</v>
      </c>
      <c r="J3858" s="129" t="b">
        <f ca="1">Proc[[#This Row],[Requested]]=Proc[[#This Row],[CurrentParent]]</f>
        <v>1</v>
      </c>
      <c r="K3858" s="129" t="str">
        <f ca="1">IF(Proc[[#This Row],[Author]]="Marcela Urrego",VLOOKUP(LEFT(Proc[[#This Row],[Requested]],1),Table3[#All],2,0),VLOOKUP(Proc[[#This Row],[Author]],Table4[],2,0))</f>
        <v>EL</v>
      </c>
      <c r="L3858" s="129" t="s">
        <v>4896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10</v>
      </c>
      <c r="R3858" s="136" t="s">
        <v>6090</v>
      </c>
      <c r="S3858" s="129"/>
    </row>
    <row r="3859" spans="1:19" hidden="1">
      <c r="A3859" s="135" t="s">
        <v>6089</v>
      </c>
      <c r="B3859" s="138" t="str">
        <f ca="1">IFERROR(VLOOKUP(Proc[[#This Row],[App]],Table2[],3,0),"open")</f>
        <v>open</v>
      </c>
      <c r="C3859" s="138" t="s">
        <v>369</v>
      </c>
      <c r="D3859" t="s">
        <v>5989</v>
      </c>
      <c r="E3859" t="s">
        <v>6070</v>
      </c>
      <c r="F3859" s="129" t="s">
        <v>6070</v>
      </c>
      <c r="G3859" s="135" t="s">
        <v>406</v>
      </c>
      <c r="H3859" s="129" t="str">
        <f ca="1">IF(Proc[[#This Row],[type]]="LFF (MDG-F)",MID(Proc[[#This Row],[Obj]],13,10),"")</f>
        <v>JP01L3M303</v>
      </c>
      <c r="J3859" s="129" t="b">
        <f ca="1">Proc[[#This Row],[Requested]]=Proc[[#This Row],[CurrentParent]]</f>
        <v>1</v>
      </c>
      <c r="K3859" s="129" t="str">
        <f ca="1">IF(Proc[[#This Row],[Author]]="Marcela Urrego",VLOOKUP(LEFT(Proc[[#This Row],[Requested]],1),Table3[#All],2,0),VLOOKUP(Proc[[#This Row],[Author]],Table4[],2,0))</f>
        <v>EL</v>
      </c>
      <c r="L3859" s="129" t="s">
        <v>4896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10</v>
      </c>
      <c r="R3859" s="136" t="s">
        <v>6090</v>
      </c>
      <c r="S3859" s="129"/>
    </row>
    <row r="3860" spans="1:19" hidden="1">
      <c r="A3860" s="135" t="s">
        <v>6089</v>
      </c>
      <c r="B3860" s="138" t="str">
        <f ca="1">IFERROR(VLOOKUP(Proc[[#This Row],[App]],Table2[],3,0),"open")</f>
        <v>open</v>
      </c>
      <c r="C3860" s="138" t="s">
        <v>369</v>
      </c>
      <c r="D3860" t="s">
        <v>5990</v>
      </c>
      <c r="E3860" t="s">
        <v>6070</v>
      </c>
      <c r="F3860" s="129" t="s">
        <v>6070</v>
      </c>
      <c r="G3860" s="135" t="s">
        <v>406</v>
      </c>
      <c r="H3860" s="129" t="str">
        <f ca="1">IF(Proc[[#This Row],[type]]="LFF (MDG-F)",MID(Proc[[#This Row],[Obj]],13,10),"")</f>
        <v>JP01L4M301</v>
      </c>
      <c r="J3860" s="129" t="b">
        <f ca="1">Proc[[#This Row],[Requested]]=Proc[[#This Row],[CurrentParent]]</f>
        <v>1</v>
      </c>
      <c r="K3860" s="129" t="str">
        <f ca="1">IF(Proc[[#This Row],[Author]]="Marcela Urrego",VLOOKUP(LEFT(Proc[[#This Row],[Requested]],1),Table3[#All],2,0),VLOOKUP(Proc[[#This Row],[Author]],Table4[],2,0))</f>
        <v>EL</v>
      </c>
      <c r="L3860" s="129" t="s">
        <v>4896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10</v>
      </c>
      <c r="R3860" s="136" t="s">
        <v>6090</v>
      </c>
      <c r="S3860" s="129"/>
    </row>
    <row r="3861" spans="1:19" hidden="1">
      <c r="A3861" s="135" t="s">
        <v>6089</v>
      </c>
      <c r="B3861" s="138" t="str">
        <f ca="1">IFERROR(VLOOKUP(Proc[[#This Row],[App]],Table2[],3,0),"open")</f>
        <v>open</v>
      </c>
      <c r="C3861" s="138" t="s">
        <v>369</v>
      </c>
      <c r="D3861" t="s">
        <v>5991</v>
      </c>
      <c r="E3861" t="s">
        <v>6072</v>
      </c>
      <c r="F3861" s="129" t="s">
        <v>6072</v>
      </c>
      <c r="G3861" s="135" t="s">
        <v>406</v>
      </c>
      <c r="H3861" s="129" t="str">
        <f ca="1">IF(Proc[[#This Row],[type]]="LFF (MDG-F)",MID(Proc[[#This Row],[Obj]],13,10),"")</f>
        <v>JP01L4M302</v>
      </c>
      <c r="J3861" s="129" t="b">
        <f ca="1">Proc[[#This Row],[Requested]]=Proc[[#This Row],[CurrentParent]]</f>
        <v>1</v>
      </c>
      <c r="K3861" s="129" t="str">
        <f ca="1">IF(Proc[[#This Row],[Author]]="Marcela Urrego",VLOOKUP(LEFT(Proc[[#This Row],[Requested]],1),Table3[#All],2,0),VLOOKUP(Proc[[#This Row],[Author]],Table4[],2,0))</f>
        <v>EL</v>
      </c>
      <c r="L3861" s="129" t="s">
        <v>4896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10</v>
      </c>
      <c r="R3861" s="136" t="s">
        <v>6090</v>
      </c>
      <c r="S3861" s="129"/>
    </row>
    <row r="3862" spans="1:19" hidden="1">
      <c r="A3862" s="135" t="s">
        <v>6089</v>
      </c>
      <c r="B3862" s="138" t="str">
        <f ca="1">IFERROR(VLOOKUP(Proc[[#This Row],[App]],Table2[],3,0),"open")</f>
        <v>open</v>
      </c>
      <c r="C3862" s="138" t="s">
        <v>369</v>
      </c>
      <c r="D3862" t="s">
        <v>5992</v>
      </c>
      <c r="E3862" t="s">
        <v>6070</v>
      </c>
      <c r="F3862" s="129" t="s">
        <v>6070</v>
      </c>
      <c r="G3862" s="135" t="s">
        <v>406</v>
      </c>
      <c r="H3862" s="129" t="str">
        <f ca="1">IF(Proc[[#This Row],[type]]="LFF (MDG-F)",MID(Proc[[#This Row],[Obj]],13,10),"")</f>
        <v>JP01L5M301</v>
      </c>
      <c r="J3862" s="129" t="b">
        <f ca="1">Proc[[#This Row],[Requested]]=Proc[[#This Row],[CurrentParent]]</f>
        <v>1</v>
      </c>
      <c r="K3862" s="129" t="str">
        <f ca="1">IF(Proc[[#This Row],[Author]]="Marcela Urrego",VLOOKUP(LEFT(Proc[[#This Row],[Requested]],1),Table3[#All],2,0),VLOOKUP(Proc[[#This Row],[Author]],Table4[],2,0))</f>
        <v>EL</v>
      </c>
      <c r="L3862" s="129" t="s">
        <v>4896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10</v>
      </c>
      <c r="R3862" s="136" t="s">
        <v>6090</v>
      </c>
      <c r="S3862" s="129"/>
    </row>
    <row r="3863" spans="1:19" hidden="1">
      <c r="A3863" s="135" t="s">
        <v>6089</v>
      </c>
      <c r="B3863" s="138" t="str">
        <f ca="1">IFERROR(VLOOKUP(Proc[[#This Row],[App]],Table2[],3,0),"open")</f>
        <v>open</v>
      </c>
      <c r="C3863" s="138" t="s">
        <v>369</v>
      </c>
      <c r="D3863" t="s">
        <v>5993</v>
      </c>
      <c r="E3863" t="s">
        <v>6070</v>
      </c>
      <c r="F3863" s="129" t="s">
        <v>6070</v>
      </c>
      <c r="G3863" s="135" t="s">
        <v>406</v>
      </c>
      <c r="H3863" s="129" t="str">
        <f ca="1">IF(Proc[[#This Row],[type]]="LFF (MDG-F)",MID(Proc[[#This Row],[Obj]],13,10),"")</f>
        <v>JP01L5M302</v>
      </c>
      <c r="J3863" s="129" t="b">
        <f ca="1">Proc[[#This Row],[Requested]]=Proc[[#This Row],[CurrentParent]]</f>
        <v>1</v>
      </c>
      <c r="K3863" s="129" t="str">
        <f ca="1">IF(Proc[[#This Row],[Author]]="Marcela Urrego",VLOOKUP(LEFT(Proc[[#This Row],[Requested]],1),Table3[#All],2,0),VLOOKUP(Proc[[#This Row],[Author]],Table4[],2,0))</f>
        <v>EL</v>
      </c>
      <c r="L3863" s="129" t="s">
        <v>4896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10</v>
      </c>
      <c r="R3863" s="136" t="s">
        <v>6090</v>
      </c>
      <c r="S3863" s="129"/>
    </row>
    <row r="3864" spans="1:19" hidden="1">
      <c r="A3864" s="135" t="s">
        <v>6089</v>
      </c>
      <c r="B3864" s="138" t="str">
        <f ca="1">IFERROR(VLOOKUP(Proc[[#This Row],[App]],Table2[],3,0),"open")</f>
        <v>open</v>
      </c>
      <c r="C3864" s="138" t="s">
        <v>369</v>
      </c>
      <c r="D3864" t="s">
        <v>5994</v>
      </c>
      <c r="E3864" t="s">
        <v>6070</v>
      </c>
      <c r="F3864" s="129" t="s">
        <v>6070</v>
      </c>
      <c r="G3864" s="135" t="s">
        <v>406</v>
      </c>
      <c r="H3864" s="129" t="str">
        <f ca="1">IF(Proc[[#This Row],[type]]="LFF (MDG-F)",MID(Proc[[#This Row],[Obj]],13,10),"")</f>
        <v>JP01L7M301</v>
      </c>
      <c r="J3864" s="129" t="b">
        <f ca="1">Proc[[#This Row],[Requested]]=Proc[[#This Row],[CurrentParent]]</f>
        <v>1</v>
      </c>
      <c r="K3864" s="129" t="str">
        <f ca="1">IF(Proc[[#This Row],[Author]]="Marcela Urrego",VLOOKUP(LEFT(Proc[[#This Row],[Requested]],1),Table3[#All],2,0),VLOOKUP(Proc[[#This Row],[Author]],Table4[],2,0))</f>
        <v>EL</v>
      </c>
      <c r="L3864" s="129" t="s">
        <v>4896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10</v>
      </c>
      <c r="R3864" s="136" t="s">
        <v>6090</v>
      </c>
      <c r="S3864" s="129"/>
    </row>
    <row r="3865" spans="1:19" hidden="1">
      <c r="A3865" s="135" t="s">
        <v>6089</v>
      </c>
      <c r="B3865" s="138" t="str">
        <f ca="1">IFERROR(VLOOKUP(Proc[[#This Row],[App]],Table2[],3,0),"open")</f>
        <v>open</v>
      </c>
      <c r="C3865" s="138" t="s">
        <v>369</v>
      </c>
      <c r="D3865" t="s">
        <v>5995</v>
      </c>
      <c r="E3865" t="s">
        <v>6070</v>
      </c>
      <c r="F3865" s="129" t="s">
        <v>6070</v>
      </c>
      <c r="G3865" s="135" t="s">
        <v>406</v>
      </c>
      <c r="H3865" s="129" t="str">
        <f ca="1">IF(Proc[[#This Row],[type]]="LFF (MDG-F)",MID(Proc[[#This Row],[Obj]],13,10),"")</f>
        <v>JP01L7M302</v>
      </c>
      <c r="J3865" s="129" t="b">
        <f ca="1">Proc[[#This Row],[Requested]]=Proc[[#This Row],[CurrentParent]]</f>
        <v>1</v>
      </c>
      <c r="K3865" s="129" t="str">
        <f ca="1">IF(Proc[[#This Row],[Author]]="Marcela Urrego",VLOOKUP(LEFT(Proc[[#This Row],[Requested]],1),Table3[#All],2,0),VLOOKUP(Proc[[#This Row],[Author]],Table4[],2,0))</f>
        <v>EL</v>
      </c>
      <c r="L3865" s="129" t="s">
        <v>4896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10</v>
      </c>
      <c r="R3865" s="136" t="s">
        <v>6090</v>
      </c>
      <c r="S3865" s="129"/>
    </row>
    <row r="3866" spans="1:19" hidden="1">
      <c r="A3866" s="135" t="s">
        <v>6089</v>
      </c>
      <c r="B3866" s="138" t="str">
        <f ca="1">IFERROR(VLOOKUP(Proc[[#This Row],[App]],Table2[],3,0),"open")</f>
        <v>open</v>
      </c>
      <c r="C3866" s="138" t="s">
        <v>369</v>
      </c>
      <c r="D3866" t="s">
        <v>5996</v>
      </c>
      <c r="E3866" t="s">
        <v>6070</v>
      </c>
      <c r="F3866" s="129" t="s">
        <v>6070</v>
      </c>
      <c r="G3866" s="135" t="s">
        <v>406</v>
      </c>
      <c r="H3866" s="129" t="str">
        <f ca="1">IF(Proc[[#This Row],[type]]="LFF (MDG-F)",MID(Proc[[#This Row],[Obj]],13,10),"")</f>
        <v>JP01L7M303</v>
      </c>
      <c r="J3866" s="129" t="b">
        <f ca="1">Proc[[#This Row],[Requested]]=Proc[[#This Row],[CurrentParent]]</f>
        <v>1</v>
      </c>
      <c r="K3866" s="129" t="str">
        <f ca="1">IF(Proc[[#This Row],[Author]]="Marcela Urrego",VLOOKUP(LEFT(Proc[[#This Row],[Requested]],1),Table3[#All],2,0),VLOOKUP(Proc[[#This Row],[Author]],Table4[],2,0))</f>
        <v>EL</v>
      </c>
      <c r="L3866" s="129" t="s">
        <v>4896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10</v>
      </c>
      <c r="R3866" s="136" t="s">
        <v>6090</v>
      </c>
      <c r="S3866" s="129"/>
    </row>
    <row r="3867" spans="1:19" hidden="1">
      <c r="A3867" s="135" t="s">
        <v>6089</v>
      </c>
      <c r="B3867" s="138" t="str">
        <f ca="1">IFERROR(VLOOKUP(Proc[[#This Row],[App]],Table2[],3,0),"open")</f>
        <v>open</v>
      </c>
      <c r="C3867" s="138" t="s">
        <v>369</v>
      </c>
      <c r="D3867" t="s">
        <v>5997</v>
      </c>
      <c r="E3867" t="s">
        <v>6069</v>
      </c>
      <c r="F3867" s="129" t="s">
        <v>6069</v>
      </c>
      <c r="G3867" s="135" t="s">
        <v>406</v>
      </c>
      <c r="H3867" s="129" t="str">
        <f ca="1">IF(Proc[[#This Row],[type]]="LFF (MDG-F)",MID(Proc[[#This Row],[Obj]],13,10),"")</f>
        <v>JP01O05000</v>
      </c>
      <c r="J3867" s="129" t="b">
        <f ca="1">Proc[[#This Row],[Requested]]=Proc[[#This Row],[CurrentParent]]</f>
        <v>1</v>
      </c>
      <c r="K3867" s="129" t="str">
        <f ca="1">IF(Proc[[#This Row],[Author]]="Marcela Urrego",VLOOKUP(LEFT(Proc[[#This Row],[Requested]],1),Table3[#All],2,0),VLOOKUP(Proc[[#This Row],[Author]],Table4[],2,0))</f>
        <v>EL</v>
      </c>
      <c r="L3867" s="129" t="s">
        <v>4896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10</v>
      </c>
      <c r="R3867" s="136" t="s">
        <v>6090</v>
      </c>
      <c r="S3867" s="129"/>
    </row>
    <row r="3868" spans="1:19" hidden="1">
      <c r="A3868" s="135" t="s">
        <v>6089</v>
      </c>
      <c r="B3868" s="138" t="str">
        <f ca="1">IFERROR(VLOOKUP(Proc[[#This Row],[App]],Table2[],3,0),"open")</f>
        <v>open</v>
      </c>
      <c r="C3868" s="138" t="s">
        <v>369</v>
      </c>
      <c r="D3868" t="s">
        <v>5998</v>
      </c>
      <c r="E3868" t="s">
        <v>6069</v>
      </c>
      <c r="F3868" s="129" t="s">
        <v>6069</v>
      </c>
      <c r="G3868" s="135" t="s">
        <v>406</v>
      </c>
      <c r="H3868" s="129" t="str">
        <f ca="1">IF(Proc[[#This Row],[type]]="LFF (MDG-F)",MID(Proc[[#This Row],[Obj]],13,10),"")</f>
        <v>JP01O05001</v>
      </c>
      <c r="J3868" s="129" t="b">
        <f ca="1">Proc[[#This Row],[Requested]]=Proc[[#This Row],[CurrentParent]]</f>
        <v>1</v>
      </c>
      <c r="K3868" s="129" t="str">
        <f ca="1">IF(Proc[[#This Row],[Author]]="Marcela Urrego",VLOOKUP(LEFT(Proc[[#This Row],[Requested]],1),Table3[#All],2,0),VLOOKUP(Proc[[#This Row],[Author]],Table4[],2,0))</f>
        <v>EL</v>
      </c>
      <c r="L3868" s="129" t="s">
        <v>4896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10</v>
      </c>
      <c r="R3868" s="136" t="s">
        <v>6090</v>
      </c>
      <c r="S3868" s="129"/>
    </row>
    <row r="3869" spans="1:19" hidden="1">
      <c r="A3869" s="135" t="s">
        <v>6089</v>
      </c>
      <c r="B3869" s="138" t="str">
        <f ca="1">IFERROR(VLOOKUP(Proc[[#This Row],[App]],Table2[],3,0),"open")</f>
        <v>open</v>
      </c>
      <c r="C3869" s="138" t="s">
        <v>369</v>
      </c>
      <c r="D3869" t="s">
        <v>5999</v>
      </c>
      <c r="E3869" t="s">
        <v>6069</v>
      </c>
      <c r="F3869" s="129" t="s">
        <v>6069</v>
      </c>
      <c r="G3869" s="135" t="s">
        <v>406</v>
      </c>
      <c r="H3869" s="129" t="str">
        <f ca="1">IF(Proc[[#This Row],[type]]="LFF (MDG-F)",MID(Proc[[#This Row],[Obj]],13,10),"")</f>
        <v>JP01O05002</v>
      </c>
      <c r="J3869" s="129" t="b">
        <f ca="1">Proc[[#This Row],[Requested]]=Proc[[#This Row],[CurrentParent]]</f>
        <v>1</v>
      </c>
      <c r="K3869" s="129" t="str">
        <f ca="1">IF(Proc[[#This Row],[Author]]="Marcela Urrego",VLOOKUP(LEFT(Proc[[#This Row],[Requested]],1),Table3[#All],2,0),VLOOKUP(Proc[[#This Row],[Author]],Table4[],2,0))</f>
        <v>EL</v>
      </c>
      <c r="L3869" s="129" t="s">
        <v>4896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10</v>
      </c>
      <c r="R3869" s="136" t="s">
        <v>6090</v>
      </c>
      <c r="S3869" s="129"/>
    </row>
    <row r="3870" spans="1:19" hidden="1">
      <c r="A3870" s="135" t="s">
        <v>6089</v>
      </c>
      <c r="B3870" s="138" t="str">
        <f ca="1">IFERROR(VLOOKUP(Proc[[#This Row],[App]],Table2[],3,0),"open")</f>
        <v>open</v>
      </c>
      <c r="C3870" s="138" t="s">
        <v>369</v>
      </c>
      <c r="D3870" t="s">
        <v>6000</v>
      </c>
      <c r="E3870" t="s">
        <v>6069</v>
      </c>
      <c r="F3870" s="129" t="s">
        <v>6069</v>
      </c>
      <c r="G3870" s="135" t="s">
        <v>406</v>
      </c>
      <c r="H3870" s="129" t="str">
        <f ca="1">IF(Proc[[#This Row],[type]]="LFF (MDG-F)",MID(Proc[[#This Row],[Obj]],13,10),"")</f>
        <v>JP01O05003</v>
      </c>
      <c r="J3870" s="129" t="b">
        <f ca="1">Proc[[#This Row],[Requested]]=Proc[[#This Row],[CurrentParent]]</f>
        <v>1</v>
      </c>
      <c r="K3870" s="129" t="str">
        <f ca="1">IF(Proc[[#This Row],[Author]]="Marcela Urrego",VLOOKUP(LEFT(Proc[[#This Row],[Requested]],1),Table3[#All],2,0),VLOOKUP(Proc[[#This Row],[Author]],Table4[],2,0))</f>
        <v>EL</v>
      </c>
      <c r="L3870" s="129" t="s">
        <v>4896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10</v>
      </c>
      <c r="R3870" s="136" t="s">
        <v>6090</v>
      </c>
      <c r="S3870" s="129"/>
    </row>
    <row r="3871" spans="1:19" hidden="1">
      <c r="A3871" s="135" t="s">
        <v>6089</v>
      </c>
      <c r="B3871" s="138" t="str">
        <f ca="1">IFERROR(VLOOKUP(Proc[[#This Row],[App]],Table2[],3,0),"open")</f>
        <v>open</v>
      </c>
      <c r="C3871" s="138" t="s">
        <v>369</v>
      </c>
      <c r="D3871" t="s">
        <v>6001</v>
      </c>
      <c r="E3871" t="s">
        <v>6069</v>
      </c>
      <c r="F3871" s="129" t="s">
        <v>6069</v>
      </c>
      <c r="G3871" s="135" t="s">
        <v>406</v>
      </c>
      <c r="H3871" s="129" t="str">
        <f ca="1">IF(Proc[[#This Row],[type]]="LFF (MDG-F)",MID(Proc[[#This Row],[Obj]],13,10),"")</f>
        <v>JP01O05004</v>
      </c>
      <c r="J3871" s="129" t="b">
        <f ca="1">Proc[[#This Row],[Requested]]=Proc[[#This Row],[CurrentParent]]</f>
        <v>1</v>
      </c>
      <c r="K3871" s="129" t="str">
        <f ca="1">IF(Proc[[#This Row],[Author]]="Marcela Urrego",VLOOKUP(LEFT(Proc[[#This Row],[Requested]],1),Table3[#All],2,0),VLOOKUP(Proc[[#This Row],[Author]],Table4[],2,0))</f>
        <v>EL</v>
      </c>
      <c r="L3871" s="129" t="s">
        <v>4896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10</v>
      </c>
      <c r="R3871" s="136" t="s">
        <v>6090</v>
      </c>
      <c r="S3871" s="129"/>
    </row>
    <row r="3872" spans="1:19" hidden="1">
      <c r="A3872" s="135" t="s">
        <v>6089</v>
      </c>
      <c r="B3872" s="138" t="str">
        <f ca="1">IFERROR(VLOOKUP(Proc[[#This Row],[App]],Table2[],3,0),"open")</f>
        <v>open</v>
      </c>
      <c r="C3872" s="138" t="s">
        <v>369</v>
      </c>
      <c r="D3872" t="s">
        <v>6002</v>
      </c>
      <c r="E3872" t="s">
        <v>6075</v>
      </c>
      <c r="F3872" s="129" t="s">
        <v>6075</v>
      </c>
      <c r="G3872" s="135" t="s">
        <v>406</v>
      </c>
      <c r="H3872" s="129" t="str">
        <f ca="1">IF(Proc[[#This Row],[type]]="LFF (MDG-F)",MID(Proc[[#This Row],[Obj]],13,10),"")</f>
        <v>JP01OF0203</v>
      </c>
      <c r="J3872" s="129" t="b">
        <f ca="1">Proc[[#This Row],[Requested]]=Proc[[#This Row],[CurrentParent]]</f>
        <v>1</v>
      </c>
      <c r="K3872" s="129" t="str">
        <f ca="1">IF(Proc[[#This Row],[Author]]="Marcela Urrego",VLOOKUP(LEFT(Proc[[#This Row],[Requested]],1),Table3[#All],2,0),VLOOKUP(Proc[[#This Row],[Author]],Table4[],2,0))</f>
        <v>EL</v>
      </c>
      <c r="L3872" s="129" t="s">
        <v>4896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10</v>
      </c>
      <c r="R3872" s="136" t="s">
        <v>6090</v>
      </c>
      <c r="S3872" s="129"/>
    </row>
    <row r="3873" spans="1:19" hidden="1">
      <c r="A3873" s="135" t="s">
        <v>6089</v>
      </c>
      <c r="B3873" s="138" t="str">
        <f ca="1">IFERROR(VLOOKUP(Proc[[#This Row],[App]],Table2[],3,0),"open")</f>
        <v>open</v>
      </c>
      <c r="C3873" s="138" t="s">
        <v>369</v>
      </c>
      <c r="D3873" t="s">
        <v>6003</v>
      </c>
      <c r="E3873" t="s">
        <v>6068</v>
      </c>
      <c r="F3873" s="129" t="s">
        <v>6068</v>
      </c>
      <c r="G3873" s="135" t="s">
        <v>406</v>
      </c>
      <c r="H3873" s="129" t="str">
        <f ca="1">IF(Proc[[#This Row],[type]]="LFF (MDG-F)",MID(Proc[[#This Row],[Obj]],13,10),"")</f>
        <v>JP01R0O721</v>
      </c>
      <c r="J3873" s="129" t="b">
        <f ca="1">Proc[[#This Row],[Requested]]=Proc[[#This Row],[CurrentParent]]</f>
        <v>1</v>
      </c>
      <c r="K3873" s="129" t="str">
        <f ca="1">IF(Proc[[#This Row],[Author]]="Marcela Urrego",VLOOKUP(LEFT(Proc[[#This Row],[Requested]],1),Table3[#All],2,0),VLOOKUP(Proc[[#This Row],[Author]],Table4[],2,0))</f>
        <v>EL</v>
      </c>
      <c r="L3873" s="129" t="s">
        <v>4896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10</v>
      </c>
      <c r="R3873" s="136" t="s">
        <v>6090</v>
      </c>
      <c r="S3873" s="129"/>
    </row>
    <row r="3874" spans="1:19" hidden="1">
      <c r="A3874" s="135" t="s">
        <v>6089</v>
      </c>
      <c r="B3874" s="138" t="str">
        <f ca="1">IFERROR(VLOOKUP(Proc[[#This Row],[App]],Table2[],3,0),"open")</f>
        <v>open</v>
      </c>
      <c r="C3874" s="138" t="s">
        <v>369</v>
      </c>
      <c r="D3874" t="s">
        <v>6004</v>
      </c>
      <c r="E3874" t="s">
        <v>6076</v>
      </c>
      <c r="F3874" s="129" t="s">
        <v>6076</v>
      </c>
      <c r="G3874" s="135" t="s">
        <v>406</v>
      </c>
      <c r="H3874" s="129" t="str">
        <f ca="1">IF(Proc[[#This Row],[type]]="LFF (MDG-F)",MID(Proc[[#This Row],[Obj]],13,10),"")</f>
        <v>JP01TAOA00</v>
      </c>
      <c r="J3874" s="129" t="b">
        <f ca="1">Proc[[#This Row],[Requested]]=Proc[[#This Row],[CurrentParent]]</f>
        <v>1</v>
      </c>
      <c r="K3874" s="129" t="str">
        <f ca="1">IF(Proc[[#This Row],[Author]]="Marcela Urrego",VLOOKUP(LEFT(Proc[[#This Row],[Requested]],1),Table3[#All],2,0),VLOOKUP(Proc[[#This Row],[Author]],Table4[],2,0))</f>
        <v>EL</v>
      </c>
      <c r="L3874" s="129" t="s">
        <v>4896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10</v>
      </c>
      <c r="R3874" s="136" t="s">
        <v>6090</v>
      </c>
      <c r="S3874" s="129"/>
    </row>
    <row r="3875" spans="1:19" hidden="1">
      <c r="A3875" s="135" t="s">
        <v>6089</v>
      </c>
      <c r="B3875" s="138" t="str">
        <f ca="1">IFERROR(VLOOKUP(Proc[[#This Row],[App]],Table2[],3,0),"open")</f>
        <v>open</v>
      </c>
      <c r="C3875" s="138" t="s">
        <v>369</v>
      </c>
      <c r="D3875" t="s">
        <v>6005</v>
      </c>
      <c r="E3875" t="s">
        <v>6076</v>
      </c>
      <c r="F3875" s="129" t="s">
        <v>6076</v>
      </c>
      <c r="G3875" s="135" t="s">
        <v>406</v>
      </c>
      <c r="H3875" s="129" t="str">
        <f ca="1">IF(Proc[[#This Row],[type]]="LFF (MDG-F)",MID(Proc[[#This Row],[Obj]],13,10),"")</f>
        <v>JP01TAOA01</v>
      </c>
      <c r="J3875" s="129" t="b">
        <f ca="1">Proc[[#This Row],[Requested]]=Proc[[#This Row],[CurrentParent]]</f>
        <v>1</v>
      </c>
      <c r="K3875" s="129" t="str">
        <f ca="1">IF(Proc[[#This Row],[Author]]="Marcela Urrego",VLOOKUP(LEFT(Proc[[#This Row],[Requested]],1),Table3[#All],2,0),VLOOKUP(Proc[[#This Row],[Author]],Table4[],2,0))</f>
        <v>EL</v>
      </c>
      <c r="L3875" s="129" t="s">
        <v>4896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10</v>
      </c>
      <c r="R3875" s="136" t="s">
        <v>6090</v>
      </c>
      <c r="S3875" s="129"/>
    </row>
    <row r="3876" spans="1:19" hidden="1">
      <c r="A3876" s="135" t="s">
        <v>6089</v>
      </c>
      <c r="B3876" s="138" t="str">
        <f ca="1">IFERROR(VLOOKUP(Proc[[#This Row],[App]],Table2[],3,0),"open")</f>
        <v>open</v>
      </c>
      <c r="C3876" s="138" t="s">
        <v>369</v>
      </c>
      <c r="D3876" t="s">
        <v>6006</v>
      </c>
      <c r="E3876" t="s">
        <v>6076</v>
      </c>
      <c r="F3876" s="129" t="s">
        <v>6076</v>
      </c>
      <c r="G3876" s="135" t="s">
        <v>406</v>
      </c>
      <c r="H3876" s="129" t="str">
        <f ca="1">IF(Proc[[#This Row],[type]]="LFF (MDG-F)",MID(Proc[[#This Row],[Obj]],13,10),"")</f>
        <v>JP01TAOA99</v>
      </c>
      <c r="J3876" s="129" t="b">
        <f ca="1">Proc[[#This Row],[Requested]]=Proc[[#This Row],[CurrentParent]]</f>
        <v>1</v>
      </c>
      <c r="K3876" s="129" t="str">
        <f ca="1">IF(Proc[[#This Row],[Author]]="Marcela Urrego",VLOOKUP(LEFT(Proc[[#This Row],[Requested]],1),Table3[#All],2,0),VLOOKUP(Proc[[#This Row],[Author]],Table4[],2,0))</f>
        <v>EL</v>
      </c>
      <c r="L3876" s="129" t="s">
        <v>4896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10</v>
      </c>
      <c r="R3876" s="136" t="s">
        <v>6090</v>
      </c>
      <c r="S3876" s="129"/>
    </row>
    <row r="3877" spans="1:19" hidden="1">
      <c r="A3877" s="135" t="s">
        <v>6089</v>
      </c>
      <c r="B3877" s="138" t="str">
        <f ca="1">IFERROR(VLOOKUP(Proc[[#This Row],[App]],Table2[],3,0),"open")</f>
        <v>open</v>
      </c>
      <c r="C3877" s="138" t="s">
        <v>369</v>
      </c>
      <c r="D3877" t="s">
        <v>6007</v>
      </c>
      <c r="E3877" t="s">
        <v>6076</v>
      </c>
      <c r="F3877" s="129" t="s">
        <v>6076</v>
      </c>
      <c r="G3877" s="135" t="s">
        <v>406</v>
      </c>
      <c r="H3877" s="129" t="str">
        <f ca="1">IF(Proc[[#This Row],[type]]="LFF (MDG-F)",MID(Proc[[#This Row],[Obj]],13,10),"")</f>
        <v>JP01TAOB00</v>
      </c>
      <c r="J3877" s="129" t="b">
        <f ca="1">Proc[[#This Row],[Requested]]=Proc[[#This Row],[CurrentParent]]</f>
        <v>1</v>
      </c>
      <c r="K3877" s="129" t="str">
        <f ca="1">IF(Proc[[#This Row],[Author]]="Marcela Urrego",VLOOKUP(LEFT(Proc[[#This Row],[Requested]],1),Table3[#All],2,0),VLOOKUP(Proc[[#This Row],[Author]],Table4[],2,0))</f>
        <v>EL</v>
      </c>
      <c r="L3877" s="129" t="s">
        <v>4896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10</v>
      </c>
      <c r="R3877" s="136" t="s">
        <v>6090</v>
      </c>
      <c r="S3877" s="129"/>
    </row>
    <row r="3878" spans="1:19" hidden="1">
      <c r="A3878" s="135" t="s">
        <v>6089</v>
      </c>
      <c r="B3878" s="138" t="str">
        <f ca="1">IFERROR(VLOOKUP(Proc[[#This Row],[App]],Table2[],3,0),"open")</f>
        <v>open</v>
      </c>
      <c r="C3878" s="138" t="s">
        <v>369</v>
      </c>
      <c r="D3878" t="s">
        <v>6008</v>
      </c>
      <c r="E3878" t="s">
        <v>6076</v>
      </c>
      <c r="F3878" s="129" t="s">
        <v>6076</v>
      </c>
      <c r="G3878" s="135" t="s">
        <v>406</v>
      </c>
      <c r="H3878" s="129" t="str">
        <f ca="1">IF(Proc[[#This Row],[type]]="LFF (MDG-F)",MID(Proc[[#This Row],[Obj]],13,10),"")</f>
        <v>JP01TAOB01</v>
      </c>
      <c r="J3878" s="129" t="b">
        <f ca="1">Proc[[#This Row],[Requested]]=Proc[[#This Row],[CurrentParent]]</f>
        <v>1</v>
      </c>
      <c r="K3878" s="129" t="str">
        <f ca="1">IF(Proc[[#This Row],[Author]]="Marcela Urrego",VLOOKUP(LEFT(Proc[[#This Row],[Requested]],1),Table3[#All],2,0),VLOOKUP(Proc[[#This Row],[Author]],Table4[],2,0))</f>
        <v>EL</v>
      </c>
      <c r="L3878" s="129" t="s">
        <v>4896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10</v>
      </c>
      <c r="R3878" s="136" t="s">
        <v>6090</v>
      </c>
      <c r="S3878" s="129"/>
    </row>
    <row r="3879" spans="1:19" hidden="1">
      <c r="A3879" s="135" t="s">
        <v>6089</v>
      </c>
      <c r="B3879" s="138" t="str">
        <f ca="1">IFERROR(VLOOKUP(Proc[[#This Row],[App]],Table2[],3,0),"open")</f>
        <v>open</v>
      </c>
      <c r="C3879" s="138" t="s">
        <v>369</v>
      </c>
      <c r="D3879" t="s">
        <v>6009</v>
      </c>
      <c r="E3879" t="s">
        <v>6076</v>
      </c>
      <c r="F3879" s="129" t="s">
        <v>6076</v>
      </c>
      <c r="G3879" s="135" t="s">
        <v>406</v>
      </c>
      <c r="H3879" s="129" t="str">
        <f ca="1">IF(Proc[[#This Row],[type]]="LFF (MDG-F)",MID(Proc[[#This Row],[Obj]],13,10),"")</f>
        <v>JP01TAOB02</v>
      </c>
      <c r="J3879" s="129" t="b">
        <f ca="1">Proc[[#This Row],[Requested]]=Proc[[#This Row],[CurrentParent]]</f>
        <v>1</v>
      </c>
      <c r="K3879" s="129" t="str">
        <f ca="1">IF(Proc[[#This Row],[Author]]="Marcela Urrego",VLOOKUP(LEFT(Proc[[#This Row],[Requested]],1),Table3[#All],2,0),VLOOKUP(Proc[[#This Row],[Author]],Table4[],2,0))</f>
        <v>EL</v>
      </c>
      <c r="L3879" s="129" t="s">
        <v>4896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10</v>
      </c>
      <c r="R3879" s="136" t="s">
        <v>6090</v>
      </c>
      <c r="S3879" s="129"/>
    </row>
    <row r="3880" spans="1:19" hidden="1">
      <c r="A3880" s="135" t="s">
        <v>6089</v>
      </c>
      <c r="B3880" s="138" t="str">
        <f ca="1">IFERROR(VLOOKUP(Proc[[#This Row],[App]],Table2[],3,0),"open")</f>
        <v>open</v>
      </c>
      <c r="C3880" s="138" t="s">
        <v>369</v>
      </c>
      <c r="D3880" t="s">
        <v>6010</v>
      </c>
      <c r="E3880" t="s">
        <v>6076</v>
      </c>
      <c r="F3880" s="129" t="s">
        <v>6076</v>
      </c>
      <c r="G3880" s="135" t="s">
        <v>406</v>
      </c>
      <c r="H3880" s="129" t="str">
        <f ca="1">IF(Proc[[#This Row],[type]]="LFF (MDG-F)",MID(Proc[[#This Row],[Obj]],13,10),"")</f>
        <v>JP01TAOB99</v>
      </c>
      <c r="J3880" s="129" t="b">
        <f ca="1">Proc[[#This Row],[Requested]]=Proc[[#This Row],[CurrentParent]]</f>
        <v>1</v>
      </c>
      <c r="K3880" s="129" t="str">
        <f ca="1">IF(Proc[[#This Row],[Author]]="Marcela Urrego",VLOOKUP(LEFT(Proc[[#This Row],[Requested]],1),Table3[#All],2,0),VLOOKUP(Proc[[#This Row],[Author]],Table4[],2,0))</f>
        <v>EL</v>
      </c>
      <c r="L3880" s="129" t="s">
        <v>4896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10</v>
      </c>
      <c r="R3880" s="136" t="s">
        <v>6090</v>
      </c>
      <c r="S3880" s="129"/>
    </row>
    <row r="3881" spans="1:19" hidden="1">
      <c r="A3881" s="135" t="s">
        <v>6089</v>
      </c>
      <c r="B3881" s="138" t="str">
        <f ca="1">IFERROR(VLOOKUP(Proc[[#This Row],[App]],Table2[],3,0),"open")</f>
        <v>open</v>
      </c>
      <c r="C3881" s="138" t="s">
        <v>369</v>
      </c>
      <c r="D3881" t="s">
        <v>6011</v>
      </c>
      <c r="E3881" t="s">
        <v>6076</v>
      </c>
      <c r="F3881" s="129" t="s">
        <v>6076</v>
      </c>
      <c r="G3881" s="135" t="s">
        <v>406</v>
      </c>
      <c r="H3881" s="129" t="str">
        <f ca="1">IF(Proc[[#This Row],[type]]="LFF (MDG-F)",MID(Proc[[#This Row],[Obj]],13,10),"")</f>
        <v>JP01TAOC00</v>
      </c>
      <c r="J3881" s="129" t="b">
        <f ca="1">Proc[[#This Row],[Requested]]=Proc[[#This Row],[CurrentParent]]</f>
        <v>1</v>
      </c>
      <c r="K3881" s="129" t="str">
        <f ca="1">IF(Proc[[#This Row],[Author]]="Marcela Urrego",VLOOKUP(LEFT(Proc[[#This Row],[Requested]],1),Table3[#All],2,0),VLOOKUP(Proc[[#This Row],[Author]],Table4[],2,0))</f>
        <v>EL</v>
      </c>
      <c r="L3881" s="129" t="s">
        <v>4896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10</v>
      </c>
      <c r="R3881" s="136" t="s">
        <v>6090</v>
      </c>
      <c r="S3881" s="129"/>
    </row>
    <row r="3882" spans="1:19" hidden="1">
      <c r="A3882" s="135" t="s">
        <v>6089</v>
      </c>
      <c r="B3882" s="138" t="str">
        <f ca="1">IFERROR(VLOOKUP(Proc[[#This Row],[App]],Table2[],3,0),"open")</f>
        <v>open</v>
      </c>
      <c r="C3882" s="138" t="s">
        <v>369</v>
      </c>
      <c r="D3882" t="s">
        <v>6012</v>
      </c>
      <c r="E3882" t="s">
        <v>6076</v>
      </c>
      <c r="F3882" s="129" t="s">
        <v>6076</v>
      </c>
      <c r="G3882" s="135" t="s">
        <v>406</v>
      </c>
      <c r="H3882" s="129" t="str">
        <f ca="1">IF(Proc[[#This Row],[type]]="LFF (MDG-F)",MID(Proc[[#This Row],[Obj]],13,10),"")</f>
        <v>JP01TAOC01</v>
      </c>
      <c r="J3882" s="129" t="b">
        <f ca="1">Proc[[#This Row],[Requested]]=Proc[[#This Row],[CurrentParent]]</f>
        <v>1</v>
      </c>
      <c r="K3882" s="129" t="str">
        <f ca="1">IF(Proc[[#This Row],[Author]]="Marcela Urrego",VLOOKUP(LEFT(Proc[[#This Row],[Requested]],1),Table3[#All],2,0),VLOOKUP(Proc[[#This Row],[Author]],Table4[],2,0))</f>
        <v>EL</v>
      </c>
      <c r="L3882" s="129" t="s">
        <v>4896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10</v>
      </c>
      <c r="R3882" s="136" t="s">
        <v>6090</v>
      </c>
      <c r="S3882" s="129"/>
    </row>
    <row r="3883" spans="1:19" hidden="1">
      <c r="A3883" s="135" t="s">
        <v>6089</v>
      </c>
      <c r="B3883" s="138" t="str">
        <f ca="1">IFERROR(VLOOKUP(Proc[[#This Row],[App]],Table2[],3,0),"open")</f>
        <v>open</v>
      </c>
      <c r="C3883" s="138" t="s">
        <v>369</v>
      </c>
      <c r="D3883" t="s">
        <v>6013</v>
      </c>
      <c r="E3883" t="s">
        <v>6076</v>
      </c>
      <c r="F3883" s="129" t="s">
        <v>6076</v>
      </c>
      <c r="G3883" s="135" t="s">
        <v>406</v>
      </c>
      <c r="H3883" s="129" t="str">
        <f ca="1">IF(Proc[[#This Row],[type]]="LFF (MDG-F)",MID(Proc[[#This Row],[Obj]],13,10),"")</f>
        <v>JP01TAOC02</v>
      </c>
      <c r="J3883" s="129" t="b">
        <f ca="1">Proc[[#This Row],[Requested]]=Proc[[#This Row],[CurrentParent]]</f>
        <v>1</v>
      </c>
      <c r="K3883" s="129" t="str">
        <f ca="1">IF(Proc[[#This Row],[Author]]="Marcela Urrego",VLOOKUP(LEFT(Proc[[#This Row],[Requested]],1),Table3[#All],2,0),VLOOKUP(Proc[[#This Row],[Author]],Table4[],2,0))</f>
        <v>EL</v>
      </c>
      <c r="L3883" s="129" t="s">
        <v>4896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10</v>
      </c>
      <c r="R3883" s="136" t="s">
        <v>6090</v>
      </c>
      <c r="S3883" s="129"/>
    </row>
    <row r="3884" spans="1:19" hidden="1">
      <c r="A3884" s="135" t="s">
        <v>6089</v>
      </c>
      <c r="B3884" s="138" t="str">
        <f ca="1">IFERROR(VLOOKUP(Proc[[#This Row],[App]],Table2[],3,0),"open")</f>
        <v>open</v>
      </c>
      <c r="C3884" s="138" t="s">
        <v>369</v>
      </c>
      <c r="D3884" t="s">
        <v>6014</v>
      </c>
      <c r="E3884" t="s">
        <v>6076</v>
      </c>
      <c r="F3884" s="129" t="s">
        <v>6076</v>
      </c>
      <c r="G3884" s="135" t="s">
        <v>406</v>
      </c>
      <c r="H3884" s="129" t="str">
        <f ca="1">IF(Proc[[#This Row],[type]]="LFF (MDG-F)",MID(Proc[[#This Row],[Obj]],13,10),"")</f>
        <v>JP01TAOC03</v>
      </c>
      <c r="J3884" s="129" t="b">
        <f ca="1">Proc[[#This Row],[Requested]]=Proc[[#This Row],[CurrentParent]]</f>
        <v>1</v>
      </c>
      <c r="K3884" s="129" t="str">
        <f ca="1">IF(Proc[[#This Row],[Author]]="Marcela Urrego",VLOOKUP(LEFT(Proc[[#This Row],[Requested]],1),Table3[#All],2,0),VLOOKUP(Proc[[#This Row],[Author]],Table4[],2,0))</f>
        <v>EL</v>
      </c>
      <c r="L3884" s="129" t="s">
        <v>4896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10</v>
      </c>
      <c r="R3884" s="136" t="s">
        <v>6090</v>
      </c>
      <c r="S3884" s="129"/>
    </row>
    <row r="3885" spans="1:19" hidden="1">
      <c r="A3885" s="135" t="s">
        <v>6089</v>
      </c>
      <c r="B3885" s="138" t="str">
        <f ca="1">IFERROR(VLOOKUP(Proc[[#This Row],[App]],Table2[],3,0),"open")</f>
        <v>open</v>
      </c>
      <c r="C3885" s="138" t="s">
        <v>369</v>
      </c>
      <c r="D3885" t="s">
        <v>6015</v>
      </c>
      <c r="E3885" t="s">
        <v>6076</v>
      </c>
      <c r="F3885" s="129" t="s">
        <v>6076</v>
      </c>
      <c r="G3885" s="135" t="s">
        <v>406</v>
      </c>
      <c r="H3885" s="129" t="str">
        <f ca="1">IF(Proc[[#This Row],[type]]="LFF (MDG-F)",MID(Proc[[#This Row],[Obj]],13,10),"")</f>
        <v>JP01TAOC99</v>
      </c>
      <c r="J3885" s="129" t="b">
        <f ca="1">Proc[[#This Row],[Requested]]=Proc[[#This Row],[CurrentParent]]</f>
        <v>1</v>
      </c>
      <c r="K3885" s="129" t="str">
        <f ca="1">IF(Proc[[#This Row],[Author]]="Marcela Urrego",VLOOKUP(LEFT(Proc[[#This Row],[Requested]],1),Table3[#All],2,0),VLOOKUP(Proc[[#This Row],[Author]],Table4[],2,0))</f>
        <v>EL</v>
      </c>
      <c r="L3885" s="129" t="s">
        <v>4896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10</v>
      </c>
      <c r="R3885" s="136" t="s">
        <v>6090</v>
      </c>
      <c r="S3885" s="129"/>
    </row>
    <row r="3886" spans="1:19" hidden="1">
      <c r="A3886" s="135" t="s">
        <v>6089</v>
      </c>
      <c r="B3886" s="138" t="str">
        <f ca="1">IFERROR(VLOOKUP(Proc[[#This Row],[App]],Table2[],3,0),"open")</f>
        <v>open</v>
      </c>
      <c r="C3886" s="138" t="s">
        <v>369</v>
      </c>
      <c r="D3886" t="s">
        <v>6016</v>
      </c>
      <c r="E3886" t="s">
        <v>6076</v>
      </c>
      <c r="F3886" s="129" t="s">
        <v>6076</v>
      </c>
      <c r="G3886" s="135" t="s">
        <v>406</v>
      </c>
      <c r="H3886" s="129" t="str">
        <f ca="1">IF(Proc[[#This Row],[type]]="LFF (MDG-F)",MID(Proc[[#This Row],[Obj]],13,10),"")</f>
        <v>JP01TAOD00</v>
      </c>
      <c r="J3886" s="129" t="b">
        <f ca="1">Proc[[#This Row],[Requested]]=Proc[[#This Row],[CurrentParent]]</f>
        <v>1</v>
      </c>
      <c r="K3886" s="129" t="str">
        <f ca="1">IF(Proc[[#This Row],[Author]]="Marcela Urrego",VLOOKUP(LEFT(Proc[[#This Row],[Requested]],1),Table3[#All],2,0),VLOOKUP(Proc[[#This Row],[Author]],Table4[],2,0))</f>
        <v>EL</v>
      </c>
      <c r="L3886" s="129" t="s">
        <v>4896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10</v>
      </c>
      <c r="R3886" s="136" t="s">
        <v>6090</v>
      </c>
      <c r="S3886" s="129"/>
    </row>
    <row r="3887" spans="1:19" hidden="1">
      <c r="A3887" s="135" t="s">
        <v>6089</v>
      </c>
      <c r="B3887" s="138" t="str">
        <f ca="1">IFERROR(VLOOKUP(Proc[[#This Row],[App]],Table2[],3,0),"open")</f>
        <v>open</v>
      </c>
      <c r="C3887" s="138" t="s">
        <v>369</v>
      </c>
      <c r="D3887" t="s">
        <v>6017</v>
      </c>
      <c r="E3887" t="s">
        <v>6076</v>
      </c>
      <c r="F3887" s="129" t="s">
        <v>6076</v>
      </c>
      <c r="G3887" s="135" t="s">
        <v>406</v>
      </c>
      <c r="H3887" s="129" t="str">
        <f ca="1">IF(Proc[[#This Row],[type]]="LFF (MDG-F)",MID(Proc[[#This Row],[Obj]],13,10),"")</f>
        <v>JP01TAOD01</v>
      </c>
      <c r="J3887" s="129" t="b">
        <f ca="1">Proc[[#This Row],[Requested]]=Proc[[#This Row],[CurrentParent]]</f>
        <v>1</v>
      </c>
      <c r="K3887" s="129" t="str">
        <f ca="1">IF(Proc[[#This Row],[Author]]="Marcela Urrego",VLOOKUP(LEFT(Proc[[#This Row],[Requested]],1),Table3[#All],2,0),VLOOKUP(Proc[[#This Row],[Author]],Table4[],2,0))</f>
        <v>EL</v>
      </c>
      <c r="L3887" s="129" t="s">
        <v>4896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10</v>
      </c>
      <c r="R3887" s="136" t="s">
        <v>6090</v>
      </c>
      <c r="S3887" s="129"/>
    </row>
    <row r="3888" spans="1:19" hidden="1">
      <c r="A3888" s="135" t="s">
        <v>6089</v>
      </c>
      <c r="B3888" s="138" t="str">
        <f ca="1">IFERROR(VLOOKUP(Proc[[#This Row],[App]],Table2[],3,0),"open")</f>
        <v>open</v>
      </c>
      <c r="C3888" s="138" t="s">
        <v>369</v>
      </c>
      <c r="D3888" t="s">
        <v>6018</v>
      </c>
      <c r="E3888" t="s">
        <v>6076</v>
      </c>
      <c r="F3888" s="129" t="s">
        <v>6076</v>
      </c>
      <c r="G3888" s="135" t="s">
        <v>406</v>
      </c>
      <c r="H3888" s="129" t="str">
        <f ca="1">IF(Proc[[#This Row],[type]]="LFF (MDG-F)",MID(Proc[[#This Row],[Obj]],13,10),"")</f>
        <v>JP01TAOD02</v>
      </c>
      <c r="J3888" s="129" t="b">
        <f ca="1">Proc[[#This Row],[Requested]]=Proc[[#This Row],[CurrentParent]]</f>
        <v>1</v>
      </c>
      <c r="K3888" s="129" t="str">
        <f ca="1">IF(Proc[[#This Row],[Author]]="Marcela Urrego",VLOOKUP(LEFT(Proc[[#This Row],[Requested]],1),Table3[#All],2,0),VLOOKUP(Proc[[#This Row],[Author]],Table4[],2,0))</f>
        <v>EL</v>
      </c>
      <c r="L3888" s="129" t="s">
        <v>4896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10</v>
      </c>
      <c r="R3888" s="136" t="s">
        <v>6090</v>
      </c>
      <c r="S3888" s="129"/>
    </row>
    <row r="3889" spans="1:19" hidden="1">
      <c r="A3889" s="135" t="s">
        <v>6089</v>
      </c>
      <c r="B3889" s="138" t="str">
        <f ca="1">IFERROR(VLOOKUP(Proc[[#This Row],[App]],Table2[],3,0),"open")</f>
        <v>open</v>
      </c>
      <c r="C3889" s="138" t="s">
        <v>369</v>
      </c>
      <c r="D3889" t="s">
        <v>6019</v>
      </c>
      <c r="E3889" t="s">
        <v>6076</v>
      </c>
      <c r="F3889" s="129" t="s">
        <v>6076</v>
      </c>
      <c r="G3889" s="135" t="s">
        <v>406</v>
      </c>
      <c r="H3889" s="129" t="str">
        <f ca="1">IF(Proc[[#This Row],[type]]="LFF (MDG-F)",MID(Proc[[#This Row],[Obj]],13,10),"")</f>
        <v>JP01TAOD99</v>
      </c>
      <c r="J3889" s="129" t="b">
        <f ca="1">Proc[[#This Row],[Requested]]=Proc[[#This Row],[CurrentParent]]</f>
        <v>1</v>
      </c>
      <c r="K3889" s="129" t="str">
        <f ca="1">IF(Proc[[#This Row],[Author]]="Marcela Urrego",VLOOKUP(LEFT(Proc[[#This Row],[Requested]],1),Table3[#All],2,0),VLOOKUP(Proc[[#This Row],[Author]],Table4[],2,0))</f>
        <v>EL</v>
      </c>
      <c r="L3889" s="129" t="s">
        <v>4896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10</v>
      </c>
      <c r="R3889" s="136" t="s">
        <v>6090</v>
      </c>
      <c r="S3889" s="129"/>
    </row>
    <row r="3890" spans="1:19" hidden="1">
      <c r="A3890" s="135" t="s">
        <v>6089</v>
      </c>
      <c r="B3890" s="138" t="str">
        <f ca="1">IFERROR(VLOOKUP(Proc[[#This Row],[App]],Table2[],3,0),"open")</f>
        <v>open</v>
      </c>
      <c r="C3890" s="138" t="s">
        <v>369</v>
      </c>
      <c r="D3890" t="s">
        <v>6020</v>
      </c>
      <c r="E3890" t="s">
        <v>6076</v>
      </c>
      <c r="F3890" s="129" t="s">
        <v>6076</v>
      </c>
      <c r="G3890" s="135" t="s">
        <v>406</v>
      </c>
      <c r="H3890" s="129" t="str">
        <f ca="1">IF(Proc[[#This Row],[type]]="LFF (MDG-F)",MID(Proc[[#This Row],[Obj]],13,10),"")</f>
        <v>JP01TAOE00</v>
      </c>
      <c r="J3890" s="129" t="b">
        <f ca="1">Proc[[#This Row],[Requested]]=Proc[[#This Row],[CurrentParent]]</f>
        <v>1</v>
      </c>
      <c r="K3890" s="129" t="str">
        <f ca="1">IF(Proc[[#This Row],[Author]]="Marcela Urrego",VLOOKUP(LEFT(Proc[[#This Row],[Requested]],1),Table3[#All],2,0),VLOOKUP(Proc[[#This Row],[Author]],Table4[],2,0))</f>
        <v>EL</v>
      </c>
      <c r="L3890" s="129" t="s">
        <v>4896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10</v>
      </c>
      <c r="R3890" s="136" t="s">
        <v>6090</v>
      </c>
      <c r="S3890" s="129"/>
    </row>
    <row r="3891" spans="1:19" hidden="1">
      <c r="A3891" s="135" t="s">
        <v>6089</v>
      </c>
      <c r="B3891" s="138" t="str">
        <f ca="1">IFERROR(VLOOKUP(Proc[[#This Row],[App]],Table2[],3,0),"open")</f>
        <v>open</v>
      </c>
      <c r="C3891" s="138" t="s">
        <v>369</v>
      </c>
      <c r="D3891" t="s">
        <v>6021</v>
      </c>
      <c r="E3891" t="s">
        <v>6076</v>
      </c>
      <c r="F3891" s="129" t="s">
        <v>6076</v>
      </c>
      <c r="G3891" s="135" t="s">
        <v>406</v>
      </c>
      <c r="H3891" s="129" t="str">
        <f ca="1">IF(Proc[[#This Row],[type]]="LFF (MDG-F)",MID(Proc[[#This Row],[Obj]],13,10),"")</f>
        <v>JP01TAOE01</v>
      </c>
      <c r="J3891" s="129" t="b">
        <f ca="1">Proc[[#This Row],[Requested]]=Proc[[#This Row],[CurrentParent]]</f>
        <v>1</v>
      </c>
      <c r="K3891" s="129" t="str">
        <f ca="1">IF(Proc[[#This Row],[Author]]="Marcela Urrego",VLOOKUP(LEFT(Proc[[#This Row],[Requested]],1),Table3[#All],2,0),VLOOKUP(Proc[[#This Row],[Author]],Table4[],2,0))</f>
        <v>EL</v>
      </c>
      <c r="L3891" s="129" t="s">
        <v>4896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10</v>
      </c>
      <c r="R3891" s="136" t="s">
        <v>6090</v>
      </c>
      <c r="S3891" s="129"/>
    </row>
    <row r="3892" spans="1:19" hidden="1">
      <c r="A3892" s="135" t="s">
        <v>6089</v>
      </c>
      <c r="B3892" s="138" t="str">
        <f ca="1">IFERROR(VLOOKUP(Proc[[#This Row],[App]],Table2[],3,0),"open")</f>
        <v>open</v>
      </c>
      <c r="C3892" s="138" t="s">
        <v>369</v>
      </c>
      <c r="D3892" t="s">
        <v>6022</v>
      </c>
      <c r="E3892" t="s">
        <v>6076</v>
      </c>
      <c r="F3892" s="129" t="s">
        <v>6076</v>
      </c>
      <c r="G3892" s="135" t="s">
        <v>406</v>
      </c>
      <c r="H3892" s="129" t="str">
        <f ca="1">IF(Proc[[#This Row],[type]]="LFF (MDG-F)",MID(Proc[[#This Row],[Obj]],13,10),"")</f>
        <v>JP01TAOE99</v>
      </c>
      <c r="J3892" s="129" t="b">
        <f ca="1">Proc[[#This Row],[Requested]]=Proc[[#This Row],[CurrentParent]]</f>
        <v>1</v>
      </c>
      <c r="K3892" s="129" t="str">
        <f ca="1">IF(Proc[[#This Row],[Author]]="Marcela Urrego",VLOOKUP(LEFT(Proc[[#This Row],[Requested]],1),Table3[#All],2,0),VLOOKUP(Proc[[#This Row],[Author]],Table4[],2,0))</f>
        <v>EL</v>
      </c>
      <c r="L3892" s="129" t="s">
        <v>4896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10</v>
      </c>
      <c r="R3892" s="136" t="s">
        <v>6090</v>
      </c>
      <c r="S3892" s="129"/>
    </row>
    <row r="3893" spans="1:19" hidden="1">
      <c r="A3893" s="135" t="s">
        <v>6089</v>
      </c>
      <c r="B3893" s="138" t="str">
        <f ca="1">IFERROR(VLOOKUP(Proc[[#This Row],[App]],Table2[],3,0),"open")</f>
        <v>open</v>
      </c>
      <c r="C3893" s="138" t="s">
        <v>369</v>
      </c>
      <c r="D3893" t="s">
        <v>6023</v>
      </c>
      <c r="E3893" t="s">
        <v>6076</v>
      </c>
      <c r="F3893" s="129" t="s">
        <v>6076</v>
      </c>
      <c r="G3893" s="135" t="s">
        <v>406</v>
      </c>
      <c r="H3893" s="129" t="str">
        <f ca="1">IF(Proc[[#This Row],[type]]="LFF (MDG-F)",MID(Proc[[#This Row],[Obj]],13,10),"")</f>
        <v>JP01TAOZ01</v>
      </c>
      <c r="J3893" s="129" t="b">
        <f ca="1">Proc[[#This Row],[Requested]]=Proc[[#This Row],[CurrentParent]]</f>
        <v>1</v>
      </c>
      <c r="K3893" s="129" t="str">
        <f ca="1">IF(Proc[[#This Row],[Author]]="Marcela Urrego",VLOOKUP(LEFT(Proc[[#This Row],[Requested]],1),Table3[#All],2,0),VLOOKUP(Proc[[#This Row],[Author]],Table4[],2,0))</f>
        <v>EL</v>
      </c>
      <c r="L3893" s="129" t="s">
        <v>4896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10</v>
      </c>
      <c r="R3893" s="136" t="s">
        <v>6090</v>
      </c>
      <c r="S3893" s="129"/>
    </row>
    <row r="3894" spans="1:19" hidden="1">
      <c r="A3894" s="135" t="s">
        <v>6089</v>
      </c>
      <c r="B3894" s="138" t="str">
        <f ca="1">IFERROR(VLOOKUP(Proc[[#This Row],[App]],Table2[],3,0),"open")</f>
        <v>open</v>
      </c>
      <c r="C3894" s="138" t="s">
        <v>369</v>
      </c>
      <c r="D3894" t="s">
        <v>6024</v>
      </c>
      <c r="E3894" t="s">
        <v>6076</v>
      </c>
      <c r="F3894" s="129" t="s">
        <v>6076</v>
      </c>
      <c r="G3894" s="135" t="s">
        <v>406</v>
      </c>
      <c r="H3894" s="129" t="str">
        <f ca="1">IF(Proc[[#This Row],[type]]="LFF (MDG-F)",MID(Proc[[#This Row],[Obj]],13,10),"")</f>
        <v>JP01TAOZ02</v>
      </c>
      <c r="J3894" s="129" t="b">
        <f ca="1">Proc[[#This Row],[Requested]]=Proc[[#This Row],[CurrentParent]]</f>
        <v>1</v>
      </c>
      <c r="K3894" s="129" t="str">
        <f ca="1">IF(Proc[[#This Row],[Author]]="Marcela Urrego",VLOOKUP(LEFT(Proc[[#This Row],[Requested]],1),Table3[#All],2,0),VLOOKUP(Proc[[#This Row],[Author]],Table4[],2,0))</f>
        <v>EL</v>
      </c>
      <c r="L3894" s="129" t="s">
        <v>4896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10</v>
      </c>
      <c r="R3894" s="136" t="s">
        <v>6090</v>
      </c>
      <c r="S3894" s="129"/>
    </row>
    <row r="3895" spans="1:19" hidden="1">
      <c r="A3895" s="135" t="s">
        <v>6089</v>
      </c>
      <c r="B3895" s="138" t="str">
        <f ca="1">IFERROR(VLOOKUP(Proc[[#This Row],[App]],Table2[],3,0),"open")</f>
        <v>open</v>
      </c>
      <c r="C3895" s="138" t="s">
        <v>369</v>
      </c>
      <c r="D3895" t="s">
        <v>6025</v>
      </c>
      <c r="E3895" t="s">
        <v>6076</v>
      </c>
      <c r="F3895" s="129" t="s">
        <v>6076</v>
      </c>
      <c r="G3895" s="135" t="s">
        <v>406</v>
      </c>
      <c r="H3895" s="129" t="str">
        <f ca="1">IF(Proc[[#This Row],[type]]="LFF (MDG-F)",MID(Proc[[#This Row],[Obj]],13,10),"")</f>
        <v>JP01TAOZ03</v>
      </c>
      <c r="J3895" s="129" t="b">
        <f ca="1">Proc[[#This Row],[Requested]]=Proc[[#This Row],[CurrentParent]]</f>
        <v>1</v>
      </c>
      <c r="K3895" s="129" t="str">
        <f ca="1">IF(Proc[[#This Row],[Author]]="Marcela Urrego",VLOOKUP(LEFT(Proc[[#This Row],[Requested]],1),Table3[#All],2,0),VLOOKUP(Proc[[#This Row],[Author]],Table4[],2,0))</f>
        <v>EL</v>
      </c>
      <c r="L3895" s="129" t="s">
        <v>4896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10</v>
      </c>
      <c r="R3895" s="136" t="s">
        <v>6090</v>
      </c>
      <c r="S3895" s="129"/>
    </row>
    <row r="3896" spans="1:19" hidden="1">
      <c r="A3896" s="135" t="s">
        <v>6089</v>
      </c>
      <c r="B3896" s="138" t="str">
        <f ca="1">IFERROR(VLOOKUP(Proc[[#This Row],[App]],Table2[],3,0),"open")</f>
        <v>open</v>
      </c>
      <c r="C3896" s="138" t="s">
        <v>369</v>
      </c>
      <c r="D3896" t="s">
        <v>6026</v>
      </c>
      <c r="E3896" t="s">
        <v>6076</v>
      </c>
      <c r="F3896" s="129" t="s">
        <v>6076</v>
      </c>
      <c r="G3896" s="135" t="s">
        <v>406</v>
      </c>
      <c r="H3896" s="129" t="str">
        <f ca="1">IF(Proc[[#This Row],[type]]="LFF (MDG-F)",MID(Proc[[#This Row],[Obj]],13,10),"")</f>
        <v>JP01TAOZ04</v>
      </c>
      <c r="J3896" s="129" t="b">
        <f ca="1">Proc[[#This Row],[Requested]]=Proc[[#This Row],[CurrentParent]]</f>
        <v>1</v>
      </c>
      <c r="K3896" s="129" t="str">
        <f ca="1">IF(Proc[[#This Row],[Author]]="Marcela Urrego",VLOOKUP(LEFT(Proc[[#This Row],[Requested]],1),Table3[#All],2,0),VLOOKUP(Proc[[#This Row],[Author]],Table4[],2,0))</f>
        <v>EL</v>
      </c>
      <c r="L3896" s="129" t="s">
        <v>4896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10</v>
      </c>
      <c r="R3896" s="136" t="s">
        <v>6090</v>
      </c>
      <c r="S3896" s="129"/>
    </row>
    <row r="3897" spans="1:19" hidden="1">
      <c r="A3897" s="135" t="s">
        <v>6089</v>
      </c>
      <c r="B3897" s="138" t="str">
        <f ca="1">IFERROR(VLOOKUP(Proc[[#This Row],[App]],Table2[],3,0),"open")</f>
        <v>open</v>
      </c>
      <c r="C3897" s="138" t="s">
        <v>369</v>
      </c>
      <c r="D3897" t="s">
        <v>6027</v>
      </c>
      <c r="E3897" t="s">
        <v>6077</v>
      </c>
      <c r="F3897" s="129" t="s">
        <v>6077</v>
      </c>
      <c r="G3897" s="135" t="s">
        <v>406</v>
      </c>
      <c r="H3897" s="129" t="str">
        <f ca="1">IF(Proc[[#This Row],[type]]="LFF (MDG-F)",MID(Proc[[#This Row],[Obj]],13,10),"")</f>
        <v>JP01TAOZ05</v>
      </c>
      <c r="J3897" s="129" t="b">
        <f ca="1">Proc[[#This Row],[Requested]]=Proc[[#This Row],[CurrentParent]]</f>
        <v>1</v>
      </c>
      <c r="K3897" s="129" t="str">
        <f ca="1">IF(Proc[[#This Row],[Author]]="Marcela Urrego",VLOOKUP(LEFT(Proc[[#This Row],[Requested]],1),Table3[#All],2,0),VLOOKUP(Proc[[#This Row],[Author]],Table4[],2,0))</f>
        <v>EL</v>
      </c>
      <c r="L3897" s="129" t="s">
        <v>4896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10</v>
      </c>
      <c r="R3897" s="136" t="s">
        <v>6090</v>
      </c>
      <c r="S3897" s="129"/>
    </row>
    <row r="3898" spans="1:19" hidden="1">
      <c r="A3898" s="135" t="s">
        <v>6089</v>
      </c>
      <c r="B3898" s="138" t="str">
        <f ca="1">IFERROR(VLOOKUP(Proc[[#This Row],[App]],Table2[],3,0),"open")</f>
        <v>open</v>
      </c>
      <c r="C3898" s="138" t="s">
        <v>369</v>
      </c>
      <c r="D3898" t="s">
        <v>6028</v>
      </c>
      <c r="E3898" t="s">
        <v>6076</v>
      </c>
      <c r="F3898" s="129" t="s">
        <v>6076</v>
      </c>
      <c r="G3898" s="135" t="s">
        <v>406</v>
      </c>
      <c r="H3898" s="129" t="str">
        <f ca="1">IF(Proc[[#This Row],[type]]="LFF (MDG-F)",MID(Proc[[#This Row],[Obj]],13,10),"")</f>
        <v>JP01TAOZ06</v>
      </c>
      <c r="J3898" s="129" t="b">
        <f ca="1">Proc[[#This Row],[Requested]]=Proc[[#This Row],[CurrentParent]]</f>
        <v>1</v>
      </c>
      <c r="K3898" s="129" t="str">
        <f ca="1">IF(Proc[[#This Row],[Author]]="Marcela Urrego",VLOOKUP(LEFT(Proc[[#This Row],[Requested]],1),Table3[#All],2,0),VLOOKUP(Proc[[#This Row],[Author]],Table4[],2,0))</f>
        <v>EL</v>
      </c>
      <c r="L3898" s="129" t="s">
        <v>4896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10</v>
      </c>
      <c r="R3898" s="136" t="s">
        <v>6090</v>
      </c>
      <c r="S3898" s="129"/>
    </row>
    <row r="3899" spans="1:19" hidden="1">
      <c r="A3899" s="135" t="s">
        <v>6089</v>
      </c>
      <c r="B3899" s="138" t="str">
        <f ca="1">IFERROR(VLOOKUP(Proc[[#This Row],[App]],Table2[],3,0),"open")</f>
        <v>open</v>
      </c>
      <c r="C3899" s="138" t="s">
        <v>369</v>
      </c>
      <c r="D3899" t="s">
        <v>6029</v>
      </c>
      <c r="E3899" t="s">
        <v>6078</v>
      </c>
      <c r="F3899" s="129" t="s">
        <v>6078</v>
      </c>
      <c r="G3899" s="135" t="s">
        <v>406</v>
      </c>
      <c r="H3899" s="129" t="str">
        <f ca="1">IF(Proc[[#This Row],[type]]="LFF (MDG-F)",MID(Proc[[#This Row],[Obj]],13,10),"")</f>
        <v>JP01TBOZ01</v>
      </c>
      <c r="J3899" s="129" t="b">
        <f ca="1">Proc[[#This Row],[Requested]]=Proc[[#This Row],[CurrentParent]]</f>
        <v>1</v>
      </c>
      <c r="K3899" s="129" t="str">
        <f ca="1">IF(Proc[[#This Row],[Author]]="Marcela Urrego",VLOOKUP(LEFT(Proc[[#This Row],[Requested]],1),Table3[#All],2,0),VLOOKUP(Proc[[#This Row],[Author]],Table4[],2,0))</f>
        <v>EL</v>
      </c>
      <c r="L3899" s="129" t="s">
        <v>4896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10</v>
      </c>
      <c r="R3899" s="136" t="s">
        <v>6090</v>
      </c>
      <c r="S3899" s="129"/>
    </row>
    <row r="3900" spans="1:19" hidden="1">
      <c r="A3900" s="135" t="s">
        <v>6089</v>
      </c>
      <c r="B3900" s="138" t="str">
        <f ca="1">IFERROR(VLOOKUP(Proc[[#This Row],[App]],Table2[],3,0),"open")</f>
        <v>open</v>
      </c>
      <c r="C3900" s="138" t="s">
        <v>369</v>
      </c>
      <c r="D3900" t="s">
        <v>6030</v>
      </c>
      <c r="E3900" t="s">
        <v>6079</v>
      </c>
      <c r="F3900" s="129" t="s">
        <v>6079</v>
      </c>
      <c r="G3900" s="135" t="s">
        <v>406</v>
      </c>
      <c r="H3900" s="129" t="str">
        <f ca="1">IF(Proc[[#This Row],[type]]="LFF (MDG-F)",MID(Proc[[#This Row],[Obj]],13,10),"")</f>
        <v>JP01TBOZ05</v>
      </c>
      <c r="J3900" s="129" t="b">
        <f ca="1">Proc[[#This Row],[Requested]]=Proc[[#This Row],[CurrentParent]]</f>
        <v>1</v>
      </c>
      <c r="K3900" s="129" t="str">
        <f ca="1">IF(Proc[[#This Row],[Author]]="Marcela Urrego",VLOOKUP(LEFT(Proc[[#This Row],[Requested]],1),Table3[#All],2,0),VLOOKUP(Proc[[#This Row],[Author]],Table4[],2,0))</f>
        <v>EL</v>
      </c>
      <c r="L3900" s="129" t="s">
        <v>4896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10</v>
      </c>
      <c r="R3900" s="136" t="s">
        <v>6090</v>
      </c>
      <c r="S3900" s="129"/>
    </row>
    <row r="3901" spans="1:19" hidden="1">
      <c r="A3901" s="135" t="s">
        <v>6089</v>
      </c>
      <c r="B3901" s="138" t="str">
        <f ca="1">IFERROR(VLOOKUP(Proc[[#This Row],[App]],Table2[],3,0),"open")</f>
        <v>open</v>
      </c>
      <c r="C3901" s="138" t="s">
        <v>369</v>
      </c>
      <c r="D3901" t="s">
        <v>6031</v>
      </c>
      <c r="E3901" t="s">
        <v>6080</v>
      </c>
      <c r="F3901" s="129" t="s">
        <v>6080</v>
      </c>
      <c r="G3901" s="135" t="s">
        <v>406</v>
      </c>
      <c r="H3901" s="129" t="str">
        <f ca="1">IF(Proc[[#This Row],[type]]="LFF (MDG-F)",MID(Proc[[#This Row],[Obj]],13,10),"")</f>
        <v>JP01TCOZ01</v>
      </c>
      <c r="J3901" s="129" t="b">
        <f ca="1">Proc[[#This Row],[Requested]]=Proc[[#This Row],[CurrentParent]]</f>
        <v>1</v>
      </c>
      <c r="K3901" s="129" t="str">
        <f ca="1">IF(Proc[[#This Row],[Author]]="Marcela Urrego",VLOOKUP(LEFT(Proc[[#This Row],[Requested]],1),Table3[#All],2,0),VLOOKUP(Proc[[#This Row],[Author]],Table4[],2,0))</f>
        <v>EL</v>
      </c>
      <c r="L3901" s="129" t="s">
        <v>4896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10</v>
      </c>
      <c r="R3901" s="136" t="s">
        <v>6090</v>
      </c>
      <c r="S3901" s="129"/>
    </row>
    <row r="3902" spans="1:19" hidden="1">
      <c r="A3902" s="135" t="s">
        <v>6089</v>
      </c>
      <c r="B3902" s="138" t="str">
        <f ca="1">IFERROR(VLOOKUP(Proc[[#This Row],[App]],Table2[],3,0),"open")</f>
        <v>open</v>
      </c>
      <c r="C3902" s="138" t="s">
        <v>369</v>
      </c>
      <c r="D3902" t="s">
        <v>6032</v>
      </c>
      <c r="E3902" t="s">
        <v>6081</v>
      </c>
      <c r="F3902" s="129" t="s">
        <v>6081</v>
      </c>
      <c r="G3902" s="135" t="s">
        <v>406</v>
      </c>
      <c r="H3902" s="129" t="str">
        <f ca="1">IF(Proc[[#This Row],[type]]="LFF (MDG-F)",MID(Proc[[#This Row],[Obj]],13,10),"")</f>
        <v>JP01TDOZ01</v>
      </c>
      <c r="J3902" s="129" t="b">
        <f ca="1">Proc[[#This Row],[Requested]]=Proc[[#This Row],[CurrentParent]]</f>
        <v>1</v>
      </c>
      <c r="K3902" s="129" t="str">
        <f ca="1">IF(Proc[[#This Row],[Author]]="Marcela Urrego",VLOOKUP(LEFT(Proc[[#This Row],[Requested]],1),Table3[#All],2,0),VLOOKUP(Proc[[#This Row],[Author]],Table4[],2,0))</f>
        <v>EL</v>
      </c>
      <c r="L3902" s="129" t="s">
        <v>4896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10</v>
      </c>
      <c r="R3902" s="136" t="s">
        <v>6090</v>
      </c>
      <c r="S3902" s="129"/>
    </row>
    <row r="3903" spans="1:19" hidden="1">
      <c r="A3903" s="135" t="s">
        <v>6089</v>
      </c>
      <c r="B3903" s="138" t="str">
        <f ca="1">IFERROR(VLOOKUP(Proc[[#This Row],[App]],Table2[],3,0),"open")</f>
        <v>open</v>
      </c>
      <c r="C3903" s="138" t="s">
        <v>369</v>
      </c>
      <c r="D3903" t="s">
        <v>6033</v>
      </c>
      <c r="E3903" t="s">
        <v>6081</v>
      </c>
      <c r="F3903" s="129" t="s">
        <v>6081</v>
      </c>
      <c r="G3903" s="135" t="s">
        <v>406</v>
      </c>
      <c r="H3903" s="129" t="str">
        <f ca="1">IF(Proc[[#This Row],[type]]="LFF (MDG-F)",MID(Proc[[#This Row],[Obj]],13,10),"")</f>
        <v>JP01TDOZ02</v>
      </c>
      <c r="J3903" s="129" t="b">
        <f ca="1">Proc[[#This Row],[Requested]]=Proc[[#This Row],[CurrentParent]]</f>
        <v>1</v>
      </c>
      <c r="K3903" s="129" t="str">
        <f ca="1">IF(Proc[[#This Row],[Author]]="Marcela Urrego",VLOOKUP(LEFT(Proc[[#This Row],[Requested]],1),Table3[#All],2,0),VLOOKUP(Proc[[#This Row],[Author]],Table4[],2,0))</f>
        <v>EL</v>
      </c>
      <c r="L3903" s="129" t="s">
        <v>4896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10</v>
      </c>
      <c r="R3903" s="136" t="s">
        <v>6090</v>
      </c>
      <c r="S3903" s="129"/>
    </row>
    <row r="3904" spans="1:19" hidden="1">
      <c r="A3904" s="135" t="s">
        <v>6089</v>
      </c>
      <c r="B3904" s="138" t="str">
        <f ca="1">IFERROR(VLOOKUP(Proc[[#This Row],[App]],Table2[],3,0),"open")</f>
        <v>open</v>
      </c>
      <c r="C3904" s="138" t="s">
        <v>369</v>
      </c>
      <c r="D3904" t="s">
        <v>6034</v>
      </c>
      <c r="E3904" t="s">
        <v>6081</v>
      </c>
      <c r="F3904" s="129" t="s">
        <v>6081</v>
      </c>
      <c r="G3904" s="135" t="s">
        <v>406</v>
      </c>
      <c r="H3904" s="129" t="str">
        <f ca="1">IF(Proc[[#This Row],[type]]="LFF (MDG-F)",MID(Proc[[#This Row],[Obj]],13,10),"")</f>
        <v>JP01TDOZ03</v>
      </c>
      <c r="J3904" s="129" t="b">
        <f ca="1">Proc[[#This Row],[Requested]]=Proc[[#This Row],[CurrentParent]]</f>
        <v>1</v>
      </c>
      <c r="K3904" s="129" t="str">
        <f ca="1">IF(Proc[[#This Row],[Author]]="Marcela Urrego",VLOOKUP(LEFT(Proc[[#This Row],[Requested]],1),Table3[#All],2,0),VLOOKUP(Proc[[#This Row],[Author]],Table4[],2,0))</f>
        <v>EL</v>
      </c>
      <c r="L3904" s="129" t="s">
        <v>4896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10</v>
      </c>
      <c r="R3904" s="136" t="s">
        <v>6090</v>
      </c>
      <c r="S3904" s="129"/>
    </row>
    <row r="3905" spans="1:19" hidden="1">
      <c r="A3905" s="135" t="s">
        <v>6089</v>
      </c>
      <c r="B3905" s="138" t="str">
        <f ca="1">IFERROR(VLOOKUP(Proc[[#This Row],[App]],Table2[],3,0),"open")</f>
        <v>open</v>
      </c>
      <c r="C3905" s="138" t="s">
        <v>369</v>
      </c>
      <c r="D3905" t="s">
        <v>6035</v>
      </c>
      <c r="E3905" t="s">
        <v>6081</v>
      </c>
      <c r="F3905" s="129" t="s">
        <v>6081</v>
      </c>
      <c r="G3905" s="135" t="s">
        <v>406</v>
      </c>
      <c r="H3905" s="129" t="str">
        <f ca="1">IF(Proc[[#This Row],[type]]="LFF (MDG-F)",MID(Proc[[#This Row],[Obj]],13,10),"")</f>
        <v>JP01TDOZ04</v>
      </c>
      <c r="J3905" s="129" t="b">
        <f ca="1">Proc[[#This Row],[Requested]]=Proc[[#This Row],[CurrentParent]]</f>
        <v>1</v>
      </c>
      <c r="K3905" s="129" t="str">
        <f ca="1">IF(Proc[[#This Row],[Author]]="Marcela Urrego",VLOOKUP(LEFT(Proc[[#This Row],[Requested]],1),Table3[#All],2,0),VLOOKUP(Proc[[#This Row],[Author]],Table4[],2,0))</f>
        <v>EL</v>
      </c>
      <c r="L3905" s="129" t="s">
        <v>4896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10</v>
      </c>
      <c r="R3905" s="136" t="s">
        <v>6090</v>
      </c>
      <c r="S3905" s="129"/>
    </row>
    <row r="3906" spans="1:19" hidden="1">
      <c r="A3906" s="135" t="s">
        <v>6089</v>
      </c>
      <c r="B3906" s="138" t="str">
        <f ca="1">IFERROR(VLOOKUP(Proc[[#This Row],[App]],Table2[],3,0),"open")</f>
        <v>open</v>
      </c>
      <c r="C3906" s="138" t="s">
        <v>369</v>
      </c>
      <c r="D3906" t="s">
        <v>6036</v>
      </c>
      <c r="E3906" t="s">
        <v>6081</v>
      </c>
      <c r="F3906" s="129" t="s">
        <v>6081</v>
      </c>
      <c r="G3906" s="135" t="s">
        <v>406</v>
      </c>
      <c r="H3906" s="129" t="str">
        <f ca="1">IF(Proc[[#This Row],[type]]="LFF (MDG-F)",MID(Proc[[#This Row],[Obj]],13,10),"")</f>
        <v>JP01TDOZ05</v>
      </c>
      <c r="J3906" s="129" t="b">
        <f ca="1">Proc[[#This Row],[Requested]]=Proc[[#This Row],[CurrentParent]]</f>
        <v>1</v>
      </c>
      <c r="K3906" s="129" t="str">
        <f ca="1">IF(Proc[[#This Row],[Author]]="Marcela Urrego",VLOOKUP(LEFT(Proc[[#This Row],[Requested]],1),Table3[#All],2,0),VLOOKUP(Proc[[#This Row],[Author]],Table4[],2,0))</f>
        <v>EL</v>
      </c>
      <c r="L3906" s="129" t="s">
        <v>4896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10</v>
      </c>
      <c r="R3906" s="136" t="s">
        <v>6090</v>
      </c>
      <c r="S3906" s="129"/>
    </row>
    <row r="3907" spans="1:19" hidden="1">
      <c r="A3907" s="135" t="s">
        <v>6089</v>
      </c>
      <c r="B3907" s="138" t="str">
        <f ca="1">IFERROR(VLOOKUP(Proc[[#This Row],[App]],Table2[],3,0),"open")</f>
        <v>open</v>
      </c>
      <c r="C3907" s="138" t="s">
        <v>369</v>
      </c>
      <c r="D3907" t="s">
        <v>6037</v>
      </c>
      <c r="E3907" t="s">
        <v>6081</v>
      </c>
      <c r="F3907" s="129" t="s">
        <v>6081</v>
      </c>
      <c r="G3907" s="135" t="s">
        <v>406</v>
      </c>
      <c r="H3907" s="129" t="str">
        <f ca="1">IF(Proc[[#This Row],[type]]="LFF (MDG-F)",MID(Proc[[#This Row],[Obj]],13,10),"")</f>
        <v>JP01TDOZ06</v>
      </c>
      <c r="J3907" s="129" t="b">
        <f ca="1">Proc[[#This Row],[Requested]]=Proc[[#This Row],[CurrentParent]]</f>
        <v>1</v>
      </c>
      <c r="K3907" s="129" t="str">
        <f ca="1">IF(Proc[[#This Row],[Author]]="Marcela Urrego",VLOOKUP(LEFT(Proc[[#This Row],[Requested]],1),Table3[#All],2,0),VLOOKUP(Proc[[#This Row],[Author]],Table4[],2,0))</f>
        <v>EL</v>
      </c>
      <c r="L3907" s="129" t="s">
        <v>4896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10</v>
      </c>
      <c r="R3907" s="136" t="s">
        <v>6090</v>
      </c>
      <c r="S3907" s="129"/>
    </row>
    <row r="3908" spans="1:19" hidden="1">
      <c r="A3908" s="135" t="s">
        <v>6089</v>
      </c>
      <c r="B3908" s="138" t="str">
        <f ca="1">IFERROR(VLOOKUP(Proc[[#This Row],[App]],Table2[],3,0),"open")</f>
        <v>open</v>
      </c>
      <c r="C3908" s="138" t="s">
        <v>369</v>
      </c>
      <c r="D3908" t="s">
        <v>6038</v>
      </c>
      <c r="E3908" t="s">
        <v>6082</v>
      </c>
      <c r="F3908" s="129" t="s">
        <v>6082</v>
      </c>
      <c r="G3908" s="135" t="s">
        <v>406</v>
      </c>
      <c r="H3908" s="129" t="str">
        <f ca="1">IF(Proc[[#This Row],[type]]="LFF (MDG-F)",MID(Proc[[#This Row],[Obj]],13,10),"")</f>
        <v>JP01TEOZ01</v>
      </c>
      <c r="J3908" s="129" t="b">
        <f ca="1">Proc[[#This Row],[Requested]]=Proc[[#This Row],[CurrentParent]]</f>
        <v>1</v>
      </c>
      <c r="K3908" s="129" t="str">
        <f ca="1">IF(Proc[[#This Row],[Author]]="Marcela Urrego",VLOOKUP(LEFT(Proc[[#This Row],[Requested]],1),Table3[#All],2,0),VLOOKUP(Proc[[#This Row],[Author]],Table4[],2,0))</f>
        <v>EL</v>
      </c>
      <c r="L3908" s="129" t="s">
        <v>4896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10</v>
      </c>
      <c r="R3908" s="136" t="s">
        <v>6090</v>
      </c>
      <c r="S3908" s="129"/>
    </row>
    <row r="3909" spans="1:19" hidden="1">
      <c r="A3909" s="135" t="s">
        <v>6089</v>
      </c>
      <c r="B3909" s="138" t="str">
        <f ca="1">IFERROR(VLOOKUP(Proc[[#This Row],[App]],Table2[],3,0),"open")</f>
        <v>open</v>
      </c>
      <c r="C3909" s="138" t="s">
        <v>369</v>
      </c>
      <c r="D3909" t="s">
        <v>6039</v>
      </c>
      <c r="E3909" t="s">
        <v>6077</v>
      </c>
      <c r="F3909" s="129" t="s">
        <v>6077</v>
      </c>
      <c r="G3909" s="135" t="s">
        <v>406</v>
      </c>
      <c r="H3909" s="129" t="str">
        <f ca="1">IF(Proc[[#This Row],[type]]="LFF (MDG-F)",MID(Proc[[#This Row],[Obj]],13,10),"")</f>
        <v>JP01TFOZ01</v>
      </c>
      <c r="J3909" s="129" t="b">
        <f ca="1">Proc[[#This Row],[Requested]]=Proc[[#This Row],[CurrentParent]]</f>
        <v>1</v>
      </c>
      <c r="K3909" s="129" t="str">
        <f ca="1">IF(Proc[[#This Row],[Author]]="Marcela Urrego",VLOOKUP(LEFT(Proc[[#This Row],[Requested]],1),Table3[#All],2,0),VLOOKUP(Proc[[#This Row],[Author]],Table4[],2,0))</f>
        <v>EL</v>
      </c>
      <c r="L3909" s="129" t="s">
        <v>4896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10</v>
      </c>
      <c r="R3909" s="136" t="s">
        <v>6090</v>
      </c>
      <c r="S3909" s="129"/>
    </row>
    <row r="3910" spans="1:19" hidden="1">
      <c r="A3910" s="135" t="s">
        <v>6089</v>
      </c>
      <c r="B3910" s="138" t="str">
        <f ca="1">IFERROR(VLOOKUP(Proc[[#This Row],[App]],Table2[],3,0),"open")</f>
        <v>open</v>
      </c>
      <c r="C3910" s="138" t="s">
        <v>369</v>
      </c>
      <c r="D3910" t="s">
        <v>6040</v>
      </c>
      <c r="E3910" t="s">
        <v>6077</v>
      </c>
      <c r="F3910" s="129" t="s">
        <v>6077</v>
      </c>
      <c r="G3910" s="135" t="s">
        <v>406</v>
      </c>
      <c r="H3910" s="129" t="str">
        <f ca="1">IF(Proc[[#This Row],[type]]="LFF (MDG-F)",MID(Proc[[#This Row],[Obj]],13,10),"")</f>
        <v>JP01TFOZ02</v>
      </c>
      <c r="J3910" s="129" t="b">
        <f ca="1">Proc[[#This Row],[Requested]]=Proc[[#This Row],[CurrentParent]]</f>
        <v>1</v>
      </c>
      <c r="K3910" s="129" t="str">
        <f ca="1">IF(Proc[[#This Row],[Author]]="Marcela Urrego",VLOOKUP(LEFT(Proc[[#This Row],[Requested]],1),Table3[#All],2,0),VLOOKUP(Proc[[#This Row],[Author]],Table4[],2,0))</f>
        <v>EL</v>
      </c>
      <c r="L3910" s="129" t="s">
        <v>4896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10</v>
      </c>
      <c r="R3910" s="136" t="s">
        <v>6090</v>
      </c>
      <c r="S3910" s="129"/>
    </row>
    <row r="3911" spans="1:19" hidden="1">
      <c r="A3911" s="135" t="s">
        <v>6089</v>
      </c>
      <c r="B3911" s="138" t="str">
        <f ca="1">IFERROR(VLOOKUP(Proc[[#This Row],[App]],Table2[],3,0),"open")</f>
        <v>open</v>
      </c>
      <c r="C3911" s="138" t="s">
        <v>369</v>
      </c>
      <c r="D3911" t="s">
        <v>6041</v>
      </c>
      <c r="E3911" t="s">
        <v>6077</v>
      </c>
      <c r="F3911" s="129" t="s">
        <v>6077</v>
      </c>
      <c r="G3911" s="135" t="s">
        <v>406</v>
      </c>
      <c r="H3911" s="129" t="str">
        <f ca="1">IF(Proc[[#This Row],[type]]="LFF (MDG-F)",MID(Proc[[#This Row],[Obj]],13,10),"")</f>
        <v>JP01TFOZ03</v>
      </c>
      <c r="J3911" s="129" t="b">
        <f ca="1">Proc[[#This Row],[Requested]]=Proc[[#This Row],[CurrentParent]]</f>
        <v>1</v>
      </c>
      <c r="K3911" s="129" t="str">
        <f ca="1">IF(Proc[[#This Row],[Author]]="Marcela Urrego",VLOOKUP(LEFT(Proc[[#This Row],[Requested]],1),Table3[#All],2,0),VLOOKUP(Proc[[#This Row],[Author]],Table4[],2,0))</f>
        <v>EL</v>
      </c>
      <c r="L3911" s="129" t="s">
        <v>4896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10</v>
      </c>
      <c r="R3911" s="136" t="s">
        <v>6090</v>
      </c>
      <c r="S3911" s="129"/>
    </row>
    <row r="3912" spans="1:19" hidden="1">
      <c r="A3912" s="135" t="s">
        <v>6089</v>
      </c>
      <c r="B3912" s="138" t="str">
        <f ca="1">IFERROR(VLOOKUP(Proc[[#This Row],[App]],Table2[],3,0),"open")</f>
        <v>open</v>
      </c>
      <c r="C3912" s="138" t="s">
        <v>369</v>
      </c>
      <c r="D3912" t="s">
        <v>6042</v>
      </c>
      <c r="E3912" t="s">
        <v>6083</v>
      </c>
      <c r="F3912" s="129" t="s">
        <v>6083</v>
      </c>
      <c r="G3912" s="135" t="s">
        <v>406</v>
      </c>
      <c r="H3912" s="129" t="str">
        <f ca="1">IF(Proc[[#This Row],[type]]="LFF (MDG-F)",MID(Proc[[#This Row],[Obj]],13,10),"")</f>
        <v>JP01TKOZ00</v>
      </c>
      <c r="J3912" s="129" t="b">
        <f ca="1">Proc[[#This Row],[Requested]]=Proc[[#This Row],[CurrentParent]]</f>
        <v>1</v>
      </c>
      <c r="K3912" s="129" t="str">
        <f ca="1">IF(Proc[[#This Row],[Author]]="Marcela Urrego",VLOOKUP(LEFT(Proc[[#This Row],[Requested]],1),Table3[#All],2,0),VLOOKUP(Proc[[#This Row],[Author]],Table4[],2,0))</f>
        <v>EL</v>
      </c>
      <c r="L3912" s="129" t="s">
        <v>4896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10</v>
      </c>
      <c r="R3912" s="136" t="s">
        <v>6090</v>
      </c>
      <c r="S3912" s="129"/>
    </row>
    <row r="3913" spans="1:19" hidden="1">
      <c r="A3913" s="135" t="s">
        <v>6089</v>
      </c>
      <c r="B3913" s="138" t="str">
        <f ca="1">IFERROR(VLOOKUP(Proc[[#This Row],[App]],Table2[],3,0),"open")</f>
        <v>open</v>
      </c>
      <c r="C3913" s="138" t="s">
        <v>369</v>
      </c>
      <c r="D3913" t="s">
        <v>6043</v>
      </c>
      <c r="E3913" t="s">
        <v>6084</v>
      </c>
      <c r="F3913" s="129" t="s">
        <v>6084</v>
      </c>
      <c r="G3913" s="135" t="s">
        <v>406</v>
      </c>
      <c r="H3913" s="129" t="str">
        <f ca="1">IF(Proc[[#This Row],[type]]="LFF (MDG-F)",MID(Proc[[#This Row],[Obj]],13,10),"")</f>
        <v>JP01TLOZ01</v>
      </c>
      <c r="J3913" s="129" t="b">
        <f ca="1">Proc[[#This Row],[Requested]]=Proc[[#This Row],[CurrentParent]]</f>
        <v>1</v>
      </c>
      <c r="K3913" s="129" t="str">
        <f ca="1">IF(Proc[[#This Row],[Author]]="Marcela Urrego",VLOOKUP(LEFT(Proc[[#This Row],[Requested]],1),Table3[#All],2,0),VLOOKUP(Proc[[#This Row],[Author]],Table4[],2,0))</f>
        <v>EL</v>
      </c>
      <c r="L3913" s="129" t="s">
        <v>4896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10</v>
      </c>
      <c r="R3913" s="136" t="s">
        <v>6090</v>
      </c>
      <c r="S3913" s="129"/>
    </row>
    <row r="3914" spans="1:19" hidden="1">
      <c r="A3914" s="135" t="s">
        <v>6089</v>
      </c>
      <c r="B3914" s="138" t="str">
        <f ca="1">IFERROR(VLOOKUP(Proc[[#This Row],[App]],Table2[],3,0),"open")</f>
        <v>open</v>
      </c>
      <c r="C3914" s="138" t="s">
        <v>369</v>
      </c>
      <c r="D3914" t="s">
        <v>6044</v>
      </c>
      <c r="E3914" t="s">
        <v>6085</v>
      </c>
      <c r="F3914" s="129" t="s">
        <v>6085</v>
      </c>
      <c r="G3914" s="135" t="s">
        <v>406</v>
      </c>
      <c r="H3914" s="129" t="str">
        <f ca="1">IF(Proc[[#This Row],[type]]="LFF (MDG-F)",MID(Proc[[#This Row],[Obj]],13,10),"")</f>
        <v>JP01TNMZ04</v>
      </c>
      <c r="J3914" s="129" t="b">
        <f ca="1">Proc[[#This Row],[Requested]]=Proc[[#This Row],[CurrentParent]]</f>
        <v>1</v>
      </c>
      <c r="K3914" s="129" t="str">
        <f ca="1">IF(Proc[[#This Row],[Author]]="Marcela Urrego",VLOOKUP(LEFT(Proc[[#This Row],[Requested]],1),Table3[#All],2,0),VLOOKUP(Proc[[#This Row],[Author]],Table4[],2,0))</f>
        <v>EL</v>
      </c>
      <c r="L3914" s="129" t="s">
        <v>4896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10</v>
      </c>
      <c r="R3914" s="136" t="s">
        <v>6090</v>
      </c>
      <c r="S3914" s="129"/>
    </row>
    <row r="3915" spans="1:19" hidden="1">
      <c r="A3915" s="135" t="s">
        <v>6089</v>
      </c>
      <c r="B3915" s="138" t="str">
        <f ca="1">IFERROR(VLOOKUP(Proc[[#This Row],[App]],Table2[],3,0),"open")</f>
        <v>open</v>
      </c>
      <c r="C3915" s="138" t="s">
        <v>369</v>
      </c>
      <c r="D3915" t="s">
        <v>6045</v>
      </c>
      <c r="E3915" t="s">
        <v>6086</v>
      </c>
      <c r="F3915" s="129" t="s">
        <v>6086</v>
      </c>
      <c r="G3915" s="135" t="s">
        <v>406</v>
      </c>
      <c r="H3915" s="129" t="str">
        <f ca="1">IF(Proc[[#This Row],[type]]="LFF (MDG-F)",MID(Proc[[#This Row],[Obj]],13,10),"")</f>
        <v>JP01TPOZ01</v>
      </c>
      <c r="J3915" s="129" t="b">
        <f ca="1">Proc[[#This Row],[Requested]]=Proc[[#This Row],[CurrentParent]]</f>
        <v>1</v>
      </c>
      <c r="K3915" s="129" t="str">
        <f ca="1">IF(Proc[[#This Row],[Author]]="Marcela Urrego",VLOOKUP(LEFT(Proc[[#This Row],[Requested]],1),Table3[#All],2,0),VLOOKUP(Proc[[#This Row],[Author]],Table4[],2,0))</f>
        <v>EL</v>
      </c>
      <c r="L3915" s="129" t="s">
        <v>4896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10</v>
      </c>
      <c r="R3915" s="136" t="s">
        <v>6090</v>
      </c>
      <c r="S3915" s="129"/>
    </row>
    <row r="3916" spans="1:19" hidden="1">
      <c r="A3916" s="135" t="s">
        <v>6089</v>
      </c>
      <c r="B3916" s="138" t="str">
        <f ca="1">IFERROR(VLOOKUP(Proc[[#This Row],[App]],Table2[],3,0),"open")</f>
        <v>open</v>
      </c>
      <c r="C3916" s="138" t="s">
        <v>369</v>
      </c>
      <c r="D3916" t="s">
        <v>6046</v>
      </c>
      <c r="E3916" t="s">
        <v>6087</v>
      </c>
      <c r="F3916" s="129" t="s">
        <v>6087</v>
      </c>
      <c r="G3916" s="135" t="s">
        <v>406</v>
      </c>
      <c r="H3916" s="129" t="str">
        <f ca="1">IF(Proc[[#This Row],[type]]="LFF (MDG-F)",MID(Proc[[#This Row],[Obj]],13,10),"")</f>
        <v>JP01TQOZ01</v>
      </c>
      <c r="J3916" s="129" t="b">
        <f ca="1">Proc[[#This Row],[Requested]]=Proc[[#This Row],[CurrentParent]]</f>
        <v>1</v>
      </c>
      <c r="K3916" s="129" t="str">
        <f ca="1">IF(Proc[[#This Row],[Author]]="Marcela Urrego",VLOOKUP(LEFT(Proc[[#This Row],[Requested]],1),Table3[#All],2,0),VLOOKUP(Proc[[#This Row],[Author]],Table4[],2,0))</f>
        <v>EL</v>
      </c>
      <c r="L3916" s="129" t="s">
        <v>4896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10</v>
      </c>
      <c r="R3916" s="136" t="s">
        <v>6090</v>
      </c>
      <c r="S3916" s="129"/>
    </row>
    <row r="3917" spans="1:19" hidden="1">
      <c r="A3917" s="135" t="s">
        <v>6089</v>
      </c>
      <c r="B3917" s="138" t="str">
        <f ca="1">IFERROR(VLOOKUP(Proc[[#This Row],[App]],Table2[],3,0),"open")</f>
        <v>open</v>
      </c>
      <c r="C3917" s="138" t="s">
        <v>369</v>
      </c>
      <c r="D3917" t="s">
        <v>6047</v>
      </c>
      <c r="E3917" t="s">
        <v>6088</v>
      </c>
      <c r="F3917" s="129" t="s">
        <v>6088</v>
      </c>
      <c r="G3917" s="135" t="s">
        <v>406</v>
      </c>
      <c r="H3917" s="129" t="str">
        <f ca="1">IF(Proc[[#This Row],[type]]="LFF (MDG-F)",MID(Proc[[#This Row],[Obj]],13,10),"")</f>
        <v>JP01TQOZ03</v>
      </c>
      <c r="J3917" s="129" t="b">
        <f ca="1">Proc[[#This Row],[Requested]]=Proc[[#This Row],[CurrentParent]]</f>
        <v>1</v>
      </c>
      <c r="K3917" s="129" t="str">
        <f ca="1">IF(Proc[[#This Row],[Author]]="Marcela Urrego",VLOOKUP(LEFT(Proc[[#This Row],[Requested]],1),Table3[#All],2,0),VLOOKUP(Proc[[#This Row],[Author]],Table4[],2,0))</f>
        <v>EL</v>
      </c>
      <c r="L3917" s="129" t="s">
        <v>4896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10</v>
      </c>
      <c r="R3917" s="136" t="s">
        <v>6090</v>
      </c>
      <c r="S3917" s="129"/>
    </row>
    <row r="3918" spans="1:19" hidden="1">
      <c r="A3918" s="135" t="s">
        <v>6089</v>
      </c>
      <c r="B3918" s="138" t="str">
        <f ca="1">IFERROR(VLOOKUP(Proc[[#This Row],[App]],Table2[],3,0),"open")</f>
        <v>open</v>
      </c>
      <c r="C3918" s="138" t="s">
        <v>369</v>
      </c>
      <c r="D3918" t="s">
        <v>6048</v>
      </c>
      <c r="E3918" t="s">
        <v>6088</v>
      </c>
      <c r="F3918" s="129" t="s">
        <v>6088</v>
      </c>
      <c r="G3918" s="135" t="s">
        <v>406</v>
      </c>
      <c r="H3918" s="129" t="str">
        <f ca="1">IF(Proc[[#This Row],[type]]="LFF (MDG-F)",MID(Proc[[#This Row],[Obj]],13,10),"")</f>
        <v>JP01TQOZ04</v>
      </c>
      <c r="J3918" s="129" t="b">
        <f ca="1">Proc[[#This Row],[Requested]]=Proc[[#This Row],[CurrentParent]]</f>
        <v>1</v>
      </c>
      <c r="K3918" s="129" t="str">
        <f ca="1">IF(Proc[[#This Row],[Author]]="Marcela Urrego",VLOOKUP(LEFT(Proc[[#This Row],[Requested]],1),Table3[#All],2,0),VLOOKUP(Proc[[#This Row],[Author]],Table4[],2,0))</f>
        <v>EL</v>
      </c>
      <c r="L3918" s="129" t="s">
        <v>4896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10</v>
      </c>
      <c r="R3918" s="136" t="s">
        <v>6090</v>
      </c>
      <c r="S3918" s="129"/>
    </row>
    <row r="3919" spans="1:19" hidden="1">
      <c r="A3919" s="135" t="s">
        <v>6089</v>
      </c>
      <c r="B3919" s="138" t="str">
        <f ca="1">IFERROR(VLOOKUP(Proc[[#This Row],[App]],Table2[],3,0),"open")</f>
        <v>open</v>
      </c>
      <c r="C3919" s="138" t="s">
        <v>369</v>
      </c>
      <c r="D3919" t="s">
        <v>6049</v>
      </c>
      <c r="E3919" t="s">
        <v>6062</v>
      </c>
      <c r="F3919" s="129" t="s">
        <v>6062</v>
      </c>
      <c r="G3919" s="135" t="s">
        <v>406</v>
      </c>
      <c r="H3919" s="129" t="str">
        <f ca="1">IF(Proc[[#This Row],[type]]="LFF (MDG-F)",MID(Proc[[#This Row],[Obj]],13,10),"")</f>
        <v>JP01Z01000</v>
      </c>
      <c r="J3919" s="129" t="b">
        <f ca="1">Proc[[#This Row],[Requested]]=Proc[[#This Row],[CurrentParent]]</f>
        <v>1</v>
      </c>
      <c r="K3919" s="129" t="str">
        <f ca="1">IF(Proc[[#This Row],[Author]]="Marcela Urrego",VLOOKUP(LEFT(Proc[[#This Row],[Requested]],1),Table3[#All],2,0),VLOOKUP(Proc[[#This Row],[Author]],Table4[],2,0))</f>
        <v>EL</v>
      </c>
      <c r="L3919" s="129" t="s">
        <v>4896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10</v>
      </c>
      <c r="R3919" s="136" t="s">
        <v>6090</v>
      </c>
      <c r="S3919" s="129"/>
    </row>
    <row r="3920" spans="1:19" hidden="1">
      <c r="A3920" s="135" t="s">
        <v>6089</v>
      </c>
      <c r="B3920" s="138" t="str">
        <f ca="1">IFERROR(VLOOKUP(Proc[[#This Row],[App]],Table2[],3,0),"open")</f>
        <v>open</v>
      </c>
      <c r="C3920" s="138" t="s">
        <v>369</v>
      </c>
      <c r="D3920" t="s">
        <v>6050</v>
      </c>
      <c r="E3920" t="s">
        <v>6062</v>
      </c>
      <c r="F3920" s="129" t="s">
        <v>6062</v>
      </c>
      <c r="G3920" s="135" t="s">
        <v>406</v>
      </c>
      <c r="H3920" s="129" t="str">
        <f ca="1">IF(Proc[[#This Row],[type]]="LFF (MDG-F)",MID(Proc[[#This Row],[Obj]],13,10),"")</f>
        <v>JP01Z01IF9</v>
      </c>
      <c r="J3920" s="129" t="b">
        <f ca="1">Proc[[#This Row],[Requested]]=Proc[[#This Row],[CurrentParent]]</f>
        <v>1</v>
      </c>
      <c r="K3920" s="129" t="str">
        <f ca="1">IF(Proc[[#This Row],[Author]]="Marcela Urrego",VLOOKUP(LEFT(Proc[[#This Row],[Requested]],1),Table3[#All],2,0),VLOOKUP(Proc[[#This Row],[Author]],Table4[],2,0))</f>
        <v>EL</v>
      </c>
      <c r="L3920" s="129" t="s">
        <v>4896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10</v>
      </c>
      <c r="R3920" s="136" t="s">
        <v>6090</v>
      </c>
      <c r="S3920" s="129"/>
    </row>
    <row r="3921" spans="1:19" hidden="1">
      <c r="A3921" s="135" t="s">
        <v>6089</v>
      </c>
      <c r="B3921" s="138" t="str">
        <f ca="1">IFERROR(VLOOKUP(Proc[[#This Row],[App]],Table2[],3,0),"open")</f>
        <v>open</v>
      </c>
      <c r="C3921" s="138" t="s">
        <v>369</v>
      </c>
      <c r="D3921" t="s">
        <v>6051</v>
      </c>
      <c r="E3921" t="s">
        <v>6062</v>
      </c>
      <c r="F3921" s="129" t="s">
        <v>6062</v>
      </c>
      <c r="G3921" s="135" t="s">
        <v>406</v>
      </c>
      <c r="H3921" s="129" t="str">
        <f ca="1">IF(Proc[[#This Row],[type]]="LFF (MDG-F)",MID(Proc[[#This Row],[Obj]],13,10),"")</f>
        <v>JP01Z02141</v>
      </c>
      <c r="J3921" s="129" t="b">
        <f ca="1">Proc[[#This Row],[Requested]]=Proc[[#This Row],[CurrentParent]]</f>
        <v>1</v>
      </c>
      <c r="K3921" s="129" t="str">
        <f ca="1">IF(Proc[[#This Row],[Author]]="Marcela Urrego",VLOOKUP(LEFT(Proc[[#This Row],[Requested]],1),Table3[#All],2,0),VLOOKUP(Proc[[#This Row],[Author]],Table4[],2,0))</f>
        <v>EL</v>
      </c>
      <c r="L3921" s="129" t="s">
        <v>4896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10</v>
      </c>
      <c r="R3921" s="136" t="s">
        <v>6090</v>
      </c>
      <c r="S3921" s="129"/>
    </row>
    <row r="3922" spans="1:19" hidden="1">
      <c r="A3922" s="135" t="s">
        <v>6089</v>
      </c>
      <c r="B3922" s="138" t="str">
        <f ca="1">IFERROR(VLOOKUP(Proc[[#This Row],[App]],Table2[],3,0),"open")</f>
        <v>open</v>
      </c>
      <c r="C3922" s="138" t="s">
        <v>369</v>
      </c>
      <c r="D3922" t="s">
        <v>6052</v>
      </c>
      <c r="E3922" t="s">
        <v>6062</v>
      </c>
      <c r="F3922" s="129" t="s">
        <v>6062</v>
      </c>
      <c r="G3922" s="135" t="s">
        <v>406</v>
      </c>
      <c r="H3922" s="129" t="str">
        <f ca="1">IF(Proc[[#This Row],[type]]="LFF (MDG-F)",MID(Proc[[#This Row],[Obj]],13,10),"")</f>
        <v>JP01Z02171</v>
      </c>
      <c r="J3922" s="129" t="b">
        <f ca="1">Proc[[#This Row],[Requested]]=Proc[[#This Row],[CurrentParent]]</f>
        <v>1</v>
      </c>
      <c r="K3922" s="129" t="str">
        <f ca="1">IF(Proc[[#This Row],[Author]]="Marcela Urrego",VLOOKUP(LEFT(Proc[[#This Row],[Requested]],1),Table3[#All],2,0),VLOOKUP(Proc[[#This Row],[Author]],Table4[],2,0))</f>
        <v>EL</v>
      </c>
      <c r="L3922" s="129" t="s">
        <v>4896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10</v>
      </c>
      <c r="R3922" s="136" t="s">
        <v>6090</v>
      </c>
      <c r="S3922" s="129"/>
    </row>
    <row r="3923" spans="1:19" hidden="1">
      <c r="A3923" s="135" t="s">
        <v>6089</v>
      </c>
      <c r="B3923" s="138" t="str">
        <f ca="1">IFERROR(VLOOKUP(Proc[[#This Row],[App]],Table2[],3,0),"open")</f>
        <v>open</v>
      </c>
      <c r="C3923" s="138" t="s">
        <v>369</v>
      </c>
      <c r="D3923" t="s">
        <v>6053</v>
      </c>
      <c r="E3923" t="s">
        <v>6062</v>
      </c>
      <c r="F3923" s="129" t="s">
        <v>6062</v>
      </c>
      <c r="G3923" s="135" t="s">
        <v>406</v>
      </c>
      <c r="H3923" s="129" t="str">
        <f ca="1">IF(Proc[[#This Row],[type]]="LFF (MDG-F)",MID(Proc[[#This Row],[Obj]],13,10),"")</f>
        <v>JP01Z02173</v>
      </c>
      <c r="J3923" s="129" t="b">
        <f ca="1">Proc[[#This Row],[Requested]]=Proc[[#This Row],[CurrentParent]]</f>
        <v>1</v>
      </c>
      <c r="K3923" s="129" t="str">
        <f ca="1">IF(Proc[[#This Row],[Author]]="Marcela Urrego",VLOOKUP(LEFT(Proc[[#This Row],[Requested]],1),Table3[#All],2,0),VLOOKUP(Proc[[#This Row],[Author]],Table4[],2,0))</f>
        <v>EL</v>
      </c>
      <c r="L3923" s="129" t="s">
        <v>4896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10</v>
      </c>
      <c r="R3923" s="136" t="s">
        <v>6090</v>
      </c>
      <c r="S3923" s="129"/>
    </row>
    <row r="3924" spans="1:19" hidden="1">
      <c r="A3924" s="135" t="s">
        <v>6089</v>
      </c>
      <c r="B3924" s="138" t="str">
        <f ca="1">IFERROR(VLOOKUP(Proc[[#This Row],[App]],Table2[],3,0),"open")</f>
        <v>open</v>
      </c>
      <c r="C3924" s="138" t="s">
        <v>369</v>
      </c>
      <c r="D3924" t="s">
        <v>6054</v>
      </c>
      <c r="E3924" t="s">
        <v>6062</v>
      </c>
      <c r="F3924" s="129" t="s">
        <v>6062</v>
      </c>
      <c r="G3924" s="135" t="s">
        <v>406</v>
      </c>
      <c r="H3924" s="129" t="str">
        <f ca="1">IF(Proc[[#This Row],[type]]="LFF (MDG-F)",MID(Proc[[#This Row],[Obj]],13,10),"")</f>
        <v>JP01Z02174</v>
      </c>
      <c r="J3924" s="129" t="b">
        <f ca="1">Proc[[#This Row],[Requested]]=Proc[[#This Row],[CurrentParent]]</f>
        <v>1</v>
      </c>
      <c r="K3924" s="129" t="str">
        <f ca="1">IF(Proc[[#This Row],[Author]]="Marcela Urrego",VLOOKUP(LEFT(Proc[[#This Row],[Requested]],1),Table3[#All],2,0),VLOOKUP(Proc[[#This Row],[Author]],Table4[],2,0))</f>
        <v>EL</v>
      </c>
      <c r="L3924" s="129" t="s">
        <v>4896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10</v>
      </c>
      <c r="R3924" s="136" t="s">
        <v>6090</v>
      </c>
      <c r="S3924" s="129"/>
    </row>
    <row r="3925" spans="1:19" hidden="1">
      <c r="A3925" s="135" t="s">
        <v>6089</v>
      </c>
      <c r="B3925" s="138" t="str">
        <f ca="1">IFERROR(VLOOKUP(Proc[[#This Row],[App]],Table2[],3,0),"open")</f>
        <v>open</v>
      </c>
      <c r="C3925" s="138" t="s">
        <v>369</v>
      </c>
      <c r="D3925" t="s">
        <v>6055</v>
      </c>
      <c r="E3925" t="s">
        <v>6062</v>
      </c>
      <c r="F3925" s="129" t="s">
        <v>6062</v>
      </c>
      <c r="G3925" s="135" t="s">
        <v>406</v>
      </c>
      <c r="H3925" s="129" t="str">
        <f ca="1">IF(Proc[[#This Row],[type]]="LFF (MDG-F)",MID(Proc[[#This Row],[Obj]],13,10),"")</f>
        <v>JP01Z02175</v>
      </c>
      <c r="J3925" s="129" t="b">
        <f ca="1">Proc[[#This Row],[Requested]]=Proc[[#This Row],[CurrentParent]]</f>
        <v>1</v>
      </c>
      <c r="K3925" s="129" t="str">
        <f ca="1">IF(Proc[[#This Row],[Author]]="Marcela Urrego",VLOOKUP(LEFT(Proc[[#This Row],[Requested]],1),Table3[#All],2,0),VLOOKUP(Proc[[#This Row],[Author]],Table4[],2,0))</f>
        <v>EL</v>
      </c>
      <c r="L3925" s="129" t="s">
        <v>4896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10</v>
      </c>
      <c r="R3925" s="136" t="s">
        <v>6090</v>
      </c>
      <c r="S3925" s="129"/>
    </row>
    <row r="3926" spans="1:19" hidden="1">
      <c r="A3926" s="135" t="s">
        <v>6089</v>
      </c>
      <c r="B3926" s="138" t="str">
        <f ca="1">IFERROR(VLOOKUP(Proc[[#This Row],[App]],Table2[],3,0),"open")</f>
        <v>open</v>
      </c>
      <c r="C3926" s="138" t="s">
        <v>369</v>
      </c>
      <c r="D3926" t="s">
        <v>6056</v>
      </c>
      <c r="E3926" t="s">
        <v>6062</v>
      </c>
      <c r="F3926" s="129" t="s">
        <v>6062</v>
      </c>
      <c r="G3926" s="135" t="s">
        <v>406</v>
      </c>
      <c r="H3926" s="129" t="str">
        <f ca="1">IF(Proc[[#This Row],[type]]="LFF (MDG-F)",MID(Proc[[#This Row],[Obj]],13,10),"")</f>
        <v>JP01Z02183</v>
      </c>
      <c r="J3926" s="129" t="b">
        <f ca="1">Proc[[#This Row],[Requested]]=Proc[[#This Row],[CurrentParent]]</f>
        <v>1</v>
      </c>
      <c r="K3926" s="129" t="str">
        <f ca="1">IF(Proc[[#This Row],[Author]]="Marcela Urrego",VLOOKUP(LEFT(Proc[[#This Row],[Requested]],1),Table3[#All],2,0),VLOOKUP(Proc[[#This Row],[Author]],Table4[],2,0))</f>
        <v>EL</v>
      </c>
      <c r="L3926" s="129" t="s">
        <v>4896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10</v>
      </c>
      <c r="R3926" s="136" t="s">
        <v>6090</v>
      </c>
      <c r="S3926" s="129"/>
    </row>
    <row r="3927" spans="1:19" hidden="1">
      <c r="A3927" s="135" t="s">
        <v>6089</v>
      </c>
      <c r="B3927" s="138" t="str">
        <f ca="1">IFERROR(VLOOKUP(Proc[[#This Row],[App]],Table2[],3,0),"open")</f>
        <v>open</v>
      </c>
      <c r="C3927" s="138" t="s">
        <v>369</v>
      </c>
      <c r="D3927" t="s">
        <v>6057</v>
      </c>
      <c r="E3927" t="s">
        <v>6072</v>
      </c>
      <c r="F3927" s="129" t="s">
        <v>6072</v>
      </c>
      <c r="G3927" s="135" t="s">
        <v>406</v>
      </c>
      <c r="H3927" s="129" t="str">
        <f ca="1">IF(Proc[[#This Row],[type]]="LFF (MDG-F)",MID(Proc[[#This Row],[Obj]],13,10),"")</f>
        <v>JP01Z03103</v>
      </c>
      <c r="J3927" s="129" t="b">
        <f ca="1">Proc[[#This Row],[Requested]]=Proc[[#This Row],[CurrentParent]]</f>
        <v>1</v>
      </c>
      <c r="K3927" s="129" t="str">
        <f ca="1">IF(Proc[[#This Row],[Author]]="Marcela Urrego",VLOOKUP(LEFT(Proc[[#This Row],[Requested]],1),Table3[#All],2,0),VLOOKUP(Proc[[#This Row],[Author]],Table4[],2,0))</f>
        <v>EL</v>
      </c>
      <c r="L3927" s="129" t="s">
        <v>4896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10</v>
      </c>
      <c r="R3927" s="136" t="s">
        <v>6090</v>
      </c>
      <c r="S3927" s="129"/>
    </row>
    <row r="3928" spans="1:19" hidden="1">
      <c r="A3928" s="135" t="s">
        <v>6089</v>
      </c>
      <c r="B3928" s="138" t="str">
        <f ca="1">IFERROR(VLOOKUP(Proc[[#This Row],[App]],Table2[],3,0),"open")</f>
        <v>open</v>
      </c>
      <c r="C3928" s="138" t="s">
        <v>369</v>
      </c>
      <c r="D3928" t="s">
        <v>6058</v>
      </c>
      <c r="E3928" t="s">
        <v>6062</v>
      </c>
      <c r="F3928" s="129" t="s">
        <v>6062</v>
      </c>
      <c r="G3928" s="135" t="s">
        <v>406</v>
      </c>
      <c r="H3928" s="129" t="str">
        <f ca="1">IF(Proc[[#This Row],[type]]="LFF (MDG-F)",MID(Proc[[#This Row],[Obj]],13,10),"")</f>
        <v>JP01Z03104</v>
      </c>
      <c r="J3928" s="129" t="b">
        <f ca="1">Proc[[#This Row],[Requested]]=Proc[[#This Row],[CurrentParent]]</f>
        <v>1</v>
      </c>
      <c r="K3928" s="129" t="str">
        <f ca="1">IF(Proc[[#This Row],[Author]]="Marcela Urrego",VLOOKUP(LEFT(Proc[[#This Row],[Requested]],1),Table3[#All],2,0),VLOOKUP(Proc[[#This Row],[Author]],Table4[],2,0))</f>
        <v>EL</v>
      </c>
      <c r="L3928" s="129" t="s">
        <v>4896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10</v>
      </c>
      <c r="R3928" s="136" t="s">
        <v>6090</v>
      </c>
      <c r="S3928" s="129"/>
    </row>
    <row r="3929" spans="1:19" hidden="1">
      <c r="A3929" s="135" t="s">
        <v>6089</v>
      </c>
      <c r="B3929" s="138" t="str">
        <f ca="1">IFERROR(VLOOKUP(Proc[[#This Row],[App]],Table2[],3,0),"open")</f>
        <v>open</v>
      </c>
      <c r="C3929" s="138" t="s">
        <v>369</v>
      </c>
      <c r="D3929" t="s">
        <v>6059</v>
      </c>
      <c r="E3929" t="s">
        <v>6062</v>
      </c>
      <c r="F3929" s="129" t="s">
        <v>6062</v>
      </c>
      <c r="G3929" s="135" t="s">
        <v>406</v>
      </c>
      <c r="H3929" s="129" t="str">
        <f ca="1">IF(Proc[[#This Row],[type]]="LFF (MDG-F)",MID(Proc[[#This Row],[Obj]],13,10),"")</f>
        <v>JP01Z03105</v>
      </c>
      <c r="J3929" s="129" t="b">
        <f ca="1">Proc[[#This Row],[Requested]]=Proc[[#This Row],[CurrentParent]]</f>
        <v>1</v>
      </c>
      <c r="K3929" s="129" t="str">
        <f ca="1">IF(Proc[[#This Row],[Author]]="Marcela Urrego",VLOOKUP(LEFT(Proc[[#This Row],[Requested]],1),Table3[#All],2,0),VLOOKUP(Proc[[#This Row],[Author]],Table4[],2,0))</f>
        <v>EL</v>
      </c>
      <c r="L3929" s="129" t="s">
        <v>4896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10</v>
      </c>
      <c r="R3929" s="136" t="s">
        <v>6090</v>
      </c>
      <c r="S3929" s="129"/>
    </row>
    <row r="3930" spans="1:19" hidden="1">
      <c r="A3930" s="135" t="s">
        <v>6089</v>
      </c>
      <c r="B3930" s="138" t="str">
        <f ca="1">IFERROR(VLOOKUP(Proc[[#This Row],[App]],Table2[],3,0),"open")</f>
        <v>open</v>
      </c>
      <c r="C3930" s="138" t="s">
        <v>369</v>
      </c>
      <c r="D3930" t="s">
        <v>6060</v>
      </c>
      <c r="E3930" t="s">
        <v>6062</v>
      </c>
      <c r="F3930" s="129" t="s">
        <v>6062</v>
      </c>
      <c r="G3930" s="135" t="s">
        <v>406</v>
      </c>
      <c r="H3930" s="129" t="str">
        <f ca="1">IF(Proc[[#This Row],[type]]="LFF (MDG-F)",MID(Proc[[#This Row],[Obj]],13,10),"")</f>
        <v>JP01Z03700</v>
      </c>
      <c r="J3930" s="129" t="b">
        <f ca="1">Proc[[#This Row],[Requested]]=Proc[[#This Row],[CurrentParent]]</f>
        <v>1</v>
      </c>
      <c r="K3930" s="129" t="str">
        <f ca="1">IF(Proc[[#This Row],[Author]]="Marcela Urrego",VLOOKUP(LEFT(Proc[[#This Row],[Requested]],1),Table3[#All],2,0),VLOOKUP(Proc[[#This Row],[Author]],Table4[],2,0))</f>
        <v>EL</v>
      </c>
      <c r="L3930" s="129" t="s">
        <v>4896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10</v>
      </c>
      <c r="R3930" s="136" t="s">
        <v>6090</v>
      </c>
      <c r="S3930" s="129"/>
    </row>
    <row r="3931" spans="1:19" hidden="1">
      <c r="A3931" s="135" t="s">
        <v>6089</v>
      </c>
      <c r="B3931" s="138" t="str">
        <f ca="1">IFERROR(VLOOKUP(Proc[[#This Row],[App]],Table2[],3,0),"open")</f>
        <v>open</v>
      </c>
      <c r="C3931" s="138" t="s">
        <v>369</v>
      </c>
      <c r="D3931" t="s">
        <v>6061</v>
      </c>
      <c r="E3931" t="s">
        <v>6062</v>
      </c>
      <c r="F3931" s="129" t="s">
        <v>6062</v>
      </c>
      <c r="G3931" s="135" t="s">
        <v>406</v>
      </c>
      <c r="H3931" s="129" t="str">
        <f ca="1">IF(Proc[[#This Row],[type]]="LFF (MDG-F)",MID(Proc[[#This Row],[Obj]],13,10),"")</f>
        <v>JP01Z03725</v>
      </c>
      <c r="J3931" s="129" t="b">
        <f ca="1">Proc[[#This Row],[Requested]]=Proc[[#This Row],[CurrentParent]]</f>
        <v>1</v>
      </c>
      <c r="K3931" s="129" t="str">
        <f ca="1">IF(Proc[[#This Row],[Author]]="Marcela Urrego",VLOOKUP(LEFT(Proc[[#This Row],[Requested]],1),Table3[#All],2,0),VLOOKUP(Proc[[#This Row],[Author]],Table4[],2,0))</f>
        <v>EL</v>
      </c>
      <c r="L3931" s="129" t="s">
        <v>4896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10</v>
      </c>
      <c r="R3931" s="136" t="s">
        <v>6090</v>
      </c>
      <c r="S3931" s="129"/>
    </row>
    <row r="3932" spans="1:19" hidden="1">
      <c r="A3932" t="s">
        <v>6092</v>
      </c>
      <c r="B3932" s="138" t="str">
        <f ca="1">IFERROR(VLOOKUP(Proc[[#This Row],[App]],Table2[],3,0),"open")</f>
        <v>ok</v>
      </c>
      <c r="C3932" t="s">
        <v>369</v>
      </c>
      <c r="D3932" t="s">
        <v>5339</v>
      </c>
      <c r="E3932" t="s">
        <v>6091</v>
      </c>
      <c r="F3932" s="129" t="s">
        <v>6091</v>
      </c>
      <c r="G3932" t="s">
        <v>406</v>
      </c>
      <c r="H3932" s="129" t="str">
        <f ca="1">IF(Proc[[#This Row],[type]]="LFF (MDG-F)",MID(Proc[[#This Row],[Obj]],13,10),"")</f>
        <v>DE10YIT011</v>
      </c>
      <c r="J3932" s="129" t="b">
        <f ca="1">Proc[[#This Row],[Requested]]=Proc[[#This Row],[CurrentParent]]</f>
        <v>1</v>
      </c>
      <c r="K3932" s="129" t="str">
        <f ca="1">IF(Proc[[#This Row],[Author]]="Marcela Urrego",VLOOKUP(LEFT(Proc[[#This Row],[Requested]],1),Table3[#All],2,0),VLOOKUP(Proc[[#This Row],[Author]],Table4[],2,0))</f>
        <v>MGF</v>
      </c>
      <c r="L3932" s="129" t="s">
        <v>4896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8</v>
      </c>
      <c r="R3932" s="136" t="s">
        <v>1459</v>
      </c>
      <c r="S3932" s="129"/>
    </row>
    <row r="3933" spans="1:19" hidden="1">
      <c r="A3933" s="135" t="s">
        <v>6092</v>
      </c>
      <c r="B3933" s="138" t="str">
        <f ca="1">IFERROR(VLOOKUP(Proc[[#This Row],[App]],Table2[],3,0),"open")</f>
        <v>ok</v>
      </c>
      <c r="C3933" s="138" t="s">
        <v>369</v>
      </c>
      <c r="D3933" t="s">
        <v>5338</v>
      </c>
      <c r="E3933" t="s">
        <v>6091</v>
      </c>
      <c r="F3933" s="129" t="s">
        <v>6091</v>
      </c>
      <c r="G3933" s="135" t="s">
        <v>406</v>
      </c>
      <c r="H3933" s="129" t="str">
        <f ca="1">IF(Proc[[#This Row],[type]]="LFF (MDG-F)",MID(Proc[[#This Row],[Obj]],13,10),"")</f>
        <v>DE10YIT012</v>
      </c>
      <c r="J3933" s="129" t="b">
        <f ca="1">Proc[[#This Row],[Requested]]=Proc[[#This Row],[CurrentParent]]</f>
        <v>1</v>
      </c>
      <c r="K3933" s="129" t="str">
        <f ca="1">IF(Proc[[#This Row],[Author]]="Marcela Urrego",VLOOKUP(LEFT(Proc[[#This Row],[Requested]],1),Table3[#All],2,0),VLOOKUP(Proc[[#This Row],[Author]],Table4[],2,0))</f>
        <v>MGF</v>
      </c>
      <c r="L3933" s="129" t="s">
        <v>4896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8</v>
      </c>
      <c r="R3933" s="136" t="s">
        <v>1459</v>
      </c>
      <c r="S3933" s="129"/>
    </row>
    <row r="3934" spans="1:19" hidden="1">
      <c r="A3934" s="135" t="s">
        <v>6092</v>
      </c>
      <c r="B3934" s="138" t="str">
        <f ca="1">IFERROR(VLOOKUP(Proc[[#This Row],[App]],Table2[],3,0),"open")</f>
        <v>ok</v>
      </c>
      <c r="C3934" s="138" t="s">
        <v>369</v>
      </c>
      <c r="D3934" t="s">
        <v>5336</v>
      </c>
      <c r="E3934" t="s">
        <v>6091</v>
      </c>
      <c r="F3934" s="129" t="s">
        <v>6091</v>
      </c>
      <c r="G3934" s="135" t="s">
        <v>406</v>
      </c>
      <c r="H3934" s="129" t="str">
        <f ca="1">IF(Proc[[#This Row],[type]]="LFF (MDG-F)",MID(Proc[[#This Row],[Obj]],13,10),"")</f>
        <v>DE10YIT009</v>
      </c>
      <c r="J3934" s="129" t="b">
        <f ca="1">Proc[[#This Row],[Requested]]=Proc[[#This Row],[CurrentParent]]</f>
        <v>1</v>
      </c>
      <c r="K3934" s="129" t="str">
        <f ca="1">IF(Proc[[#This Row],[Author]]="Marcela Urrego",VLOOKUP(LEFT(Proc[[#This Row],[Requested]],1),Table3[#All],2,0),VLOOKUP(Proc[[#This Row],[Author]],Table4[],2,0))</f>
        <v>MGF</v>
      </c>
      <c r="L3934" s="129" t="s">
        <v>4896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8</v>
      </c>
      <c r="R3934" s="136" t="s">
        <v>1459</v>
      </c>
      <c r="S3934" s="129"/>
    </row>
    <row r="3935" spans="1:19" hidden="1">
      <c r="A3935" s="135" t="s">
        <v>6092</v>
      </c>
      <c r="B3935" s="138" t="str">
        <f ca="1">IFERROR(VLOOKUP(Proc[[#This Row],[App]],Table2[],3,0),"open")</f>
        <v>ok</v>
      </c>
      <c r="C3935" s="138" t="s">
        <v>369</v>
      </c>
      <c r="D3935" t="s">
        <v>5370</v>
      </c>
      <c r="E3935" t="s">
        <v>6091</v>
      </c>
      <c r="F3935" s="129" t="s">
        <v>6091</v>
      </c>
      <c r="G3935" s="135" t="s">
        <v>406</v>
      </c>
      <c r="H3935" s="129" t="str">
        <f ca="1">IF(Proc[[#This Row],[type]]="LFF (MDG-F)",MID(Proc[[#This Row],[Obj]],13,10),"")</f>
        <v>CH65YIT001</v>
      </c>
      <c r="J3935" s="129" t="b">
        <f ca="1">Proc[[#This Row],[Requested]]=Proc[[#This Row],[CurrentParent]]</f>
        <v>1</v>
      </c>
      <c r="K3935" s="129" t="str">
        <f ca="1">IF(Proc[[#This Row],[Author]]="Marcela Urrego",VLOOKUP(LEFT(Proc[[#This Row],[Requested]],1),Table3[#All],2,0),VLOOKUP(Proc[[#This Row],[Author]],Table4[],2,0))</f>
        <v>MGF</v>
      </c>
      <c r="L3935" s="129" t="s">
        <v>4896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8</v>
      </c>
      <c r="R3935" s="136" t="s">
        <v>1459</v>
      </c>
      <c r="S3935" s="129"/>
    </row>
    <row r="3936" spans="1:19" hidden="1">
      <c r="A3936" s="135" t="s">
        <v>6092</v>
      </c>
      <c r="B3936" s="138" t="str">
        <f ca="1">IFERROR(VLOOKUP(Proc[[#This Row],[App]],Table2[],3,0),"open")</f>
        <v>ok</v>
      </c>
      <c r="C3936" s="138" t="s">
        <v>369</v>
      </c>
      <c r="D3936" t="s">
        <v>5337</v>
      </c>
      <c r="E3936" t="s">
        <v>6091</v>
      </c>
      <c r="F3936" s="129" t="s">
        <v>6091</v>
      </c>
      <c r="G3936" s="135" t="s">
        <v>406</v>
      </c>
      <c r="H3936" s="129" t="str">
        <f ca="1">IF(Proc[[#This Row],[type]]="LFF (MDG-F)",MID(Proc[[#This Row],[Obj]],13,10),"")</f>
        <v>DE10YIT008</v>
      </c>
      <c r="J3936" s="129" t="b">
        <f ca="1">Proc[[#This Row],[Requested]]=Proc[[#This Row],[CurrentParent]]</f>
        <v>1</v>
      </c>
      <c r="K3936" s="129" t="str">
        <f ca="1">IF(Proc[[#This Row],[Author]]="Marcela Urrego",VLOOKUP(LEFT(Proc[[#This Row],[Requested]],1),Table3[#All],2,0),VLOOKUP(Proc[[#This Row],[Author]],Table4[],2,0))</f>
        <v>MGF</v>
      </c>
      <c r="L3936" s="129" t="s">
        <v>4896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8</v>
      </c>
      <c r="R3936" s="136" t="s">
        <v>1459</v>
      </c>
      <c r="S3936" s="129"/>
    </row>
    <row r="3937" spans="1:19" hidden="1">
      <c r="A3937" t="s">
        <v>6101</v>
      </c>
      <c r="B3937" s="138" t="str">
        <f ca="1">IFERROR(VLOOKUP(Proc[[#This Row],[App]],Table2[],3,0),"open")</f>
        <v>ok</v>
      </c>
      <c r="C3937" s="138" t="s">
        <v>369</v>
      </c>
      <c r="D3937" t="s">
        <v>6093</v>
      </c>
      <c r="E3937" t="s">
        <v>496</v>
      </c>
      <c r="F3937" s="129" t="s">
        <v>496</v>
      </c>
      <c r="G3937" s="135" t="s">
        <v>406</v>
      </c>
      <c r="H3937" s="129" t="str">
        <f ca="1">IF(Proc[[#This Row],[type]]="LFF (MDG-F)",MID(Proc[[#This Row],[Obj]],13,10),"")</f>
        <v>DE10GM8401</v>
      </c>
      <c r="J3937" s="129" t="b">
        <f ca="1">Proc[[#This Row],[Requested]]=Proc[[#This Row],[CurrentParent]]</f>
        <v>1</v>
      </c>
      <c r="K3937" s="129" t="str">
        <f ca="1">IF(Proc[[#This Row],[Author]]="Marcela Urrego",VLOOKUP(LEFT(Proc[[#This Row],[Requested]],1),Table3[#All],2,0),VLOOKUP(Proc[[#This Row],[Author]],Table4[],2,0))</f>
        <v>LS</v>
      </c>
      <c r="L3937" s="129" t="s">
        <v>4896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8</v>
      </c>
      <c r="R3937" s="136" t="s">
        <v>972</v>
      </c>
      <c r="S3937" s="129"/>
    </row>
    <row r="3938" spans="1:19" hidden="1">
      <c r="A3938" s="135" t="s">
        <v>6101</v>
      </c>
      <c r="B3938" s="138" t="str">
        <f ca="1">IFERROR(VLOOKUP(Proc[[#This Row],[App]],Table2[],3,0),"open")</f>
        <v>ok</v>
      </c>
      <c r="C3938" s="138" t="s">
        <v>369</v>
      </c>
      <c r="D3938" t="s">
        <v>6094</v>
      </c>
      <c r="E3938" t="s">
        <v>6100</v>
      </c>
      <c r="F3938" s="129" t="s">
        <v>6100</v>
      </c>
      <c r="G3938" t="s">
        <v>400</v>
      </c>
      <c r="H3938" s="129" t="str">
        <f ca="1">IF(Proc[[#This Row],[type]]="LFF (MDG-F)",MID(Proc[[#This Row],[Obj]],13,10),"")</f>
        <v/>
      </c>
      <c r="J3938" s="129" t="b">
        <f ca="1">Proc[[#This Row],[Requested]]=Proc[[#This Row],[CurrentParent]]</f>
        <v>1</v>
      </c>
      <c r="K3938" s="129" t="str">
        <f ca="1">IF(Proc[[#This Row],[Author]]="Marcela Urrego",VLOOKUP(LEFT(Proc[[#This Row],[Requested]],1),Table3[#All],2,0),VLOOKUP(Proc[[#This Row],[Author]],Table4[],2,0))</f>
        <v>LS</v>
      </c>
      <c r="L3938" s="129" t="s">
        <v>4896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8</v>
      </c>
      <c r="R3938" s="136" t="s">
        <v>972</v>
      </c>
      <c r="S3938" s="129"/>
    </row>
    <row r="3939" spans="1:19" hidden="1">
      <c r="A3939" s="135" t="s">
        <v>6101</v>
      </c>
      <c r="B3939" s="138" t="str">
        <f ca="1">IFERROR(VLOOKUP(Proc[[#This Row],[App]],Table2[],3,0),"open")</f>
        <v>ok</v>
      </c>
      <c r="C3939" s="138" t="s">
        <v>369</v>
      </c>
      <c r="D3939" t="s">
        <v>6095</v>
      </c>
      <c r="E3939" t="s">
        <v>2813</v>
      </c>
      <c r="F3939" s="129" t="s">
        <v>2813</v>
      </c>
      <c r="G3939" s="135" t="s">
        <v>400</v>
      </c>
      <c r="H3939" s="129" t="str">
        <f ca="1">IF(Proc[[#This Row],[type]]="LFF (MDG-F)",MID(Proc[[#This Row],[Obj]],13,10),"")</f>
        <v/>
      </c>
      <c r="J3939" s="129" t="b">
        <f ca="1">Proc[[#This Row],[Requested]]=Proc[[#This Row],[CurrentParent]]</f>
        <v>1</v>
      </c>
      <c r="K3939" s="129" t="str">
        <f ca="1">IF(Proc[[#This Row],[Author]]="Marcela Urrego",VLOOKUP(LEFT(Proc[[#This Row],[Requested]],1),Table3[#All],2,0),VLOOKUP(Proc[[#This Row],[Author]],Table4[],2,0))</f>
        <v>LS</v>
      </c>
      <c r="L3939" s="129" t="s">
        <v>4896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8</v>
      </c>
      <c r="R3939" s="136" t="s">
        <v>972</v>
      </c>
      <c r="S3939" s="129"/>
    </row>
    <row r="3940" spans="1:19" hidden="1">
      <c r="A3940" s="135" t="s">
        <v>6101</v>
      </c>
      <c r="B3940" s="138" t="str">
        <f ca="1">IFERROR(VLOOKUP(Proc[[#This Row],[App]],Table2[],3,0),"open")</f>
        <v>ok</v>
      </c>
      <c r="C3940" s="138" t="s">
        <v>369</v>
      </c>
      <c r="D3940" t="s">
        <v>6096</v>
      </c>
      <c r="E3940" t="s">
        <v>2813</v>
      </c>
      <c r="F3940" s="129" t="s">
        <v>2813</v>
      </c>
      <c r="G3940" s="135" t="s">
        <v>400</v>
      </c>
      <c r="H3940" s="129" t="str">
        <f ca="1">IF(Proc[[#This Row],[type]]="LFF (MDG-F)",MID(Proc[[#This Row],[Obj]],13,10),"")</f>
        <v/>
      </c>
      <c r="J3940" s="129" t="b">
        <f ca="1">Proc[[#This Row],[Requested]]=Proc[[#This Row],[CurrentParent]]</f>
        <v>1</v>
      </c>
      <c r="K3940" s="129" t="str">
        <f ca="1">IF(Proc[[#This Row],[Author]]="Marcela Urrego",VLOOKUP(LEFT(Proc[[#This Row],[Requested]],1),Table3[#All],2,0),VLOOKUP(Proc[[#This Row],[Author]],Table4[],2,0))</f>
        <v>LS</v>
      </c>
      <c r="L3940" s="129" t="s">
        <v>4896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8</v>
      </c>
      <c r="R3940" s="136" t="s">
        <v>972</v>
      </c>
      <c r="S3940" s="129"/>
    </row>
    <row r="3941" spans="1:19" hidden="1">
      <c r="A3941" s="135" t="s">
        <v>6101</v>
      </c>
      <c r="B3941" s="138" t="str">
        <f ca="1">IFERROR(VLOOKUP(Proc[[#This Row],[App]],Table2[],3,0),"open")</f>
        <v>ok</v>
      </c>
      <c r="C3941" s="138" t="s">
        <v>369</v>
      </c>
      <c r="D3941" t="s">
        <v>6097</v>
      </c>
      <c r="E3941" t="s">
        <v>2813</v>
      </c>
      <c r="F3941" s="129" t="s">
        <v>2813</v>
      </c>
      <c r="G3941" s="135" t="s">
        <v>400</v>
      </c>
      <c r="H3941" s="129" t="str">
        <f ca="1">IF(Proc[[#This Row],[type]]="LFF (MDG-F)",MID(Proc[[#This Row],[Obj]],13,10),"")</f>
        <v/>
      </c>
      <c r="J3941" s="129" t="b">
        <f ca="1">Proc[[#This Row],[Requested]]=Proc[[#This Row],[CurrentParent]]</f>
        <v>1</v>
      </c>
      <c r="K3941" s="129" t="str">
        <f ca="1">IF(Proc[[#This Row],[Author]]="Marcela Urrego",VLOOKUP(LEFT(Proc[[#This Row],[Requested]],1),Table3[#All],2,0),VLOOKUP(Proc[[#This Row],[Author]],Table4[],2,0))</f>
        <v>LS</v>
      </c>
      <c r="L3941" s="129" t="s">
        <v>4896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8</v>
      </c>
      <c r="R3941" s="136" t="s">
        <v>972</v>
      </c>
      <c r="S3941" s="129"/>
    </row>
    <row r="3942" spans="1:19" hidden="1">
      <c r="A3942" s="135" t="s">
        <v>6101</v>
      </c>
      <c r="B3942" s="138" t="str">
        <f ca="1">IFERROR(VLOOKUP(Proc[[#This Row],[App]],Table2[],3,0),"open")</f>
        <v>ok</v>
      </c>
      <c r="C3942" s="138" t="s">
        <v>369</v>
      </c>
      <c r="D3942" t="s">
        <v>6098</v>
      </c>
      <c r="E3942" t="s">
        <v>2813</v>
      </c>
      <c r="F3942" s="129" t="s">
        <v>2813</v>
      </c>
      <c r="G3942" s="135" t="s">
        <v>400</v>
      </c>
      <c r="H3942" s="129" t="str">
        <f ca="1">IF(Proc[[#This Row],[type]]="LFF (MDG-F)",MID(Proc[[#This Row],[Obj]],13,10),"")</f>
        <v/>
      </c>
      <c r="J3942" s="129" t="b">
        <f ca="1">Proc[[#This Row],[Requested]]=Proc[[#This Row],[CurrentParent]]</f>
        <v>1</v>
      </c>
      <c r="K3942" s="129" t="str">
        <f ca="1">IF(Proc[[#This Row],[Author]]="Marcela Urrego",VLOOKUP(LEFT(Proc[[#This Row],[Requested]],1),Table3[#All],2,0),VLOOKUP(Proc[[#This Row],[Author]],Table4[],2,0))</f>
        <v>LS</v>
      </c>
      <c r="L3942" s="129" t="s">
        <v>4896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8</v>
      </c>
      <c r="R3942" s="136" t="s">
        <v>972</v>
      </c>
      <c r="S3942" s="129"/>
    </row>
    <row r="3943" spans="1:19" hidden="1">
      <c r="A3943" s="135" t="s">
        <v>6101</v>
      </c>
      <c r="B3943" s="138" t="str">
        <f ca="1">IFERROR(VLOOKUP(Proc[[#This Row],[App]],Table2[],3,0),"open")</f>
        <v>ok</v>
      </c>
      <c r="C3943" s="138" t="s">
        <v>369</v>
      </c>
      <c r="D3943" t="s">
        <v>6099</v>
      </c>
      <c r="E3943" t="s">
        <v>2813</v>
      </c>
      <c r="F3943" s="129" t="s">
        <v>2813</v>
      </c>
      <c r="G3943" s="135" t="s">
        <v>400</v>
      </c>
      <c r="H3943" s="129" t="str">
        <f ca="1">IF(Proc[[#This Row],[type]]="LFF (MDG-F)",MID(Proc[[#This Row],[Obj]],13,10),"")</f>
        <v/>
      </c>
      <c r="J3943" s="129" t="b">
        <f ca="1">Proc[[#This Row],[Requested]]=Proc[[#This Row],[CurrentParent]]</f>
        <v>1</v>
      </c>
      <c r="K3943" s="129" t="str">
        <f ca="1">IF(Proc[[#This Row],[Author]]="Marcela Urrego",VLOOKUP(LEFT(Proc[[#This Row],[Requested]],1),Table3[#All],2,0),VLOOKUP(Proc[[#This Row],[Author]],Table4[],2,0))</f>
        <v>LS</v>
      </c>
      <c r="L3943" s="129" t="s">
        <v>4896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8</v>
      </c>
      <c r="R3943" s="136" t="s">
        <v>972</v>
      </c>
      <c r="S3943" s="129"/>
    </row>
    <row r="3944" spans="1:19" hidden="1">
      <c r="A3944" t="s">
        <v>6102</v>
      </c>
      <c r="B3944" s="138" t="str">
        <f ca="1">IFERROR(VLOOKUP(Proc[[#This Row],[App]],Table2[],3,0),"open")</f>
        <v>ok</v>
      </c>
      <c r="C3944" s="138" t="s">
        <v>369</v>
      </c>
      <c r="D3944" t="s">
        <v>6103</v>
      </c>
      <c r="E3944" t="s">
        <v>5670</v>
      </c>
      <c r="F3944" s="142" t="s">
        <v>5670</v>
      </c>
      <c r="G3944" s="138" t="s">
        <v>400</v>
      </c>
      <c r="H3944" s="129" t="str">
        <f ca="1">IF(Proc[[#This Row],[type]]="LFF (MDG-F)",MID(Proc[[#This Row],[Obj]],13,10),"")</f>
        <v/>
      </c>
      <c r="J3944" s="129" t="b">
        <f ca="1">Proc[[#This Row],[Requested]]=Proc[[#This Row],[CurrentParent]]</f>
        <v>1</v>
      </c>
      <c r="K3944" s="129" t="str">
        <f ca="1">IF(Proc[[#This Row],[Author]]="Marcela Urrego",VLOOKUP(LEFT(Proc[[#This Row],[Requested]],1),Table3[#All],2,0),VLOOKUP(Proc[[#This Row],[Author]],Table4[],2,0))</f>
        <v>MGF</v>
      </c>
      <c r="L3944" s="129" t="s">
        <v>4896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8</v>
      </c>
      <c r="R3944" s="136" t="s">
        <v>515</v>
      </c>
      <c r="S3944" s="129"/>
    </row>
    <row r="3945" spans="1:19" hidden="1">
      <c r="A3945" s="138" t="s">
        <v>6102</v>
      </c>
      <c r="B3945" s="138" t="str">
        <f ca="1">IFERROR(VLOOKUP(Proc[[#This Row],[App]],Table2[],3,0),"open")</f>
        <v>ok</v>
      </c>
      <c r="C3945" s="138" t="s">
        <v>369</v>
      </c>
      <c r="D3945" t="s">
        <v>6104</v>
      </c>
      <c r="E3945" t="s">
        <v>5670</v>
      </c>
      <c r="F3945" s="129" t="s">
        <v>5670</v>
      </c>
      <c r="G3945" t="s">
        <v>406</v>
      </c>
      <c r="H3945" s="129" t="str">
        <f ca="1">IF(Proc[[#This Row],[type]]="LFF (MDG-F)",MID(Proc[[#This Row],[Obj]],13,10),"")</f>
        <v>NL50GPO180</v>
      </c>
      <c r="J3945" s="129" t="b">
        <f ca="1">Proc[[#This Row],[Requested]]=Proc[[#This Row],[CurrentParent]]</f>
        <v>1</v>
      </c>
      <c r="K3945" s="129" t="str">
        <f ca="1">IF(Proc[[#This Row],[Author]]="Marcela Urrego",VLOOKUP(LEFT(Proc[[#This Row],[Requested]],1),Table3[#All],2,0),VLOOKUP(Proc[[#This Row],[Author]],Table4[],2,0))</f>
        <v>MGF</v>
      </c>
      <c r="L3945" s="129" t="s">
        <v>4896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8</v>
      </c>
      <c r="R3945" s="136" t="s">
        <v>515</v>
      </c>
      <c r="S3945" s="129"/>
    </row>
    <row r="3946" spans="1:19" hidden="1">
      <c r="A3946" s="138" t="s">
        <v>6102</v>
      </c>
      <c r="B3946" s="138" t="str">
        <f ca="1">IFERROR(VLOOKUP(Proc[[#This Row],[App]],Table2[],3,0),"open")</f>
        <v>ok</v>
      </c>
      <c r="C3946" s="142" t="s">
        <v>369</v>
      </c>
      <c r="D3946" t="s">
        <v>6105</v>
      </c>
      <c r="E3946" t="s">
        <v>5670</v>
      </c>
      <c r="F3946" s="142" t="s">
        <v>5670</v>
      </c>
      <c r="G3946" s="138" t="s">
        <v>400</v>
      </c>
      <c r="H3946" s="129" t="str">
        <f ca="1">IF(Proc[[#This Row],[type]]="LFF (MDG-F)",MID(Proc[[#This Row],[Obj]],13,10),"")</f>
        <v/>
      </c>
      <c r="J3946" s="129" t="b">
        <f ca="1">Proc[[#This Row],[Requested]]=Proc[[#This Row],[CurrentParent]]</f>
        <v>1</v>
      </c>
      <c r="K3946" s="129" t="str">
        <f ca="1">IF(Proc[[#This Row],[Author]]="Marcela Urrego",VLOOKUP(LEFT(Proc[[#This Row],[Requested]],1),Table3[#All],2,0),VLOOKUP(Proc[[#This Row],[Author]],Table4[],2,0))</f>
        <v>MGF</v>
      </c>
      <c r="L3946" s="129" t="s">
        <v>4896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8</v>
      </c>
      <c r="R3946" s="136" t="s">
        <v>515</v>
      </c>
      <c r="S3946" s="129"/>
    </row>
    <row r="3947" spans="1:19" hidden="1">
      <c r="A3947" t="s">
        <v>6108</v>
      </c>
      <c r="B3947" s="129" t="str">
        <f ca="1">IFERROR(VLOOKUP(Proc[[#This Row],[App]],Table2[],3,0),"open")</f>
        <v>open</v>
      </c>
      <c r="C3947" s="144" t="s">
        <v>370</v>
      </c>
      <c r="D3947" s="138" t="s">
        <v>5956</v>
      </c>
      <c r="E3947" s="138" t="s">
        <v>6066</v>
      </c>
      <c r="F3947" s="140" t="s">
        <v>6106</v>
      </c>
      <c r="G3947" t="s">
        <v>406</v>
      </c>
      <c r="H3947" s="129" t="str">
        <f ca="1">IF(Proc[[#This Row],[type]]="LFF (MDG-F)",MID(Proc[[#This Row],[Obj]],13,10),"")</f>
        <v>JP01C0M825</v>
      </c>
      <c r="J3947" s="129" t="b">
        <f ca="1">Proc[[#This Row],[Requested]]=Proc[[#This Row],[CurrentParent]]</f>
        <v>0</v>
      </c>
      <c r="K3947" s="129" t="str">
        <f ca="1">IF(Proc[[#This Row],[Author]]="Marcela Urrego",VLOOKUP(LEFT(Proc[[#This Row],[Requested]],1),Table3[#All],2,0),VLOOKUP(Proc[[#This Row],[Author]],Table4[],2,0))</f>
        <v>EL</v>
      </c>
      <c r="L3947" s="129" t="s">
        <v>4896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8</v>
      </c>
      <c r="R3947" s="136" t="s">
        <v>6090</v>
      </c>
      <c r="S3947" s="129"/>
    </row>
    <row r="3948" spans="1:19" hidden="1">
      <c r="A3948" t="s">
        <v>6109</v>
      </c>
      <c r="B3948" s="129" t="str">
        <f ca="1">IFERROR(VLOOKUP(Proc[[#This Row],[App]],Table2[],3,0),"open")</f>
        <v>ok</v>
      </c>
      <c r="C3948" s="138" t="s">
        <v>369</v>
      </c>
      <c r="D3948" t="s">
        <v>6110</v>
      </c>
      <c r="E3948" t="s">
        <v>555</v>
      </c>
      <c r="F3948" s="129" t="s">
        <v>555</v>
      </c>
      <c r="G3948" s="138" t="s">
        <v>400</v>
      </c>
      <c r="H3948" s="129" t="str">
        <f ca="1">IF(Proc[[#This Row],[type]]="LFF (MDG-F)",MID(Proc[[#This Row],[Obj]],13,10),"")</f>
        <v/>
      </c>
      <c r="J3948" s="129" t="b">
        <f ca="1">Proc[[#This Row],[Requested]]=Proc[[#This Row],[CurrentParent]]</f>
        <v>1</v>
      </c>
      <c r="K3948" s="129" t="str">
        <f ca="1">IF(Proc[[#This Row],[Author]]="Marcela Urrego",VLOOKUP(LEFT(Proc[[#This Row],[Requested]],1),Table3[#All],2,0),VLOOKUP(Proc[[#This Row],[Author]],Table4[],2,0))</f>
        <v>HC</v>
      </c>
      <c r="L3948" s="129" t="s">
        <v>4896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7</v>
      </c>
      <c r="R3948" s="136" t="s">
        <v>1013</v>
      </c>
      <c r="S3948" s="129"/>
    </row>
    <row r="3949" spans="1:19" hidden="1">
      <c r="A3949" s="138" t="s">
        <v>6109</v>
      </c>
      <c r="B3949" s="129" t="str">
        <f ca="1">IFERROR(VLOOKUP(Proc[[#This Row],[App]],Table2[],3,0),"open")</f>
        <v>ok</v>
      </c>
      <c r="C3949" s="138" t="s">
        <v>369</v>
      </c>
      <c r="D3949" t="s">
        <v>6111</v>
      </c>
      <c r="E3949" t="s">
        <v>555</v>
      </c>
      <c r="F3949" s="129" t="s">
        <v>555</v>
      </c>
      <c r="G3949" s="138" t="s">
        <v>400</v>
      </c>
      <c r="H3949" s="129" t="str">
        <f ca="1">IF(Proc[[#This Row],[type]]="LFF (MDG-F)",MID(Proc[[#This Row],[Obj]],13,10),"")</f>
        <v/>
      </c>
      <c r="J3949" s="129" t="b">
        <f ca="1">Proc[[#This Row],[Requested]]=Proc[[#This Row],[CurrentParent]]</f>
        <v>1</v>
      </c>
      <c r="K3949" s="129" t="str">
        <f ca="1">IF(Proc[[#This Row],[Author]]="Marcela Urrego",VLOOKUP(LEFT(Proc[[#This Row],[Requested]],1),Table3[#All],2,0),VLOOKUP(Proc[[#This Row],[Author]],Table4[],2,0))</f>
        <v>HC</v>
      </c>
      <c r="L3949" s="129" t="s">
        <v>4896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7</v>
      </c>
      <c r="R3949" s="136" t="s">
        <v>1013</v>
      </c>
      <c r="S3949" s="129"/>
    </row>
    <row r="3950" spans="1:19" hidden="1">
      <c r="A3950" s="138" t="s">
        <v>6109</v>
      </c>
      <c r="B3950" s="129" t="str">
        <f ca="1">IFERROR(VLOOKUP(Proc[[#This Row],[App]],Table2[],3,0),"open")</f>
        <v>ok</v>
      </c>
      <c r="C3950" s="138" t="s">
        <v>369</v>
      </c>
      <c r="D3950" t="s">
        <v>6112</v>
      </c>
      <c r="E3950" t="s">
        <v>1012</v>
      </c>
      <c r="F3950" s="129" t="s">
        <v>1012</v>
      </c>
      <c r="G3950" s="138" t="s">
        <v>400</v>
      </c>
      <c r="H3950" s="129" t="str">
        <f ca="1">IF(Proc[[#This Row],[type]]="LFF (MDG-F)",MID(Proc[[#This Row],[Obj]],13,10),"")</f>
        <v/>
      </c>
      <c r="J3950" s="129" t="b">
        <f ca="1">Proc[[#This Row],[Requested]]=Proc[[#This Row],[CurrentParent]]</f>
        <v>1</v>
      </c>
      <c r="K3950" s="129" t="str">
        <f ca="1">IF(Proc[[#This Row],[Author]]="Marcela Urrego",VLOOKUP(LEFT(Proc[[#This Row],[Requested]],1),Table3[#All],2,0),VLOOKUP(Proc[[#This Row],[Author]],Table4[],2,0))</f>
        <v>HC</v>
      </c>
      <c r="L3950" s="129" t="s">
        <v>4896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7</v>
      </c>
      <c r="R3950" s="136" t="s">
        <v>1013</v>
      </c>
      <c r="S3950" s="129"/>
    </row>
    <row r="3951" spans="1:19" hidden="1">
      <c r="A3951" s="138" t="s">
        <v>6109</v>
      </c>
      <c r="B3951" s="129" t="str">
        <f ca="1">IFERROR(VLOOKUP(Proc[[#This Row],[App]],Table2[],3,0),"open")</f>
        <v>ok</v>
      </c>
      <c r="C3951" s="138" t="s">
        <v>369</v>
      </c>
      <c r="D3951" t="s">
        <v>6113</v>
      </c>
      <c r="E3951" t="s">
        <v>555</v>
      </c>
      <c r="F3951" s="129" t="s">
        <v>555</v>
      </c>
      <c r="G3951" s="138" t="s">
        <v>400</v>
      </c>
      <c r="H3951" s="129" t="str">
        <f ca="1">IF(Proc[[#This Row],[type]]="LFF (MDG-F)",MID(Proc[[#This Row],[Obj]],13,10),"")</f>
        <v/>
      </c>
      <c r="J3951" s="129" t="b">
        <f ca="1">Proc[[#This Row],[Requested]]=Proc[[#This Row],[CurrentParent]]</f>
        <v>1</v>
      </c>
      <c r="K3951" s="129" t="str">
        <f ca="1">IF(Proc[[#This Row],[Author]]="Marcela Urrego",VLOOKUP(LEFT(Proc[[#This Row],[Requested]],1),Table3[#All],2,0),VLOOKUP(Proc[[#This Row],[Author]],Table4[],2,0))</f>
        <v>HC</v>
      </c>
      <c r="L3951" s="129" t="s">
        <v>4896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7</v>
      </c>
      <c r="R3951" s="136" t="s">
        <v>1013</v>
      </c>
      <c r="S3951" s="129"/>
    </row>
    <row r="3952" spans="1:19" hidden="1">
      <c r="A3952" s="138" t="s">
        <v>6109</v>
      </c>
      <c r="B3952" s="129" t="str">
        <f ca="1">IFERROR(VLOOKUP(Proc[[#This Row],[App]],Table2[],3,0),"open")</f>
        <v>ok</v>
      </c>
      <c r="C3952" s="138" t="s">
        <v>369</v>
      </c>
      <c r="D3952" t="s">
        <v>6114</v>
      </c>
      <c r="E3952" t="s">
        <v>1012</v>
      </c>
      <c r="F3952" s="129" t="s">
        <v>1012</v>
      </c>
      <c r="G3952" s="138" t="s">
        <v>400</v>
      </c>
      <c r="H3952" s="129" t="str">
        <f ca="1">IF(Proc[[#This Row],[type]]="LFF (MDG-F)",MID(Proc[[#This Row],[Obj]],13,10),"")</f>
        <v/>
      </c>
      <c r="J3952" s="129" t="b">
        <f ca="1">Proc[[#This Row],[Requested]]=Proc[[#This Row],[CurrentParent]]</f>
        <v>1</v>
      </c>
      <c r="K3952" s="129" t="str">
        <f ca="1">IF(Proc[[#This Row],[Author]]="Marcela Urrego",VLOOKUP(LEFT(Proc[[#This Row],[Requested]],1),Table3[#All],2,0),VLOOKUP(Proc[[#This Row],[Author]],Table4[],2,0))</f>
        <v>HC</v>
      </c>
      <c r="L3952" s="129" t="s">
        <v>4896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7</v>
      </c>
      <c r="R3952" s="136" t="s">
        <v>1013</v>
      </c>
      <c r="S3952" s="129"/>
    </row>
    <row r="3953" spans="1:19" hidden="1">
      <c r="A3953" s="138" t="s">
        <v>6109</v>
      </c>
      <c r="B3953" s="129" t="str">
        <f ca="1">IFERROR(VLOOKUP(Proc[[#This Row],[App]],Table2[],3,0),"open")</f>
        <v>ok</v>
      </c>
      <c r="C3953" s="138" t="s">
        <v>369</v>
      </c>
      <c r="D3953" t="s">
        <v>6115</v>
      </c>
      <c r="E3953" t="s">
        <v>555</v>
      </c>
      <c r="F3953" s="129" t="s">
        <v>555</v>
      </c>
      <c r="G3953" s="138" t="s">
        <v>400</v>
      </c>
      <c r="H3953" s="129" t="str">
        <f ca="1">IF(Proc[[#This Row],[type]]="LFF (MDG-F)",MID(Proc[[#This Row],[Obj]],13,10),"")</f>
        <v/>
      </c>
      <c r="J3953" s="129" t="b">
        <f ca="1">Proc[[#This Row],[Requested]]=Proc[[#This Row],[CurrentParent]]</f>
        <v>1</v>
      </c>
      <c r="K3953" s="129" t="str">
        <f ca="1">IF(Proc[[#This Row],[Author]]="Marcela Urrego",VLOOKUP(LEFT(Proc[[#This Row],[Requested]],1),Table3[#All],2,0),VLOOKUP(Proc[[#This Row],[Author]],Table4[],2,0))</f>
        <v>HC</v>
      </c>
      <c r="L3953" s="129" t="s">
        <v>4896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7</v>
      </c>
      <c r="R3953" s="136" t="s">
        <v>1013</v>
      </c>
      <c r="S3953" s="129"/>
    </row>
    <row r="3954" spans="1:19" hidden="1">
      <c r="A3954" s="138" t="s">
        <v>6109</v>
      </c>
      <c r="B3954" s="129" t="str">
        <f ca="1">IFERROR(VLOOKUP(Proc[[#This Row],[App]],Table2[],3,0),"open")</f>
        <v>ok</v>
      </c>
      <c r="C3954" s="138" t="s">
        <v>369</v>
      </c>
      <c r="D3954" t="s">
        <v>6116</v>
      </c>
      <c r="E3954" t="s">
        <v>555</v>
      </c>
      <c r="F3954" s="129" t="s">
        <v>555</v>
      </c>
      <c r="G3954" s="138" t="s">
        <v>400</v>
      </c>
      <c r="H3954" s="129" t="str">
        <f ca="1">IF(Proc[[#This Row],[type]]="LFF (MDG-F)",MID(Proc[[#This Row],[Obj]],13,10),"")</f>
        <v/>
      </c>
      <c r="J3954" s="129" t="b">
        <f ca="1">Proc[[#This Row],[Requested]]=Proc[[#This Row],[CurrentParent]]</f>
        <v>1</v>
      </c>
      <c r="K3954" s="129" t="str">
        <f ca="1">IF(Proc[[#This Row],[Author]]="Marcela Urrego",VLOOKUP(LEFT(Proc[[#This Row],[Requested]],1),Table3[#All],2,0),VLOOKUP(Proc[[#This Row],[Author]],Table4[],2,0))</f>
        <v>HC</v>
      </c>
      <c r="L3954" s="129" t="s">
        <v>4896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7</v>
      </c>
      <c r="R3954" s="136" t="s">
        <v>1013</v>
      </c>
      <c r="S3954" s="129"/>
    </row>
    <row r="3955" spans="1:19" hidden="1">
      <c r="A3955" s="138" t="s">
        <v>6109</v>
      </c>
      <c r="B3955" s="129" t="str">
        <f ca="1">IFERROR(VLOOKUP(Proc[[#This Row],[App]],Table2[],3,0),"open")</f>
        <v>ok</v>
      </c>
      <c r="C3955" s="138" t="s">
        <v>369</v>
      </c>
      <c r="D3955" t="s">
        <v>6117</v>
      </c>
      <c r="E3955" t="s">
        <v>1012</v>
      </c>
      <c r="F3955" s="129" t="s">
        <v>1012</v>
      </c>
      <c r="G3955" s="138" t="s">
        <v>400</v>
      </c>
      <c r="H3955" s="129" t="str">
        <f ca="1">IF(Proc[[#This Row],[type]]="LFF (MDG-F)",MID(Proc[[#This Row],[Obj]],13,10),"")</f>
        <v/>
      </c>
      <c r="J3955" s="129" t="b">
        <f ca="1">Proc[[#This Row],[Requested]]=Proc[[#This Row],[CurrentParent]]</f>
        <v>1</v>
      </c>
      <c r="K3955" s="129" t="str">
        <f ca="1">IF(Proc[[#This Row],[Author]]="Marcela Urrego",VLOOKUP(LEFT(Proc[[#This Row],[Requested]],1),Table3[#All],2,0),VLOOKUP(Proc[[#This Row],[Author]],Table4[],2,0))</f>
        <v>HC</v>
      </c>
      <c r="L3955" s="129" t="s">
        <v>4896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7</v>
      </c>
      <c r="R3955" s="136" t="s">
        <v>1013</v>
      </c>
      <c r="S3955" s="129"/>
    </row>
    <row r="3956" spans="1:19" hidden="1">
      <c r="A3956" s="138" t="s">
        <v>6109</v>
      </c>
      <c r="B3956" s="129" t="str">
        <f ca="1">IFERROR(VLOOKUP(Proc[[#This Row],[App]],Table2[],3,0),"open")</f>
        <v>ok</v>
      </c>
      <c r="C3956" s="138" t="s">
        <v>369</v>
      </c>
      <c r="D3956" t="s">
        <v>6118</v>
      </c>
      <c r="E3956" t="s">
        <v>556</v>
      </c>
      <c r="F3956" s="129" t="s">
        <v>556</v>
      </c>
      <c r="G3956" s="138" t="s">
        <v>400</v>
      </c>
      <c r="H3956" s="129" t="str">
        <f ca="1">IF(Proc[[#This Row],[type]]="LFF (MDG-F)",MID(Proc[[#This Row],[Obj]],13,10),"")</f>
        <v/>
      </c>
      <c r="J3956" s="129" t="b">
        <f ca="1">Proc[[#This Row],[Requested]]=Proc[[#This Row],[CurrentParent]]</f>
        <v>1</v>
      </c>
      <c r="K3956" s="129" t="str">
        <f ca="1">IF(Proc[[#This Row],[Author]]="Marcela Urrego",VLOOKUP(LEFT(Proc[[#This Row],[Requested]],1),Table3[#All],2,0),VLOOKUP(Proc[[#This Row],[Author]],Table4[],2,0))</f>
        <v>HC</v>
      </c>
      <c r="L3956" s="129" t="s">
        <v>4896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7</v>
      </c>
      <c r="R3956" s="136" t="s">
        <v>1013</v>
      </c>
      <c r="S3956" s="129"/>
    </row>
    <row r="3957" spans="1:19" hidden="1">
      <c r="A3957" s="138" t="s">
        <v>6109</v>
      </c>
      <c r="B3957" s="129" t="str">
        <f ca="1">IFERROR(VLOOKUP(Proc[[#This Row],[App]],Table2[],3,0),"open")</f>
        <v>ok</v>
      </c>
      <c r="C3957" s="138" t="s">
        <v>369</v>
      </c>
      <c r="D3957" t="s">
        <v>6119</v>
      </c>
      <c r="E3957" t="s">
        <v>1012</v>
      </c>
      <c r="F3957" s="129" t="s">
        <v>1012</v>
      </c>
      <c r="G3957" s="138" t="s">
        <v>400</v>
      </c>
      <c r="H3957" s="129" t="str">
        <f ca="1">IF(Proc[[#This Row],[type]]="LFF (MDG-F)",MID(Proc[[#This Row],[Obj]],13,10),"")</f>
        <v/>
      </c>
      <c r="J3957" s="129" t="b">
        <f ca="1">Proc[[#This Row],[Requested]]=Proc[[#This Row],[CurrentParent]]</f>
        <v>1</v>
      </c>
      <c r="K3957" s="129" t="str">
        <f ca="1">IF(Proc[[#This Row],[Author]]="Marcela Urrego",VLOOKUP(LEFT(Proc[[#This Row],[Requested]],1),Table3[#All],2,0),VLOOKUP(Proc[[#This Row],[Author]],Table4[],2,0))</f>
        <v>HC</v>
      </c>
      <c r="L3957" s="129" t="s">
        <v>4896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7</v>
      </c>
      <c r="R3957" s="136" t="s">
        <v>1013</v>
      </c>
      <c r="S3957" s="129"/>
    </row>
    <row r="3958" spans="1:19" hidden="1">
      <c r="A3958" s="138" t="s">
        <v>6109</v>
      </c>
      <c r="B3958" s="129" t="str">
        <f ca="1">IFERROR(VLOOKUP(Proc[[#This Row],[App]],Table2[],3,0),"open")</f>
        <v>ok</v>
      </c>
      <c r="C3958" s="138" t="s">
        <v>369</v>
      </c>
      <c r="D3958" t="s">
        <v>6120</v>
      </c>
      <c r="E3958" t="s">
        <v>1012</v>
      </c>
      <c r="F3958" s="129" t="s">
        <v>1012</v>
      </c>
      <c r="G3958" s="138" t="s">
        <v>400</v>
      </c>
      <c r="H3958" s="129" t="str">
        <f ca="1">IF(Proc[[#This Row],[type]]="LFF (MDG-F)",MID(Proc[[#This Row],[Obj]],13,10),"")</f>
        <v/>
      </c>
      <c r="J3958" s="129" t="b">
        <f ca="1">Proc[[#This Row],[Requested]]=Proc[[#This Row],[CurrentParent]]</f>
        <v>1</v>
      </c>
      <c r="K3958" s="129" t="str">
        <f ca="1">IF(Proc[[#This Row],[Author]]="Marcela Urrego",VLOOKUP(LEFT(Proc[[#This Row],[Requested]],1),Table3[#All],2,0),VLOOKUP(Proc[[#This Row],[Author]],Table4[],2,0))</f>
        <v>HC</v>
      </c>
      <c r="L3958" s="129" t="s">
        <v>4896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7</v>
      </c>
      <c r="R3958" s="136" t="s">
        <v>1013</v>
      </c>
      <c r="S3958" s="129"/>
    </row>
    <row r="3959" spans="1:19" hidden="1">
      <c r="A3959" s="138" t="s">
        <v>6109</v>
      </c>
      <c r="B3959" s="129" t="str">
        <f ca="1">IFERROR(VLOOKUP(Proc[[#This Row],[App]],Table2[],3,0),"open")</f>
        <v>ok</v>
      </c>
      <c r="C3959" s="138" t="s">
        <v>369</v>
      </c>
      <c r="D3959" t="s">
        <v>6121</v>
      </c>
      <c r="E3959" t="s">
        <v>1012</v>
      </c>
      <c r="F3959" s="129" t="s">
        <v>1012</v>
      </c>
      <c r="G3959" s="138" t="s">
        <v>400</v>
      </c>
      <c r="H3959" s="129" t="str">
        <f ca="1">IF(Proc[[#This Row],[type]]="LFF (MDG-F)",MID(Proc[[#This Row],[Obj]],13,10),"")</f>
        <v/>
      </c>
      <c r="J3959" s="129" t="b">
        <f ca="1">Proc[[#This Row],[Requested]]=Proc[[#This Row],[CurrentParent]]</f>
        <v>1</v>
      </c>
      <c r="K3959" s="129" t="str">
        <f ca="1">IF(Proc[[#This Row],[Author]]="Marcela Urrego",VLOOKUP(LEFT(Proc[[#This Row],[Requested]],1),Table3[#All],2,0),VLOOKUP(Proc[[#This Row],[Author]],Table4[],2,0))</f>
        <v>HC</v>
      </c>
      <c r="L3959" s="129" t="s">
        <v>4896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7</v>
      </c>
      <c r="R3959" s="136" t="s">
        <v>1013</v>
      </c>
      <c r="S3959" s="129"/>
    </row>
    <row r="3960" spans="1:19" hidden="1">
      <c r="A3960" s="138" t="s">
        <v>6109</v>
      </c>
      <c r="B3960" s="129" t="str">
        <f ca="1">IFERROR(VLOOKUP(Proc[[#This Row],[App]],Table2[],3,0),"open")</f>
        <v>ok</v>
      </c>
      <c r="C3960" s="138" t="s">
        <v>369</v>
      </c>
      <c r="D3960" t="s">
        <v>6122</v>
      </c>
      <c r="E3960" t="s">
        <v>555</v>
      </c>
      <c r="F3960" s="129" t="s">
        <v>555</v>
      </c>
      <c r="G3960" s="138" t="s">
        <v>400</v>
      </c>
      <c r="H3960" s="129" t="str">
        <f ca="1">IF(Proc[[#This Row],[type]]="LFF (MDG-F)",MID(Proc[[#This Row],[Obj]],13,10),"")</f>
        <v/>
      </c>
      <c r="J3960" s="129" t="b">
        <f ca="1">Proc[[#This Row],[Requested]]=Proc[[#This Row],[CurrentParent]]</f>
        <v>1</v>
      </c>
      <c r="K3960" s="129" t="str">
        <f ca="1">IF(Proc[[#This Row],[Author]]="Marcela Urrego",VLOOKUP(LEFT(Proc[[#This Row],[Requested]],1),Table3[#All],2,0),VLOOKUP(Proc[[#This Row],[Author]],Table4[],2,0))</f>
        <v>HC</v>
      </c>
      <c r="L3960" s="129" t="s">
        <v>4896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7</v>
      </c>
      <c r="R3960" s="136" t="s">
        <v>1013</v>
      </c>
      <c r="S3960" s="129"/>
    </row>
    <row r="3961" spans="1:19" hidden="1">
      <c r="A3961" s="138" t="s">
        <v>6109</v>
      </c>
      <c r="B3961" s="129" t="str">
        <f ca="1">IFERROR(VLOOKUP(Proc[[#This Row],[App]],Table2[],3,0),"open")</f>
        <v>ok</v>
      </c>
      <c r="C3961" s="138" t="s">
        <v>369</v>
      </c>
      <c r="D3961" t="s">
        <v>6123</v>
      </c>
      <c r="E3961" t="s">
        <v>554</v>
      </c>
      <c r="F3961" s="129" t="s">
        <v>554</v>
      </c>
      <c r="G3961" s="138" t="s">
        <v>400</v>
      </c>
      <c r="H3961" s="129" t="str">
        <f ca="1">IF(Proc[[#This Row],[type]]="LFF (MDG-F)",MID(Proc[[#This Row],[Obj]],13,10),"")</f>
        <v/>
      </c>
      <c r="J3961" s="129" t="b">
        <f ca="1">Proc[[#This Row],[Requested]]=Proc[[#This Row],[CurrentParent]]</f>
        <v>1</v>
      </c>
      <c r="K3961" s="129" t="str">
        <f ca="1">IF(Proc[[#This Row],[Author]]="Marcela Urrego",VLOOKUP(LEFT(Proc[[#This Row],[Requested]],1),Table3[#All],2,0),VLOOKUP(Proc[[#This Row],[Author]],Table4[],2,0))</f>
        <v>HC</v>
      </c>
      <c r="L3961" s="129" t="s">
        <v>4896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7</v>
      </c>
      <c r="R3961" s="136" t="s">
        <v>1013</v>
      </c>
      <c r="S3961" s="129"/>
    </row>
    <row r="3962" spans="1:19" hidden="1">
      <c r="A3962" s="138" t="s">
        <v>6109</v>
      </c>
      <c r="B3962" s="129" t="str">
        <f ca="1">IFERROR(VLOOKUP(Proc[[#This Row],[App]],Table2[],3,0),"open")</f>
        <v>ok</v>
      </c>
      <c r="C3962" s="138" t="s">
        <v>369</v>
      </c>
      <c r="D3962" t="s">
        <v>6124</v>
      </c>
      <c r="E3962" t="s">
        <v>554</v>
      </c>
      <c r="F3962" s="129" t="s">
        <v>554</v>
      </c>
      <c r="G3962" s="138" t="s">
        <v>400</v>
      </c>
      <c r="H3962" s="129" t="str">
        <f ca="1">IF(Proc[[#This Row],[type]]="LFF (MDG-F)",MID(Proc[[#This Row],[Obj]],13,10),"")</f>
        <v/>
      </c>
      <c r="J3962" s="129" t="b">
        <f ca="1">Proc[[#This Row],[Requested]]=Proc[[#This Row],[CurrentParent]]</f>
        <v>1</v>
      </c>
      <c r="K3962" s="129" t="str">
        <f ca="1">IF(Proc[[#This Row],[Author]]="Marcela Urrego",VLOOKUP(LEFT(Proc[[#This Row],[Requested]],1),Table3[#All],2,0),VLOOKUP(Proc[[#This Row],[Author]],Table4[],2,0))</f>
        <v>HC</v>
      </c>
      <c r="L3962" s="129" t="s">
        <v>4896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7</v>
      </c>
      <c r="R3962" s="136" t="s">
        <v>1013</v>
      </c>
      <c r="S3962" s="129"/>
    </row>
    <row r="3963" spans="1:19" hidden="1">
      <c r="A3963" s="138" t="s">
        <v>6109</v>
      </c>
      <c r="B3963" s="129" t="str">
        <f ca="1">IFERROR(VLOOKUP(Proc[[#This Row],[App]],Table2[],3,0),"open")</f>
        <v>ok</v>
      </c>
      <c r="C3963" s="138" t="s">
        <v>369</v>
      </c>
      <c r="D3963" t="s">
        <v>6125</v>
      </c>
      <c r="E3963" t="s">
        <v>554</v>
      </c>
      <c r="F3963" s="129" t="s">
        <v>554</v>
      </c>
      <c r="G3963" s="138" t="s">
        <v>400</v>
      </c>
      <c r="H3963" s="129" t="str">
        <f ca="1">IF(Proc[[#This Row],[type]]="LFF (MDG-F)",MID(Proc[[#This Row],[Obj]],13,10),"")</f>
        <v/>
      </c>
      <c r="J3963" s="129" t="b">
        <f ca="1">Proc[[#This Row],[Requested]]=Proc[[#This Row],[CurrentParent]]</f>
        <v>1</v>
      </c>
      <c r="K3963" s="129" t="str">
        <f ca="1">IF(Proc[[#This Row],[Author]]="Marcela Urrego",VLOOKUP(LEFT(Proc[[#This Row],[Requested]],1),Table3[#All],2,0),VLOOKUP(Proc[[#This Row],[Author]],Table4[],2,0))</f>
        <v>HC</v>
      </c>
      <c r="L3963" s="129" t="s">
        <v>4896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7</v>
      </c>
      <c r="R3963" s="136" t="s">
        <v>1013</v>
      </c>
      <c r="S3963" s="129"/>
    </row>
    <row r="3964" spans="1:19" hidden="1">
      <c r="A3964" s="138" t="s">
        <v>6109</v>
      </c>
      <c r="B3964" s="129" t="str">
        <f ca="1">IFERROR(VLOOKUP(Proc[[#This Row],[App]],Table2[],3,0),"open")</f>
        <v>ok</v>
      </c>
      <c r="C3964" s="138" t="s">
        <v>369</v>
      </c>
      <c r="D3964" t="s">
        <v>6126</v>
      </c>
      <c r="E3964" t="s">
        <v>557</v>
      </c>
      <c r="F3964" s="129" t="s">
        <v>557</v>
      </c>
      <c r="G3964" s="138" t="s">
        <v>400</v>
      </c>
      <c r="H3964" s="129" t="str">
        <f ca="1">IF(Proc[[#This Row],[type]]="LFF (MDG-F)",MID(Proc[[#This Row],[Obj]],13,10),"")</f>
        <v/>
      </c>
      <c r="J3964" s="129" t="b">
        <f ca="1">Proc[[#This Row],[Requested]]=Proc[[#This Row],[CurrentParent]]</f>
        <v>1</v>
      </c>
      <c r="K3964" s="129" t="str">
        <f ca="1">IF(Proc[[#This Row],[Author]]="Marcela Urrego",VLOOKUP(LEFT(Proc[[#This Row],[Requested]],1),Table3[#All],2,0),VLOOKUP(Proc[[#This Row],[Author]],Table4[],2,0))</f>
        <v>HC</v>
      </c>
      <c r="L3964" s="129" t="s">
        <v>4896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7</v>
      </c>
      <c r="R3964" s="136" t="s">
        <v>1013</v>
      </c>
      <c r="S3964" s="129"/>
    </row>
    <row r="3965" spans="1:19" hidden="1">
      <c r="A3965" s="138" t="s">
        <v>6109</v>
      </c>
      <c r="B3965" s="129" t="str">
        <f ca="1">IFERROR(VLOOKUP(Proc[[#This Row],[App]],Table2[],3,0),"open")</f>
        <v>ok</v>
      </c>
      <c r="C3965" s="138" t="s">
        <v>369</v>
      </c>
      <c r="D3965" t="s">
        <v>6127</v>
      </c>
      <c r="E3965" t="s">
        <v>557</v>
      </c>
      <c r="F3965" s="129" t="s">
        <v>557</v>
      </c>
      <c r="G3965" s="138" t="s">
        <v>400</v>
      </c>
      <c r="H3965" s="129" t="str">
        <f ca="1">IF(Proc[[#This Row],[type]]="LFF (MDG-F)",MID(Proc[[#This Row],[Obj]],13,10),"")</f>
        <v/>
      </c>
      <c r="J3965" s="129" t="b">
        <f ca="1">Proc[[#This Row],[Requested]]=Proc[[#This Row],[CurrentParent]]</f>
        <v>1</v>
      </c>
      <c r="K3965" s="129" t="str">
        <f ca="1">IF(Proc[[#This Row],[Author]]="Marcela Urrego",VLOOKUP(LEFT(Proc[[#This Row],[Requested]],1),Table3[#All],2,0),VLOOKUP(Proc[[#This Row],[Author]],Table4[],2,0))</f>
        <v>HC</v>
      </c>
      <c r="L3965" s="129" t="s">
        <v>4896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7</v>
      </c>
      <c r="R3965" s="136" t="s">
        <v>1013</v>
      </c>
      <c r="S3965" s="129"/>
    </row>
    <row r="3966" spans="1:19" hidden="1">
      <c r="A3966" s="138" t="s">
        <v>6109</v>
      </c>
      <c r="B3966" s="129" t="str">
        <f ca="1">IFERROR(VLOOKUP(Proc[[#This Row],[App]],Table2[],3,0),"open")</f>
        <v>ok</v>
      </c>
      <c r="C3966" s="138" t="s">
        <v>369</v>
      </c>
      <c r="D3966" t="s">
        <v>6128</v>
      </c>
      <c r="E3966" t="s">
        <v>543</v>
      </c>
      <c r="F3966" s="129" t="s">
        <v>543</v>
      </c>
      <c r="G3966" s="138" t="s">
        <v>400</v>
      </c>
      <c r="H3966" s="129" t="str">
        <f ca="1">IF(Proc[[#This Row],[type]]="LFF (MDG-F)",MID(Proc[[#This Row],[Obj]],13,10),"")</f>
        <v/>
      </c>
      <c r="J3966" s="129" t="b">
        <f ca="1">Proc[[#This Row],[Requested]]=Proc[[#This Row],[CurrentParent]]</f>
        <v>1</v>
      </c>
      <c r="K3966" s="129" t="str">
        <f ca="1">IF(Proc[[#This Row],[Author]]="Marcela Urrego",VLOOKUP(LEFT(Proc[[#This Row],[Requested]],1),Table3[#All],2,0),VLOOKUP(Proc[[#This Row],[Author]],Table4[],2,0))</f>
        <v>HC</v>
      </c>
      <c r="L3966" s="129" t="s">
        <v>4896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7</v>
      </c>
      <c r="R3966" s="136" t="s">
        <v>1013</v>
      </c>
      <c r="S3966" s="129"/>
    </row>
    <row r="3967" spans="1:19" hidden="1">
      <c r="A3967" s="138" t="s">
        <v>6109</v>
      </c>
      <c r="B3967" s="129" t="str">
        <f ca="1">IFERROR(VLOOKUP(Proc[[#This Row],[App]],Table2[],3,0),"open")</f>
        <v>ok</v>
      </c>
      <c r="C3967" s="138" t="s">
        <v>369</v>
      </c>
      <c r="D3967" t="s">
        <v>6129</v>
      </c>
      <c r="E3967" t="s">
        <v>1012</v>
      </c>
      <c r="F3967" s="129" t="s">
        <v>1012</v>
      </c>
      <c r="G3967" s="138" t="s">
        <v>400</v>
      </c>
      <c r="H3967" s="129" t="str">
        <f ca="1">IF(Proc[[#This Row],[type]]="LFF (MDG-F)",MID(Proc[[#This Row],[Obj]],13,10),"")</f>
        <v/>
      </c>
      <c r="J3967" s="129" t="b">
        <f ca="1">Proc[[#This Row],[Requested]]=Proc[[#This Row],[CurrentParent]]</f>
        <v>1</v>
      </c>
      <c r="K3967" s="129" t="str">
        <f ca="1">IF(Proc[[#This Row],[Author]]="Marcela Urrego",VLOOKUP(LEFT(Proc[[#This Row],[Requested]],1),Table3[#All],2,0),VLOOKUP(Proc[[#This Row],[Author]],Table4[],2,0))</f>
        <v>HC</v>
      </c>
      <c r="L3967" s="129" t="s">
        <v>4896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7</v>
      </c>
      <c r="R3967" s="136" t="s">
        <v>1013</v>
      </c>
      <c r="S3967" s="129"/>
    </row>
    <row r="3968" spans="1:19" hidden="1">
      <c r="A3968" s="138" t="s">
        <v>6109</v>
      </c>
      <c r="B3968" s="129" t="str">
        <f ca="1">IFERROR(VLOOKUP(Proc[[#This Row],[App]],Table2[],3,0),"open")</f>
        <v>ok</v>
      </c>
      <c r="C3968" s="138" t="s">
        <v>369</v>
      </c>
      <c r="D3968" t="s">
        <v>6130</v>
      </c>
      <c r="E3968" t="s">
        <v>1012</v>
      </c>
      <c r="F3968" s="129" t="s">
        <v>1012</v>
      </c>
      <c r="G3968" s="138" t="s">
        <v>400</v>
      </c>
      <c r="H3968" s="129" t="str">
        <f ca="1">IF(Proc[[#This Row],[type]]="LFF (MDG-F)",MID(Proc[[#This Row],[Obj]],13,10),"")</f>
        <v/>
      </c>
      <c r="J3968" s="129" t="b">
        <f ca="1">Proc[[#This Row],[Requested]]=Proc[[#This Row],[CurrentParent]]</f>
        <v>1</v>
      </c>
      <c r="K3968" s="129" t="str">
        <f ca="1">IF(Proc[[#This Row],[Author]]="Marcela Urrego",VLOOKUP(LEFT(Proc[[#This Row],[Requested]],1),Table3[#All],2,0),VLOOKUP(Proc[[#This Row],[Author]],Table4[],2,0))</f>
        <v>HC</v>
      </c>
      <c r="L3968" s="129" t="s">
        <v>4896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7</v>
      </c>
      <c r="R3968" s="136" t="s">
        <v>1013</v>
      </c>
      <c r="S3968" s="129"/>
    </row>
    <row r="3969" spans="1:19" hidden="1">
      <c r="A3969" s="138" t="s">
        <v>6109</v>
      </c>
      <c r="B3969" s="129" t="str">
        <f ca="1">IFERROR(VLOOKUP(Proc[[#This Row],[App]],Table2[],3,0),"open")</f>
        <v>ok</v>
      </c>
      <c r="C3969" s="138" t="s">
        <v>369</v>
      </c>
      <c r="D3969" t="s">
        <v>6131</v>
      </c>
      <c r="E3969" t="s">
        <v>1012</v>
      </c>
      <c r="F3969" s="129" t="s">
        <v>1012</v>
      </c>
      <c r="G3969" s="138" t="s">
        <v>400</v>
      </c>
      <c r="H3969" s="129" t="str">
        <f ca="1">IF(Proc[[#This Row],[type]]="LFF (MDG-F)",MID(Proc[[#This Row],[Obj]],13,10),"")</f>
        <v/>
      </c>
      <c r="J3969" s="129" t="b">
        <f ca="1">Proc[[#This Row],[Requested]]=Proc[[#This Row],[CurrentParent]]</f>
        <v>1</v>
      </c>
      <c r="K3969" s="129" t="str">
        <f ca="1">IF(Proc[[#This Row],[Author]]="Marcela Urrego",VLOOKUP(LEFT(Proc[[#This Row],[Requested]],1),Table3[#All],2,0),VLOOKUP(Proc[[#This Row],[Author]],Table4[],2,0))</f>
        <v>HC</v>
      </c>
      <c r="L3969" s="129" t="s">
        <v>4896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7</v>
      </c>
      <c r="R3969" s="136" t="s">
        <v>1013</v>
      </c>
      <c r="S3969" s="129"/>
    </row>
    <row r="3970" spans="1:19" hidden="1">
      <c r="A3970" s="138" t="s">
        <v>6109</v>
      </c>
      <c r="B3970" s="129" t="str">
        <f ca="1">IFERROR(VLOOKUP(Proc[[#This Row],[App]],Table2[],3,0),"open")</f>
        <v>ok</v>
      </c>
      <c r="C3970" s="138" t="s">
        <v>369</v>
      </c>
      <c r="D3970" t="s">
        <v>6132</v>
      </c>
      <c r="E3970" t="s">
        <v>554</v>
      </c>
      <c r="F3970" s="129" t="s">
        <v>554</v>
      </c>
      <c r="G3970" s="138" t="s">
        <v>400</v>
      </c>
      <c r="H3970" s="129" t="str">
        <f ca="1">IF(Proc[[#This Row],[type]]="LFF (MDG-F)",MID(Proc[[#This Row],[Obj]],13,10),"")</f>
        <v/>
      </c>
      <c r="J3970" s="129" t="b">
        <f ca="1">Proc[[#This Row],[Requested]]=Proc[[#This Row],[CurrentParent]]</f>
        <v>1</v>
      </c>
      <c r="K3970" s="129" t="str">
        <f ca="1">IF(Proc[[#This Row],[Author]]="Marcela Urrego",VLOOKUP(LEFT(Proc[[#This Row],[Requested]],1),Table3[#All],2,0),VLOOKUP(Proc[[#This Row],[Author]],Table4[],2,0))</f>
        <v>HC</v>
      </c>
      <c r="L3970" s="129" t="s">
        <v>4896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7</v>
      </c>
      <c r="R3970" s="136" t="s">
        <v>1013</v>
      </c>
      <c r="S3970" s="129"/>
    </row>
    <row r="3971" spans="1:19" hidden="1">
      <c r="A3971" s="138" t="s">
        <v>6109</v>
      </c>
      <c r="B3971" s="129" t="str">
        <f ca="1">IFERROR(VLOOKUP(Proc[[#This Row],[App]],Table2[],3,0),"open")</f>
        <v>ok</v>
      </c>
      <c r="C3971" s="138" t="s">
        <v>369</v>
      </c>
      <c r="D3971" t="s">
        <v>6133</v>
      </c>
      <c r="E3971" t="s">
        <v>555</v>
      </c>
      <c r="F3971" s="129" t="s">
        <v>555</v>
      </c>
      <c r="G3971" s="138" t="s">
        <v>400</v>
      </c>
      <c r="H3971" s="129" t="str">
        <f ca="1">IF(Proc[[#This Row],[type]]="LFF (MDG-F)",MID(Proc[[#This Row],[Obj]],13,10),"")</f>
        <v/>
      </c>
      <c r="J3971" s="129" t="b">
        <f ca="1">Proc[[#This Row],[Requested]]=Proc[[#This Row],[CurrentParent]]</f>
        <v>1</v>
      </c>
      <c r="K3971" s="129" t="str">
        <f ca="1">IF(Proc[[#This Row],[Author]]="Marcela Urrego",VLOOKUP(LEFT(Proc[[#This Row],[Requested]],1),Table3[#All],2,0),VLOOKUP(Proc[[#This Row],[Author]],Table4[],2,0))</f>
        <v>HC</v>
      </c>
      <c r="L3971" s="129" t="s">
        <v>4896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7</v>
      </c>
      <c r="R3971" s="136" t="s">
        <v>1013</v>
      </c>
      <c r="S3971" s="129"/>
    </row>
    <row r="3972" spans="1:19" hidden="1">
      <c r="A3972" s="138" t="s">
        <v>6109</v>
      </c>
      <c r="B3972" s="129" t="str">
        <f ca="1">IFERROR(VLOOKUP(Proc[[#This Row],[App]],Table2[],3,0),"open")</f>
        <v>ok</v>
      </c>
      <c r="C3972" s="138" t="s">
        <v>369</v>
      </c>
      <c r="D3972" t="s">
        <v>6134</v>
      </c>
      <c r="E3972" t="s">
        <v>557</v>
      </c>
      <c r="F3972" s="129" t="s">
        <v>557</v>
      </c>
      <c r="G3972" s="138" t="s">
        <v>400</v>
      </c>
      <c r="H3972" s="129" t="str">
        <f ca="1">IF(Proc[[#This Row],[type]]="LFF (MDG-F)",MID(Proc[[#This Row],[Obj]],13,10),"")</f>
        <v/>
      </c>
      <c r="J3972" s="129" t="b">
        <f ca="1">Proc[[#This Row],[Requested]]=Proc[[#This Row],[CurrentParent]]</f>
        <v>1</v>
      </c>
      <c r="K3972" s="129" t="str">
        <f ca="1">IF(Proc[[#This Row],[Author]]="Marcela Urrego",VLOOKUP(LEFT(Proc[[#This Row],[Requested]],1),Table3[#All],2,0),VLOOKUP(Proc[[#This Row],[Author]],Table4[],2,0))</f>
        <v>HC</v>
      </c>
      <c r="L3972" s="129" t="s">
        <v>4896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7</v>
      </c>
      <c r="R3972" s="136" t="s">
        <v>1013</v>
      </c>
      <c r="S3972" s="129"/>
    </row>
    <row r="3973" spans="1:19" hidden="1">
      <c r="A3973" s="138" t="s">
        <v>6109</v>
      </c>
      <c r="B3973" s="129" t="str">
        <f ca="1">IFERROR(VLOOKUP(Proc[[#This Row],[App]],Table2[],3,0),"open")</f>
        <v>ok</v>
      </c>
      <c r="C3973" s="138" t="s">
        <v>369</v>
      </c>
      <c r="D3973" t="s">
        <v>6135</v>
      </c>
      <c r="E3973" t="s">
        <v>543</v>
      </c>
      <c r="F3973" s="129" t="s">
        <v>543</v>
      </c>
      <c r="G3973" s="138" t="s">
        <v>400</v>
      </c>
      <c r="H3973" s="129" t="str">
        <f ca="1">IF(Proc[[#This Row],[type]]="LFF (MDG-F)",MID(Proc[[#This Row],[Obj]],13,10),"")</f>
        <v/>
      </c>
      <c r="J3973" s="129" t="b">
        <f ca="1">Proc[[#This Row],[Requested]]=Proc[[#This Row],[CurrentParent]]</f>
        <v>1</v>
      </c>
      <c r="K3973" s="129" t="str">
        <f ca="1">IF(Proc[[#This Row],[Author]]="Marcela Urrego",VLOOKUP(LEFT(Proc[[#This Row],[Requested]],1),Table3[#All],2,0),VLOOKUP(Proc[[#This Row],[Author]],Table4[],2,0))</f>
        <v>HC</v>
      </c>
      <c r="L3973" s="129" t="s">
        <v>4896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7</v>
      </c>
      <c r="R3973" s="136" t="s">
        <v>1013</v>
      </c>
      <c r="S3973" s="129"/>
    </row>
    <row r="3974" spans="1:19" hidden="1">
      <c r="A3974" s="138" t="s">
        <v>6109</v>
      </c>
      <c r="B3974" s="129" t="str">
        <f ca="1">IFERROR(VLOOKUP(Proc[[#This Row],[App]],Table2[],3,0),"open")</f>
        <v>ok</v>
      </c>
      <c r="C3974" s="138" t="s">
        <v>369</v>
      </c>
      <c r="D3974" t="s">
        <v>6136</v>
      </c>
      <c r="E3974" t="s">
        <v>1012</v>
      </c>
      <c r="F3974" s="129" t="s">
        <v>1012</v>
      </c>
      <c r="G3974" s="138" t="s">
        <v>400</v>
      </c>
      <c r="H3974" s="129" t="str">
        <f ca="1">IF(Proc[[#This Row],[type]]="LFF (MDG-F)",MID(Proc[[#This Row],[Obj]],13,10),"")</f>
        <v/>
      </c>
      <c r="J3974" s="129" t="b">
        <f ca="1">Proc[[#This Row],[Requested]]=Proc[[#This Row],[CurrentParent]]</f>
        <v>1</v>
      </c>
      <c r="K3974" s="129" t="str">
        <f ca="1">IF(Proc[[#This Row],[Author]]="Marcela Urrego",VLOOKUP(LEFT(Proc[[#This Row],[Requested]],1),Table3[#All],2,0),VLOOKUP(Proc[[#This Row],[Author]],Table4[],2,0))</f>
        <v>HC</v>
      </c>
      <c r="L3974" s="129" t="s">
        <v>4896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7</v>
      </c>
      <c r="R3974" s="136" t="s">
        <v>1013</v>
      </c>
      <c r="S3974" s="129"/>
    </row>
    <row r="3975" spans="1:19" hidden="1">
      <c r="A3975" s="138" t="s">
        <v>6109</v>
      </c>
      <c r="B3975" s="129" t="str">
        <f ca="1">IFERROR(VLOOKUP(Proc[[#This Row],[App]],Table2[],3,0),"open")</f>
        <v>ok</v>
      </c>
      <c r="C3975" s="138" t="s">
        <v>369</v>
      </c>
      <c r="D3975" t="s">
        <v>6137</v>
      </c>
      <c r="E3975" t="s">
        <v>1012</v>
      </c>
      <c r="F3975" s="129" t="s">
        <v>1012</v>
      </c>
      <c r="G3975" s="138" t="s">
        <v>400</v>
      </c>
      <c r="H3975" s="129" t="str">
        <f ca="1">IF(Proc[[#This Row],[type]]="LFF (MDG-F)",MID(Proc[[#This Row],[Obj]],13,10),"")</f>
        <v/>
      </c>
      <c r="J3975" s="129" t="b">
        <f ca="1">Proc[[#This Row],[Requested]]=Proc[[#This Row],[CurrentParent]]</f>
        <v>1</v>
      </c>
      <c r="K3975" s="129" t="str">
        <f ca="1">IF(Proc[[#This Row],[Author]]="Marcela Urrego",VLOOKUP(LEFT(Proc[[#This Row],[Requested]],1),Table3[#All],2,0),VLOOKUP(Proc[[#This Row],[Author]],Table4[],2,0))</f>
        <v>HC</v>
      </c>
      <c r="L3975" s="129" t="s">
        <v>4896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7</v>
      </c>
      <c r="R3975" s="136" t="s">
        <v>1013</v>
      </c>
      <c r="S3975" s="129"/>
    </row>
    <row r="3976" spans="1:19" hidden="1">
      <c r="A3976" s="138" t="s">
        <v>6109</v>
      </c>
      <c r="B3976" s="129" t="str">
        <f ca="1">IFERROR(VLOOKUP(Proc[[#This Row],[App]],Table2[],3,0),"open")</f>
        <v>ok</v>
      </c>
      <c r="C3976" s="138" t="s">
        <v>369</v>
      </c>
      <c r="D3976" t="s">
        <v>6138</v>
      </c>
      <c r="E3976" t="s">
        <v>555</v>
      </c>
      <c r="F3976" s="129" t="s">
        <v>555</v>
      </c>
      <c r="G3976" s="138" t="s">
        <v>400</v>
      </c>
      <c r="H3976" s="129" t="str">
        <f ca="1">IF(Proc[[#This Row],[type]]="LFF (MDG-F)",MID(Proc[[#This Row],[Obj]],13,10),"")</f>
        <v/>
      </c>
      <c r="J3976" s="129" t="b">
        <f ca="1">Proc[[#This Row],[Requested]]=Proc[[#This Row],[CurrentParent]]</f>
        <v>1</v>
      </c>
      <c r="K3976" s="129" t="str">
        <f ca="1">IF(Proc[[#This Row],[Author]]="Marcela Urrego",VLOOKUP(LEFT(Proc[[#This Row],[Requested]],1),Table3[#All],2,0),VLOOKUP(Proc[[#This Row],[Author]],Table4[],2,0))</f>
        <v>HC</v>
      </c>
      <c r="L3976" s="129" t="s">
        <v>4896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7</v>
      </c>
      <c r="R3976" s="136" t="s">
        <v>1013</v>
      </c>
      <c r="S3976" s="129"/>
    </row>
    <row r="3977" spans="1:19" hidden="1">
      <c r="A3977" s="138" t="s">
        <v>6109</v>
      </c>
      <c r="B3977" s="129" t="str">
        <f ca="1">IFERROR(VLOOKUP(Proc[[#This Row],[App]],Table2[],3,0),"open")</f>
        <v>ok</v>
      </c>
      <c r="C3977" s="138" t="s">
        <v>369</v>
      </c>
      <c r="D3977" t="s">
        <v>6139</v>
      </c>
      <c r="E3977" t="s">
        <v>555</v>
      </c>
      <c r="F3977" s="129" t="s">
        <v>555</v>
      </c>
      <c r="G3977" s="138" t="s">
        <v>400</v>
      </c>
      <c r="H3977" s="129" t="str">
        <f ca="1">IF(Proc[[#This Row],[type]]="LFF (MDG-F)",MID(Proc[[#This Row],[Obj]],13,10),"")</f>
        <v/>
      </c>
      <c r="J3977" s="129" t="b">
        <f ca="1">Proc[[#This Row],[Requested]]=Proc[[#This Row],[CurrentParent]]</f>
        <v>1</v>
      </c>
      <c r="K3977" s="129" t="str">
        <f ca="1">IF(Proc[[#This Row],[Author]]="Marcela Urrego",VLOOKUP(LEFT(Proc[[#This Row],[Requested]],1),Table3[#All],2,0),VLOOKUP(Proc[[#This Row],[Author]],Table4[],2,0))</f>
        <v>HC</v>
      </c>
      <c r="L3977" s="129" t="s">
        <v>4896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7</v>
      </c>
      <c r="R3977" s="136" t="s">
        <v>1013</v>
      </c>
      <c r="S3977" s="129"/>
    </row>
    <row r="3978" spans="1:19" hidden="1">
      <c r="A3978" s="138" t="s">
        <v>6109</v>
      </c>
      <c r="B3978" s="129" t="str">
        <f ca="1">IFERROR(VLOOKUP(Proc[[#This Row],[App]],Table2[],3,0),"open")</f>
        <v>ok</v>
      </c>
      <c r="C3978" s="138" t="s">
        <v>369</v>
      </c>
      <c r="D3978" t="s">
        <v>6140</v>
      </c>
      <c r="E3978" t="s">
        <v>1012</v>
      </c>
      <c r="F3978" s="129" t="s">
        <v>1012</v>
      </c>
      <c r="G3978" s="138" t="s">
        <v>400</v>
      </c>
      <c r="H3978" s="129" t="str">
        <f ca="1">IF(Proc[[#This Row],[type]]="LFF (MDG-F)",MID(Proc[[#This Row],[Obj]],13,10),"")</f>
        <v/>
      </c>
      <c r="J3978" s="129" t="b">
        <f ca="1">Proc[[#This Row],[Requested]]=Proc[[#This Row],[CurrentParent]]</f>
        <v>1</v>
      </c>
      <c r="K3978" s="129" t="str">
        <f ca="1">IF(Proc[[#This Row],[Author]]="Marcela Urrego",VLOOKUP(LEFT(Proc[[#This Row],[Requested]],1),Table3[#All],2,0),VLOOKUP(Proc[[#This Row],[Author]],Table4[],2,0))</f>
        <v>HC</v>
      </c>
      <c r="L3978" s="129" t="s">
        <v>4896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7</v>
      </c>
      <c r="R3978" s="136" t="s">
        <v>1013</v>
      </c>
      <c r="S3978" s="129"/>
    </row>
    <row r="3979" spans="1:19" hidden="1">
      <c r="A3979" s="138" t="s">
        <v>6109</v>
      </c>
      <c r="B3979" s="129" t="str">
        <f ca="1">IFERROR(VLOOKUP(Proc[[#This Row],[App]],Table2[],3,0),"open")</f>
        <v>ok</v>
      </c>
      <c r="C3979" s="138" t="s">
        <v>369</v>
      </c>
      <c r="D3979" t="s">
        <v>6141</v>
      </c>
      <c r="E3979" t="s">
        <v>6149</v>
      </c>
      <c r="F3979" s="129" t="s">
        <v>6149</v>
      </c>
      <c r="G3979" s="138" t="s">
        <v>400</v>
      </c>
      <c r="H3979" s="129" t="str">
        <f ca="1">IF(Proc[[#This Row],[type]]="LFF (MDG-F)",MID(Proc[[#This Row],[Obj]],13,10),"")</f>
        <v/>
      </c>
      <c r="J3979" s="129" t="b">
        <f ca="1">Proc[[#This Row],[Requested]]=Proc[[#This Row],[CurrentParent]]</f>
        <v>1</v>
      </c>
      <c r="K3979" s="129" t="str">
        <f ca="1">IF(Proc[[#This Row],[Author]]="Marcela Urrego",VLOOKUP(LEFT(Proc[[#This Row],[Requested]],1),Table3[#All],2,0),VLOOKUP(Proc[[#This Row],[Author]],Table4[],2,0))</f>
        <v>HC</v>
      </c>
      <c r="L3979" s="129" t="s">
        <v>4896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7</v>
      </c>
      <c r="R3979" s="136" t="s">
        <v>1013</v>
      </c>
      <c r="S3979" s="129"/>
    </row>
    <row r="3980" spans="1:19" hidden="1">
      <c r="A3980" s="138" t="s">
        <v>6109</v>
      </c>
      <c r="B3980" s="129" t="str">
        <f ca="1">IFERROR(VLOOKUP(Proc[[#This Row],[App]],Table2[],3,0),"open")</f>
        <v>ok</v>
      </c>
      <c r="C3980" s="138" t="s">
        <v>369</v>
      </c>
      <c r="D3980" t="s">
        <v>6142</v>
      </c>
      <c r="E3980" t="s">
        <v>6149</v>
      </c>
      <c r="F3980" s="129" t="s">
        <v>6149</v>
      </c>
      <c r="G3980" s="138" t="s">
        <v>400</v>
      </c>
      <c r="H3980" s="129" t="str">
        <f ca="1">IF(Proc[[#This Row],[type]]="LFF (MDG-F)",MID(Proc[[#This Row],[Obj]],13,10),"")</f>
        <v/>
      </c>
      <c r="J3980" s="129" t="b">
        <f ca="1">Proc[[#This Row],[Requested]]=Proc[[#This Row],[CurrentParent]]</f>
        <v>1</v>
      </c>
      <c r="K3980" s="129" t="str">
        <f ca="1">IF(Proc[[#This Row],[Author]]="Marcela Urrego",VLOOKUP(LEFT(Proc[[#This Row],[Requested]],1),Table3[#All],2,0),VLOOKUP(Proc[[#This Row],[Author]],Table4[],2,0))</f>
        <v>HC</v>
      </c>
      <c r="L3980" s="129" t="s">
        <v>4896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7</v>
      </c>
      <c r="R3980" s="136" t="s">
        <v>1013</v>
      </c>
      <c r="S3980" s="129"/>
    </row>
    <row r="3981" spans="1:19" hidden="1">
      <c r="A3981" s="138" t="s">
        <v>6109</v>
      </c>
      <c r="B3981" s="129" t="str">
        <f ca="1">IFERROR(VLOOKUP(Proc[[#This Row],[App]],Table2[],3,0),"open")</f>
        <v>ok</v>
      </c>
      <c r="C3981" s="138" t="s">
        <v>369</v>
      </c>
      <c r="D3981" t="s">
        <v>6143</v>
      </c>
      <c r="E3981" t="s">
        <v>1012</v>
      </c>
      <c r="F3981" s="129" t="s">
        <v>1012</v>
      </c>
      <c r="G3981" s="138" t="s">
        <v>400</v>
      </c>
      <c r="H3981" s="129" t="str">
        <f ca="1">IF(Proc[[#This Row],[type]]="LFF (MDG-F)",MID(Proc[[#This Row],[Obj]],13,10),"")</f>
        <v/>
      </c>
      <c r="J3981" s="129" t="b">
        <f ca="1">Proc[[#This Row],[Requested]]=Proc[[#This Row],[CurrentParent]]</f>
        <v>1</v>
      </c>
      <c r="K3981" s="129" t="str">
        <f ca="1">IF(Proc[[#This Row],[Author]]="Marcela Urrego",VLOOKUP(LEFT(Proc[[#This Row],[Requested]],1),Table3[#All],2,0),VLOOKUP(Proc[[#This Row],[Author]],Table4[],2,0))</f>
        <v>HC</v>
      </c>
      <c r="L3981" s="129" t="s">
        <v>4896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7</v>
      </c>
      <c r="R3981" s="136" t="s">
        <v>1013</v>
      </c>
      <c r="S3981" s="129"/>
    </row>
    <row r="3982" spans="1:19" hidden="1">
      <c r="A3982" s="138" t="s">
        <v>6109</v>
      </c>
      <c r="B3982" s="129" t="str">
        <f ca="1">IFERROR(VLOOKUP(Proc[[#This Row],[App]],Table2[],3,0),"open")</f>
        <v>ok</v>
      </c>
      <c r="C3982" s="138" t="s">
        <v>369</v>
      </c>
      <c r="D3982" t="s">
        <v>6144</v>
      </c>
      <c r="E3982" t="s">
        <v>1012</v>
      </c>
      <c r="F3982" s="129" t="s">
        <v>1012</v>
      </c>
      <c r="G3982" s="138" t="s">
        <v>400</v>
      </c>
      <c r="H3982" s="129" t="str">
        <f ca="1">IF(Proc[[#This Row],[type]]="LFF (MDG-F)",MID(Proc[[#This Row],[Obj]],13,10),"")</f>
        <v/>
      </c>
      <c r="J3982" s="129" t="b">
        <f ca="1">Proc[[#This Row],[Requested]]=Proc[[#This Row],[CurrentParent]]</f>
        <v>1</v>
      </c>
      <c r="K3982" s="129" t="str">
        <f ca="1">IF(Proc[[#This Row],[Author]]="Marcela Urrego",VLOOKUP(LEFT(Proc[[#This Row],[Requested]],1),Table3[#All],2,0),VLOOKUP(Proc[[#This Row],[Author]],Table4[],2,0))</f>
        <v>HC</v>
      </c>
      <c r="L3982" s="129" t="s">
        <v>4896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7</v>
      </c>
      <c r="R3982" s="136" t="s">
        <v>1013</v>
      </c>
      <c r="S3982" s="129"/>
    </row>
    <row r="3983" spans="1:19" hidden="1">
      <c r="A3983" s="138" t="s">
        <v>6109</v>
      </c>
      <c r="B3983" s="129" t="str">
        <f ca="1">IFERROR(VLOOKUP(Proc[[#This Row],[App]],Table2[],3,0),"open")</f>
        <v>ok</v>
      </c>
      <c r="C3983" s="138" t="s">
        <v>369</v>
      </c>
      <c r="D3983" t="s">
        <v>6145</v>
      </c>
      <c r="E3983" t="s">
        <v>1012</v>
      </c>
      <c r="F3983" s="129" t="s">
        <v>1012</v>
      </c>
      <c r="G3983" s="138" t="s">
        <v>400</v>
      </c>
      <c r="H3983" s="129" t="str">
        <f ca="1">IF(Proc[[#This Row],[type]]="LFF (MDG-F)",MID(Proc[[#This Row],[Obj]],13,10),"")</f>
        <v/>
      </c>
      <c r="J3983" s="129" t="b">
        <f ca="1">Proc[[#This Row],[Requested]]=Proc[[#This Row],[CurrentParent]]</f>
        <v>1</v>
      </c>
      <c r="K3983" s="129" t="str">
        <f ca="1">IF(Proc[[#This Row],[Author]]="Marcela Urrego",VLOOKUP(LEFT(Proc[[#This Row],[Requested]],1),Table3[#All],2,0),VLOOKUP(Proc[[#This Row],[Author]],Table4[],2,0))</f>
        <v>HC</v>
      </c>
      <c r="L3983" s="129" t="s">
        <v>4896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7</v>
      </c>
      <c r="R3983" s="136" t="s">
        <v>1013</v>
      </c>
      <c r="S3983" s="129"/>
    </row>
    <row r="3984" spans="1:19" hidden="1">
      <c r="A3984" s="138" t="s">
        <v>6109</v>
      </c>
      <c r="B3984" s="129" t="str">
        <f ca="1">IFERROR(VLOOKUP(Proc[[#This Row],[App]],Table2[],3,0),"open")</f>
        <v>ok</v>
      </c>
      <c r="C3984" s="138" t="s">
        <v>369</v>
      </c>
      <c r="D3984" t="s">
        <v>6146</v>
      </c>
      <c r="E3984" t="s">
        <v>1012</v>
      </c>
      <c r="F3984" s="129" t="s">
        <v>1012</v>
      </c>
      <c r="G3984" s="138" t="s">
        <v>400</v>
      </c>
      <c r="H3984" s="129" t="str">
        <f ca="1">IF(Proc[[#This Row],[type]]="LFF (MDG-F)",MID(Proc[[#This Row],[Obj]],13,10),"")</f>
        <v/>
      </c>
      <c r="J3984" s="129" t="b">
        <f ca="1">Proc[[#This Row],[Requested]]=Proc[[#This Row],[CurrentParent]]</f>
        <v>1</v>
      </c>
      <c r="K3984" s="129" t="str">
        <f ca="1">IF(Proc[[#This Row],[Author]]="Marcela Urrego",VLOOKUP(LEFT(Proc[[#This Row],[Requested]],1),Table3[#All],2,0),VLOOKUP(Proc[[#This Row],[Author]],Table4[],2,0))</f>
        <v>HC</v>
      </c>
      <c r="L3984" s="129" t="s">
        <v>4896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7</v>
      </c>
      <c r="R3984" s="136" t="s">
        <v>1013</v>
      </c>
      <c r="S3984" s="129"/>
    </row>
    <row r="3985" spans="1:19" hidden="1">
      <c r="A3985" s="138" t="s">
        <v>6109</v>
      </c>
      <c r="B3985" s="129" t="str">
        <f ca="1">IFERROR(VLOOKUP(Proc[[#This Row],[App]],Table2[],3,0),"open")</f>
        <v>ok</v>
      </c>
      <c r="C3985" s="138" t="s">
        <v>369</v>
      </c>
      <c r="D3985" t="s">
        <v>6147</v>
      </c>
      <c r="E3985" t="s">
        <v>554</v>
      </c>
      <c r="F3985" s="129" t="s">
        <v>554</v>
      </c>
      <c r="G3985" s="138" t="s">
        <v>400</v>
      </c>
      <c r="H3985" s="129" t="str">
        <f ca="1">IF(Proc[[#This Row],[type]]="LFF (MDG-F)",MID(Proc[[#This Row],[Obj]],13,10),"")</f>
        <v/>
      </c>
      <c r="J3985" s="129" t="b">
        <f ca="1">Proc[[#This Row],[Requested]]=Proc[[#This Row],[CurrentParent]]</f>
        <v>1</v>
      </c>
      <c r="K3985" s="129" t="str">
        <f ca="1">IF(Proc[[#This Row],[Author]]="Marcela Urrego",VLOOKUP(LEFT(Proc[[#This Row],[Requested]],1),Table3[#All],2,0),VLOOKUP(Proc[[#This Row],[Author]],Table4[],2,0))</f>
        <v>HC</v>
      </c>
      <c r="L3985" s="129" t="s">
        <v>4896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7</v>
      </c>
      <c r="R3985" s="136" t="s">
        <v>1013</v>
      </c>
      <c r="S3985" s="129"/>
    </row>
    <row r="3986" spans="1:19" hidden="1">
      <c r="A3986" s="138" t="s">
        <v>6109</v>
      </c>
      <c r="B3986" s="129" t="str">
        <f ca="1">IFERROR(VLOOKUP(Proc[[#This Row],[App]],Table2[],3,0),"open")</f>
        <v>ok</v>
      </c>
      <c r="C3986" s="138" t="s">
        <v>369</v>
      </c>
      <c r="D3986" t="s">
        <v>6148</v>
      </c>
      <c r="E3986" t="s">
        <v>554</v>
      </c>
      <c r="F3986" s="129" t="s">
        <v>554</v>
      </c>
      <c r="G3986" s="138" t="s">
        <v>400</v>
      </c>
      <c r="H3986" s="129" t="str">
        <f ca="1">IF(Proc[[#This Row],[type]]="LFF (MDG-F)",MID(Proc[[#This Row],[Obj]],13,10),"")</f>
        <v/>
      </c>
      <c r="J3986" s="129" t="b">
        <f ca="1">Proc[[#This Row],[Requested]]=Proc[[#This Row],[CurrentParent]]</f>
        <v>1</v>
      </c>
      <c r="K3986" s="129" t="str">
        <f ca="1">IF(Proc[[#This Row],[Author]]="Marcela Urrego",VLOOKUP(LEFT(Proc[[#This Row],[Requested]],1),Table3[#All],2,0),VLOOKUP(Proc[[#This Row],[Author]],Table4[],2,0))</f>
        <v>HC</v>
      </c>
      <c r="L3986" s="129" t="s">
        <v>4896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7</v>
      </c>
      <c r="R3986" s="136" t="s">
        <v>1013</v>
      </c>
      <c r="S3986" s="129"/>
    </row>
    <row r="3987" spans="1:19" hidden="1">
      <c r="A3987" t="s">
        <v>6150</v>
      </c>
      <c r="B3987" s="129" t="str">
        <f ca="1">IFERROR(VLOOKUP(Proc[[#This Row],[App]],Table2[],3,0),"open")</f>
        <v>ok</v>
      </c>
      <c r="C3987" s="139" t="s">
        <v>369</v>
      </c>
      <c r="D3987" t="s">
        <v>6151</v>
      </c>
      <c r="E3987" s="139" t="s">
        <v>3544</v>
      </c>
      <c r="F3987" s="129" t="s">
        <v>3544</v>
      </c>
      <c r="G3987" s="139" t="s">
        <v>400</v>
      </c>
      <c r="H3987" s="129" t="str">
        <f ca="1">IF(Proc[[#This Row],[type]]="LFF (MDG-F)",MID(Proc[[#This Row],[Obj]],13,10),"")</f>
        <v/>
      </c>
      <c r="J3987" s="129" t="b">
        <f ca="1">Proc[[#This Row],[Requested]]=Proc[[#This Row],[CurrentParent]]</f>
        <v>1</v>
      </c>
      <c r="K3987" s="129" t="str">
        <f ca="1">IF(Proc[[#This Row],[Author]]="Marcela Urrego",VLOOKUP(LEFT(Proc[[#This Row],[Requested]],1),Table3[#All],2,0),VLOOKUP(Proc[[#This Row],[Author]],Table4[],2,0))</f>
        <v>LS</v>
      </c>
      <c r="L3987" s="129" t="s">
        <v>4896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6</v>
      </c>
      <c r="R3987" s="136" t="s">
        <v>1262</v>
      </c>
      <c r="S3987" s="129"/>
    </row>
    <row r="3988" spans="1:19" hidden="1">
      <c r="A3988" t="s">
        <v>6163</v>
      </c>
      <c r="B3988" s="140" t="str">
        <f ca="1">IFERROR(VLOOKUP(Proc[[#This Row],[App]],Table2[],3,0),"open")</f>
        <v>open</v>
      </c>
      <c r="C3988" s="142" t="s">
        <v>369</v>
      </c>
      <c r="D3988" t="s">
        <v>5279</v>
      </c>
      <c r="E3988" t="s">
        <v>6161</v>
      </c>
      <c r="F3988" s="140" t="s">
        <v>6161</v>
      </c>
      <c r="G3988" s="139" t="s">
        <v>406</v>
      </c>
      <c r="H3988" s="140" t="str">
        <f ca="1">IF(Proc[[#This Row],[type]]="LFF (MDG-F)",MID(Proc[[#This Row],[Obj]],13,10),"")</f>
        <v>CN90GIT120</v>
      </c>
      <c r="J3988" s="140" t="b">
        <f ca="1">Proc[[#This Row],[Requested]]=Proc[[#This Row],[CurrentParent]]</f>
        <v>1</v>
      </c>
      <c r="K3988" s="140" t="str">
        <f ca="1">IF(Proc[[#This Row],[Author]]="Marcela Urrego",VLOOKUP(LEFT(Proc[[#This Row],[Requested]],1),Table3[#All],2,0),VLOOKUP(Proc[[#This Row],[Author]],Table4[],2,0))</f>
        <v>MGF</v>
      </c>
      <c r="L3988" s="140" t="s">
        <v>4896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6</v>
      </c>
      <c r="R3988" s="136" t="s">
        <v>1459</v>
      </c>
      <c r="S3988" s="140"/>
    </row>
    <row r="3989" spans="1:19" hidden="1">
      <c r="A3989" s="139" t="s">
        <v>6163</v>
      </c>
      <c r="B3989" s="140" t="str">
        <f ca="1">IFERROR(VLOOKUP(Proc[[#This Row],[App]],Table2[],3,0),"open")</f>
        <v>open</v>
      </c>
      <c r="C3989" s="142" t="s">
        <v>369</v>
      </c>
      <c r="D3989" t="s">
        <v>6153</v>
      </c>
      <c r="E3989" t="s">
        <v>4413</v>
      </c>
      <c r="F3989" s="140" t="s">
        <v>4413</v>
      </c>
      <c r="G3989" t="s">
        <v>400</v>
      </c>
      <c r="H3989" s="140" t="str">
        <f ca="1">IF(Proc[[#This Row],[type]]="LFF (MDG-F)",MID(Proc[[#This Row],[Obj]],13,10),"")</f>
        <v/>
      </c>
      <c r="J3989" s="140" t="b">
        <f ca="1">Proc[[#This Row],[Requested]]=Proc[[#This Row],[CurrentParent]]</f>
        <v>1</v>
      </c>
      <c r="K3989" s="140" t="str">
        <f ca="1">IF(Proc[[#This Row],[Author]]="Marcela Urrego",VLOOKUP(LEFT(Proc[[#This Row],[Requested]],1),Table3[#All],2,0),VLOOKUP(Proc[[#This Row],[Author]],Table4[],2,0))</f>
        <v>MGF</v>
      </c>
      <c r="L3989" s="140" t="s">
        <v>4896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6</v>
      </c>
      <c r="R3989" s="136" t="s">
        <v>1459</v>
      </c>
      <c r="S3989" s="140"/>
    </row>
    <row r="3990" spans="1:19" hidden="1">
      <c r="A3990" s="139" t="s">
        <v>6163</v>
      </c>
      <c r="B3990" s="140" t="str">
        <f ca="1">IFERROR(VLOOKUP(Proc[[#This Row],[App]],Table2[],3,0),"open")</f>
        <v>open</v>
      </c>
      <c r="C3990" s="142" t="s">
        <v>369</v>
      </c>
      <c r="D3990" t="s">
        <v>6154</v>
      </c>
      <c r="E3990" t="s">
        <v>5454</v>
      </c>
      <c r="F3990" s="140" t="s">
        <v>5454</v>
      </c>
      <c r="G3990" s="139" t="s">
        <v>406</v>
      </c>
      <c r="H3990" s="140" t="str">
        <f ca="1">IF(Proc[[#This Row],[type]]="LFF (MDG-F)",MID(Proc[[#This Row],[Obj]],13,10),"")</f>
        <v>AE50GIT02C</v>
      </c>
      <c r="J3990" s="140" t="b">
        <f ca="1">Proc[[#This Row],[Requested]]=Proc[[#This Row],[CurrentParent]]</f>
        <v>1</v>
      </c>
      <c r="K3990" s="140" t="str">
        <f ca="1">IF(Proc[[#This Row],[Author]]="Marcela Urrego",VLOOKUP(LEFT(Proc[[#This Row],[Requested]],1),Table3[#All],2,0),VLOOKUP(Proc[[#This Row],[Author]],Table4[],2,0))</f>
        <v>MGF</v>
      </c>
      <c r="L3990" s="140" t="s">
        <v>4896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6</v>
      </c>
      <c r="R3990" s="136" t="s">
        <v>1459</v>
      </c>
      <c r="S3990" s="140"/>
    </row>
    <row r="3991" spans="1:19" hidden="1">
      <c r="A3991" s="139" t="s">
        <v>6163</v>
      </c>
      <c r="B3991" s="140" t="str">
        <f ca="1">IFERROR(VLOOKUP(Proc[[#This Row],[App]],Table2[],3,0),"open")</f>
        <v>open</v>
      </c>
      <c r="C3991" s="144" t="s">
        <v>370</v>
      </c>
      <c r="D3991" t="s">
        <v>2319</v>
      </c>
      <c r="E3991" t="s">
        <v>430</v>
      </c>
      <c r="F3991" s="140" t="s">
        <v>5571</v>
      </c>
      <c r="G3991" s="139" t="s">
        <v>406</v>
      </c>
      <c r="H3991" s="140" t="str">
        <f ca="1">IF(Proc[[#This Row],[type]]="LFF (MDG-F)",MID(Proc[[#This Row],[Obj]],13,10),"")</f>
        <v>DE65GIT032</v>
      </c>
      <c r="J3991" s="140" t="b">
        <f ca="1">Proc[[#This Row],[Requested]]=Proc[[#This Row],[CurrentParent]]</f>
        <v>0</v>
      </c>
      <c r="K3991" s="140" t="str">
        <f ca="1">IF(Proc[[#This Row],[Author]]="Marcela Urrego",VLOOKUP(LEFT(Proc[[#This Row],[Requested]],1),Table3[#All],2,0),VLOOKUP(Proc[[#This Row],[Author]],Table4[],2,0))</f>
        <v>MGF</v>
      </c>
      <c r="L3991" s="140" t="s">
        <v>4896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6</v>
      </c>
      <c r="R3991" s="136" t="s">
        <v>1459</v>
      </c>
      <c r="S3991" s="140"/>
    </row>
    <row r="3992" spans="1:19" hidden="1">
      <c r="A3992" s="139" t="s">
        <v>6163</v>
      </c>
      <c r="B3992" s="140" t="str">
        <f ca="1">IFERROR(VLOOKUP(Proc[[#This Row],[App]],Table2[],3,0),"open")</f>
        <v>open</v>
      </c>
      <c r="C3992" s="144" t="s">
        <v>370</v>
      </c>
      <c r="D3992" t="s">
        <v>6155</v>
      </c>
      <c r="E3992" t="s">
        <v>427</v>
      </c>
      <c r="F3992" s="140" t="s">
        <v>446</v>
      </c>
      <c r="G3992" s="139" t="s">
        <v>406</v>
      </c>
      <c r="H3992" s="140" t="str">
        <f ca="1">IF(Proc[[#This Row],[type]]="LFF (MDG-F)",MID(Proc[[#This Row],[Obj]],13,10),"")</f>
        <v>SG09GBT020</v>
      </c>
      <c r="J3992" s="140" t="b">
        <f ca="1">Proc[[#This Row],[Requested]]=Proc[[#This Row],[CurrentParent]]</f>
        <v>0</v>
      </c>
      <c r="K3992" s="140" t="str">
        <f ca="1">IF(Proc[[#This Row],[Author]]="Marcela Urrego",VLOOKUP(LEFT(Proc[[#This Row],[Requested]],1),Table3[#All],2,0),VLOOKUP(Proc[[#This Row],[Author]],Table4[],2,0))</f>
        <v>MGF</v>
      </c>
      <c r="L3992" s="140" t="s">
        <v>4896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6</v>
      </c>
      <c r="R3992" s="136" t="s">
        <v>1459</v>
      </c>
      <c r="S3992" s="140"/>
    </row>
    <row r="3993" spans="1:19" hidden="1">
      <c r="A3993" s="139" t="s">
        <v>6163</v>
      </c>
      <c r="B3993" s="140" t="str">
        <f ca="1">IFERROR(VLOOKUP(Proc[[#This Row],[App]],Table2[],3,0),"open")</f>
        <v>open</v>
      </c>
      <c r="C3993" s="142" t="s">
        <v>369</v>
      </c>
      <c r="D3993" t="s">
        <v>5970</v>
      </c>
      <c r="E3993" t="s">
        <v>424</v>
      </c>
      <c r="F3993" s="140" t="s">
        <v>424</v>
      </c>
      <c r="G3993" s="139" t="s">
        <v>406</v>
      </c>
      <c r="H3993" s="140" t="str">
        <f ca="1">IF(Proc[[#This Row],[type]]="LFF (MDG-F)",MID(Proc[[#This Row],[Obj]],13,10),"")</f>
        <v>JP01GIT01B</v>
      </c>
      <c r="J3993" s="140" t="b">
        <f ca="1">Proc[[#This Row],[Requested]]=Proc[[#This Row],[CurrentParent]]</f>
        <v>1</v>
      </c>
      <c r="K3993" s="140" t="str">
        <f ca="1">IF(Proc[[#This Row],[Author]]="Marcela Urrego",VLOOKUP(LEFT(Proc[[#This Row],[Requested]],1),Table3[#All],2,0),VLOOKUP(Proc[[#This Row],[Author]],Table4[],2,0))</f>
        <v>MGF</v>
      </c>
      <c r="L3993" s="140" t="s">
        <v>4896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6</v>
      </c>
      <c r="R3993" s="136" t="s">
        <v>1459</v>
      </c>
      <c r="S3993" s="140"/>
    </row>
    <row r="3994" spans="1:19" hidden="1">
      <c r="A3994" s="139" t="s">
        <v>6163</v>
      </c>
      <c r="B3994" s="140" t="str">
        <f ca="1">IFERROR(VLOOKUP(Proc[[#This Row],[App]],Table2[],3,0),"open")</f>
        <v>open</v>
      </c>
      <c r="C3994" s="142" t="s">
        <v>369</v>
      </c>
      <c r="D3994" t="s">
        <v>6156</v>
      </c>
      <c r="E3994" t="s">
        <v>5454</v>
      </c>
      <c r="F3994" s="140" t="s">
        <v>5454</v>
      </c>
      <c r="G3994" s="139" t="s">
        <v>400</v>
      </c>
      <c r="H3994" s="140" t="str">
        <f ca="1">IF(Proc[[#This Row],[type]]="LFF (MDG-F)",MID(Proc[[#This Row],[Obj]],13,10),"")</f>
        <v/>
      </c>
      <c r="J3994" s="140" t="b">
        <f ca="1">Proc[[#This Row],[Requested]]=Proc[[#This Row],[CurrentParent]]</f>
        <v>1</v>
      </c>
      <c r="K3994" s="140" t="str">
        <f ca="1">IF(Proc[[#This Row],[Author]]="Marcela Urrego",VLOOKUP(LEFT(Proc[[#This Row],[Requested]],1),Table3[#All],2,0),VLOOKUP(Proc[[#This Row],[Author]],Table4[],2,0))</f>
        <v>MGF</v>
      </c>
      <c r="L3994" s="140" t="s">
        <v>4896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6</v>
      </c>
      <c r="R3994" s="136" t="s">
        <v>1459</v>
      </c>
      <c r="S3994" s="140"/>
    </row>
    <row r="3995" spans="1:19" hidden="1">
      <c r="A3995" s="139" t="s">
        <v>6163</v>
      </c>
      <c r="B3995" s="140" t="str">
        <f ca="1">IFERROR(VLOOKUP(Proc[[#This Row],[App]],Table2[],3,0),"open")</f>
        <v>open</v>
      </c>
      <c r="C3995" s="142" t="s">
        <v>369</v>
      </c>
      <c r="D3995" t="s">
        <v>4402</v>
      </c>
      <c r="E3995" t="s">
        <v>4411</v>
      </c>
      <c r="F3995" s="140" t="s">
        <v>4411</v>
      </c>
      <c r="G3995" s="139" t="s">
        <v>406</v>
      </c>
      <c r="H3995" s="140" t="str">
        <f ca="1">IF(Proc[[#This Row],[type]]="LFF (MDG-F)",MID(Proc[[#This Row],[Obj]],13,10),"")</f>
        <v>DE10677800</v>
      </c>
      <c r="J3995" s="140" t="b">
        <f ca="1">Proc[[#This Row],[Requested]]=Proc[[#This Row],[CurrentParent]]</f>
        <v>1</v>
      </c>
      <c r="K3995" s="140" t="str">
        <f ca="1">IF(Proc[[#This Row],[Author]]="Marcela Urrego",VLOOKUP(LEFT(Proc[[#This Row],[Requested]],1),Table3[#All],2,0),VLOOKUP(Proc[[#This Row],[Author]],Table4[],2,0))</f>
        <v>MGF</v>
      </c>
      <c r="L3995" s="140" t="s">
        <v>4896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6</v>
      </c>
      <c r="R3995" s="136" t="s">
        <v>1459</v>
      </c>
      <c r="S3995" s="140"/>
    </row>
    <row r="3996" spans="1:19" hidden="1">
      <c r="A3996" s="139" t="s">
        <v>6163</v>
      </c>
      <c r="B3996" s="140" t="str">
        <f ca="1">IFERROR(VLOOKUP(Proc[[#This Row],[App]],Table2[],3,0),"open")</f>
        <v>open</v>
      </c>
      <c r="C3996" s="142" t="s">
        <v>369</v>
      </c>
      <c r="D3996" t="s">
        <v>5328</v>
      </c>
      <c r="E3996" t="s">
        <v>4412</v>
      </c>
      <c r="F3996" s="140" t="s">
        <v>4412</v>
      </c>
      <c r="G3996" s="139" t="s">
        <v>406</v>
      </c>
      <c r="H3996" s="140" t="str">
        <f ca="1">IF(Proc[[#This Row],[type]]="LFF (MDG-F)",MID(Proc[[#This Row],[Obj]],13,10),"")</f>
        <v>DE10685700</v>
      </c>
      <c r="J3996" s="140" t="b">
        <f ca="1">Proc[[#This Row],[Requested]]=Proc[[#This Row],[CurrentParent]]</f>
        <v>1</v>
      </c>
      <c r="K3996" s="140" t="str">
        <f ca="1">IF(Proc[[#This Row],[Author]]="Marcela Urrego",VLOOKUP(LEFT(Proc[[#This Row],[Requested]],1),Table3[#All],2,0),VLOOKUP(Proc[[#This Row],[Author]],Table4[],2,0))</f>
        <v>MGF</v>
      </c>
      <c r="L3996" s="140" t="s">
        <v>4896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6</v>
      </c>
      <c r="R3996" s="136" t="s">
        <v>1459</v>
      </c>
      <c r="S3996" s="140"/>
    </row>
    <row r="3997" spans="1:19" hidden="1">
      <c r="A3997" s="139" t="s">
        <v>6163</v>
      </c>
      <c r="B3997" s="140" t="str">
        <f ca="1">IFERROR(VLOOKUP(Proc[[#This Row],[App]],Table2[],3,0),"open")</f>
        <v>open</v>
      </c>
      <c r="C3997" s="142" t="s">
        <v>369</v>
      </c>
      <c r="D3997" t="s">
        <v>5400</v>
      </c>
      <c r="E3997" t="s">
        <v>6161</v>
      </c>
      <c r="F3997" s="140" t="s">
        <v>6161</v>
      </c>
      <c r="G3997" s="139" t="s">
        <v>400</v>
      </c>
      <c r="H3997" s="140" t="str">
        <f ca="1">IF(Proc[[#This Row],[type]]="LFF (MDG-F)",MID(Proc[[#This Row],[Obj]],13,10),"")</f>
        <v/>
      </c>
      <c r="J3997" s="140" t="b">
        <f ca="1">Proc[[#This Row],[Requested]]=Proc[[#This Row],[CurrentParent]]</f>
        <v>1</v>
      </c>
      <c r="K3997" s="140" t="str">
        <f ca="1">IF(Proc[[#This Row],[Author]]="Marcela Urrego",VLOOKUP(LEFT(Proc[[#This Row],[Requested]],1),Table3[#All],2,0),VLOOKUP(Proc[[#This Row],[Author]],Table4[],2,0))</f>
        <v>MGF</v>
      </c>
      <c r="L3997" s="140" t="s">
        <v>4896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6</v>
      </c>
      <c r="R3997" s="136" t="s">
        <v>1459</v>
      </c>
      <c r="S3997" s="140"/>
    </row>
    <row r="3998" spans="1:19" hidden="1">
      <c r="A3998" s="139" t="s">
        <v>6163</v>
      </c>
      <c r="B3998" s="140" t="str">
        <f ca="1">IFERROR(VLOOKUP(Proc[[#This Row],[App]],Table2[],3,0),"open")</f>
        <v>open</v>
      </c>
      <c r="C3998" s="142" t="s">
        <v>369</v>
      </c>
      <c r="D3998" t="s">
        <v>6157</v>
      </c>
      <c r="E3998" t="s">
        <v>759</v>
      </c>
      <c r="F3998" s="140" t="s">
        <v>759</v>
      </c>
      <c r="G3998" s="139" t="s">
        <v>400</v>
      </c>
      <c r="H3998" s="140" t="str">
        <f ca="1">IF(Proc[[#This Row],[type]]="LFF (MDG-F)",MID(Proc[[#This Row],[Obj]],13,10),"")</f>
        <v/>
      </c>
      <c r="J3998" s="140" t="b">
        <f ca="1">Proc[[#This Row],[Requested]]=Proc[[#This Row],[CurrentParent]]</f>
        <v>1</v>
      </c>
      <c r="K3998" s="140" t="str">
        <f ca="1">IF(Proc[[#This Row],[Author]]="Marcela Urrego",VLOOKUP(LEFT(Proc[[#This Row],[Requested]],1),Table3[#All],2,0),VLOOKUP(Proc[[#This Row],[Author]],Table4[],2,0))</f>
        <v>MGF</v>
      </c>
      <c r="L3998" s="140" t="s">
        <v>4896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6</v>
      </c>
      <c r="R3998" s="136" t="s">
        <v>1459</v>
      </c>
      <c r="S3998" s="140"/>
    </row>
    <row r="3999" spans="1:19" hidden="1">
      <c r="A3999" s="139" t="s">
        <v>6163</v>
      </c>
      <c r="B3999" s="140" t="str">
        <f ca="1">IFERROR(VLOOKUP(Proc[[#This Row],[App]],Table2[],3,0),"open")</f>
        <v>open</v>
      </c>
      <c r="C3999" s="142" t="s">
        <v>369</v>
      </c>
      <c r="D3999" t="s">
        <v>5401</v>
      </c>
      <c r="E3999" t="s">
        <v>6161</v>
      </c>
      <c r="F3999" s="140" t="s">
        <v>6161</v>
      </c>
      <c r="G3999" s="139" t="s">
        <v>400</v>
      </c>
      <c r="H3999" s="140" t="str">
        <f ca="1">IF(Proc[[#This Row],[type]]="LFF (MDG-F)",MID(Proc[[#This Row],[Obj]],13,10),"")</f>
        <v/>
      </c>
      <c r="J3999" s="140" t="b">
        <f ca="1">Proc[[#This Row],[Requested]]=Proc[[#This Row],[CurrentParent]]</f>
        <v>1</v>
      </c>
      <c r="K3999" s="140" t="str">
        <f ca="1">IF(Proc[[#This Row],[Author]]="Marcela Urrego",VLOOKUP(LEFT(Proc[[#This Row],[Requested]],1),Table3[#All],2,0),VLOOKUP(Proc[[#This Row],[Author]],Table4[],2,0))</f>
        <v>MGF</v>
      </c>
      <c r="L3999" s="140" t="s">
        <v>4896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6</v>
      </c>
      <c r="R3999" s="136" t="s">
        <v>1459</v>
      </c>
      <c r="S3999" s="140"/>
    </row>
    <row r="4000" spans="1:19" hidden="1">
      <c r="A4000" s="139" t="s">
        <v>6163</v>
      </c>
      <c r="B4000" s="140" t="str">
        <f ca="1">IFERROR(VLOOKUP(Proc[[#This Row],[App]],Table2[],3,0),"open")</f>
        <v>open</v>
      </c>
      <c r="C4000" s="142" t="s">
        <v>369</v>
      </c>
      <c r="D4000" t="s">
        <v>5420</v>
      </c>
      <c r="E4000" t="s">
        <v>6161</v>
      </c>
      <c r="F4000" s="140" t="s">
        <v>6161</v>
      </c>
      <c r="G4000" s="139" t="s">
        <v>406</v>
      </c>
      <c r="H4000" s="140" t="str">
        <f ca="1">IF(Proc[[#This Row],[type]]="LFF (MDG-F)",MID(Proc[[#This Row],[Obj]],13,10),"")</f>
        <v>2123GIT129</v>
      </c>
      <c r="J4000" s="140" t="b">
        <f ca="1">Proc[[#This Row],[Requested]]=Proc[[#This Row],[CurrentParent]]</f>
        <v>1</v>
      </c>
      <c r="K4000" s="140" t="str">
        <f ca="1">IF(Proc[[#This Row],[Author]]="Marcela Urrego",VLOOKUP(LEFT(Proc[[#This Row],[Requested]],1),Table3[#All],2,0),VLOOKUP(Proc[[#This Row],[Author]],Table4[],2,0))</f>
        <v>MGF</v>
      </c>
      <c r="L4000" s="140" t="s">
        <v>4896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6</v>
      </c>
      <c r="R4000" s="136" t="s">
        <v>1459</v>
      </c>
      <c r="S4000" s="140"/>
    </row>
    <row r="4001" spans="1:19" hidden="1">
      <c r="A4001" s="139" t="s">
        <v>6163</v>
      </c>
      <c r="B4001" s="140" t="str">
        <f ca="1">IFERROR(VLOOKUP(Proc[[#This Row],[App]],Table2[],3,0),"open")</f>
        <v>open</v>
      </c>
      <c r="C4001" s="144" t="s">
        <v>370</v>
      </c>
      <c r="D4001" t="s">
        <v>6158</v>
      </c>
      <c r="E4001" t="s">
        <v>427</v>
      </c>
      <c r="F4001" s="140" t="s">
        <v>446</v>
      </c>
      <c r="G4001" s="139" t="s">
        <v>406</v>
      </c>
      <c r="H4001" s="140" t="str">
        <f ca="1">IF(Proc[[#This Row],[type]]="LFF (MDG-F)",MID(Proc[[#This Row],[Obj]],13,10),"")</f>
        <v>2128GIT020</v>
      </c>
      <c r="J4001" s="140" t="b">
        <f ca="1">Proc[[#This Row],[Requested]]=Proc[[#This Row],[CurrentParent]]</f>
        <v>0</v>
      </c>
      <c r="K4001" s="140" t="str">
        <f ca="1">IF(Proc[[#This Row],[Author]]="Marcela Urrego",VLOOKUP(LEFT(Proc[[#This Row],[Requested]],1),Table3[#All],2,0),VLOOKUP(Proc[[#This Row],[Author]],Table4[],2,0))</f>
        <v>MGF</v>
      </c>
      <c r="L4001" s="140" t="s">
        <v>4896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6</v>
      </c>
      <c r="R4001" s="136" t="s">
        <v>1459</v>
      </c>
      <c r="S4001" s="140"/>
    </row>
    <row r="4002" spans="1:19" hidden="1">
      <c r="A4002" s="139" t="s">
        <v>6163</v>
      </c>
      <c r="B4002" s="140" t="str">
        <f ca="1">IFERROR(VLOOKUP(Proc[[#This Row],[App]],Table2[],3,0),"open")</f>
        <v>open</v>
      </c>
      <c r="C4002" s="142" t="s">
        <v>369</v>
      </c>
      <c r="D4002" t="s">
        <v>5436</v>
      </c>
      <c r="E4002" t="s">
        <v>662</v>
      </c>
      <c r="F4002" s="140" t="s">
        <v>662</v>
      </c>
      <c r="G4002" s="139" t="s">
        <v>400</v>
      </c>
      <c r="H4002" s="140" t="str">
        <f ca="1">IF(Proc[[#This Row],[type]]="LFF (MDG-F)",MID(Proc[[#This Row],[Obj]],13,10),"")</f>
        <v/>
      </c>
      <c r="J4002" s="140" t="b">
        <f ca="1">Proc[[#This Row],[Requested]]=Proc[[#This Row],[CurrentParent]]</f>
        <v>1</v>
      </c>
      <c r="K4002" s="140" t="str">
        <f ca="1">IF(Proc[[#This Row],[Author]]="Marcela Urrego",VLOOKUP(LEFT(Proc[[#This Row],[Requested]],1),Table3[#All],2,0),VLOOKUP(Proc[[#This Row],[Author]],Table4[],2,0))</f>
        <v>MGF</v>
      </c>
      <c r="L4002" s="140" t="s">
        <v>4896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6</v>
      </c>
      <c r="R4002" s="136" t="s">
        <v>1459</v>
      </c>
      <c r="S4002" s="140"/>
    </row>
    <row r="4003" spans="1:19" hidden="1">
      <c r="A4003" s="139" t="s">
        <v>6163</v>
      </c>
      <c r="B4003" s="140" t="str">
        <f ca="1">IFERROR(VLOOKUP(Proc[[#This Row],[App]],Table2[],3,0),"open")</f>
        <v>open</v>
      </c>
      <c r="C4003" s="142" t="s">
        <v>369</v>
      </c>
      <c r="D4003" t="s">
        <v>6159</v>
      </c>
      <c r="E4003" t="s">
        <v>6162</v>
      </c>
      <c r="F4003" s="140" t="s">
        <v>6162</v>
      </c>
      <c r="G4003" s="139" t="s">
        <v>406</v>
      </c>
      <c r="H4003" s="140" t="str">
        <f ca="1">IF(Proc[[#This Row],[type]]="LFF (MDG-F)",MID(Proc[[#This Row],[Obj]],13,10),"")</f>
        <v>US10GIT034</v>
      </c>
      <c r="J4003" s="140" t="b">
        <f ca="1">Proc[[#This Row],[Requested]]=Proc[[#This Row],[CurrentParent]]</f>
        <v>1</v>
      </c>
      <c r="K4003" s="140" t="str">
        <f ca="1">IF(Proc[[#This Row],[Author]]="Marcela Urrego",VLOOKUP(LEFT(Proc[[#This Row],[Requested]],1),Table3[#All],2,0),VLOOKUP(Proc[[#This Row],[Author]],Table4[],2,0))</f>
        <v>MGF</v>
      </c>
      <c r="L4003" s="140" t="s">
        <v>4896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6</v>
      </c>
      <c r="R4003" s="136" t="s">
        <v>1459</v>
      </c>
      <c r="S4003" s="140"/>
    </row>
    <row r="4004" spans="1:19" hidden="1">
      <c r="A4004" s="139" t="s">
        <v>6163</v>
      </c>
      <c r="B4004" s="140" t="str">
        <f ca="1">IFERROR(VLOOKUP(Proc[[#This Row],[App]],Table2[],3,0),"open")</f>
        <v>open</v>
      </c>
      <c r="C4004" s="142" t="s">
        <v>369</v>
      </c>
      <c r="D4004" t="s">
        <v>6160</v>
      </c>
      <c r="E4004" t="s">
        <v>5454</v>
      </c>
      <c r="F4004" s="140" t="s">
        <v>5454</v>
      </c>
      <c r="G4004" s="139" t="s">
        <v>406</v>
      </c>
      <c r="H4004" s="140" t="str">
        <f ca="1">IF(Proc[[#This Row],[type]]="LFF (MDG-F)",MID(Proc[[#This Row],[Obj]],13,10),"")</f>
        <v>US10GIT048</v>
      </c>
      <c r="J4004" s="140" t="b">
        <f ca="1">Proc[[#This Row],[Requested]]=Proc[[#This Row],[CurrentParent]]</f>
        <v>1</v>
      </c>
      <c r="K4004" s="140" t="str">
        <f ca="1">IF(Proc[[#This Row],[Author]]="Marcela Urrego",VLOOKUP(LEFT(Proc[[#This Row],[Requested]],1),Table3[#All],2,0),VLOOKUP(Proc[[#This Row],[Author]],Table4[],2,0))</f>
        <v>MGF</v>
      </c>
      <c r="L4004" s="140" t="s">
        <v>4896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6</v>
      </c>
      <c r="R4004" s="136" t="s">
        <v>1459</v>
      </c>
      <c r="S4004" s="140"/>
    </row>
    <row r="4005" spans="1:19" hidden="1">
      <c r="A4005" t="s">
        <v>6164</v>
      </c>
      <c r="B4005" s="140" t="str">
        <f ca="1">IFERROR(VLOOKUP(Proc[[#This Row],[App]],Table2[],3,0),"open")</f>
        <v>ok</v>
      </c>
      <c r="C4005" s="142" t="s">
        <v>369</v>
      </c>
      <c r="D4005" s="141" t="s">
        <v>6093</v>
      </c>
      <c r="E4005" s="142" t="s">
        <v>2678</v>
      </c>
      <c r="F4005" s="140" t="s">
        <v>2678</v>
      </c>
      <c r="G4005" s="142" t="s">
        <v>406</v>
      </c>
      <c r="H4005" s="140" t="str">
        <f ca="1">IF(Proc[[#This Row],[type]]="LFF (MDG-F)",MID(Proc[[#This Row],[Obj]],13,10),"")</f>
        <v>DE10GM8401</v>
      </c>
      <c r="J4005" s="140" t="b">
        <f ca="1">Proc[[#This Row],[Requested]]=Proc[[#This Row],[CurrentParent]]</f>
        <v>1</v>
      </c>
      <c r="K4005" s="140" t="str">
        <f ca="1">IF(Proc[[#This Row],[Author]]="Marcela Urrego",VLOOKUP(LEFT(Proc[[#This Row],[Requested]],1),Table3[#All],2,0),VLOOKUP(Proc[[#This Row],[Author]],Table4[],2,0))</f>
        <v>LS</v>
      </c>
      <c r="L4005" s="140" t="s">
        <v>4896</v>
      </c>
      <c r="M4005" s="136">
        <v>45902</v>
      </c>
      <c r="N4005" s="137"/>
      <c r="O4005" s="137"/>
      <c r="P4005" s="136" t="str">
        <f ca="1">IF(Proc[[#This Row],[DaysAgeing]]&gt;5,"yep","on track")</f>
        <v>on track</v>
      </c>
      <c r="Q4005" s="3">
        <f ca="1">IF(Proc[[#This Row],[DateClosed]]="",ABS(NETWORKDAYS(Proc[[#This Row],[DateOpened]],TODAY()))-1,ABS(NETWORKDAYS(Proc[[#This Row],[DateOpened]],Proc[[#This Row],[DateClosed]]))-1)</f>
        <v>5</v>
      </c>
      <c r="R4005" s="136" t="s">
        <v>972</v>
      </c>
      <c r="S4005" s="140"/>
    </row>
    <row r="4006" spans="1:19" hidden="1">
      <c r="A4006" t="s">
        <v>6204</v>
      </c>
      <c r="B4006" s="140" t="str">
        <f ca="1">IFERROR(VLOOKUP(Proc[[#This Row],[App]],Table2[],3,0),"open")</f>
        <v>open</v>
      </c>
      <c r="C4006" s="142" t="s">
        <v>369</v>
      </c>
      <c r="D4006" t="s">
        <v>5951</v>
      </c>
      <c r="E4006" t="s">
        <v>6165</v>
      </c>
      <c r="F4006" s="140" t="s">
        <v>6165</v>
      </c>
      <c r="G4006" s="142" t="s">
        <v>406</v>
      </c>
      <c r="H4006" s="140" t="str">
        <f ca="1">IF(Proc[[#This Row],[type]]="LFF (MDG-F)",MID(Proc[[#This Row],[Obj]],13,10),"")</f>
        <v>JP01C0M121</v>
      </c>
      <c r="J4006" s="140" t="b">
        <f ca="1">Proc[[#This Row],[Requested]]=Proc[[#This Row],[CurrentParent]]</f>
        <v>1</v>
      </c>
      <c r="K4006" s="140" t="str">
        <f ca="1">IF(Proc[[#This Row],[Author]]="Marcela Urrego",VLOOKUP(LEFT(Proc[[#This Row],[Requested]],1),Table3[#All],2,0),VLOOKUP(Proc[[#This Row],[Author]],Table4[],2,0))</f>
        <v>EL</v>
      </c>
      <c r="L4006" s="140" t="s">
        <v>4896</v>
      </c>
      <c r="M4006" s="136">
        <v>45902</v>
      </c>
      <c r="N4006" s="137"/>
      <c r="O4006" s="137"/>
      <c r="P4006" s="136" t="str">
        <f ca="1">IF(Proc[[#This Row],[DaysAgeing]]&gt;5,"yep","on track")</f>
        <v>on track</v>
      </c>
      <c r="Q4006" s="3">
        <f ca="1">IF(Proc[[#This Row],[DateClosed]]="",ABS(NETWORKDAYS(Proc[[#This Row],[DateOpened]],TODAY()))-1,ABS(NETWORKDAYS(Proc[[#This Row],[DateOpened]],Proc[[#This Row],[DateClosed]]))-1)</f>
        <v>5</v>
      </c>
      <c r="R4006" s="136" t="s">
        <v>6090</v>
      </c>
      <c r="S4006" s="140"/>
    </row>
    <row r="4007" spans="1:19" hidden="1">
      <c r="A4007" s="142" t="s">
        <v>6204</v>
      </c>
      <c r="B4007" s="140" t="str">
        <f ca="1">IFERROR(VLOOKUP(Proc[[#This Row],[App]],Table2[],3,0),"open")</f>
        <v>open</v>
      </c>
      <c r="C4007" s="142" t="s">
        <v>369</v>
      </c>
      <c r="D4007" t="s">
        <v>6048</v>
      </c>
      <c r="E4007" t="s">
        <v>6166</v>
      </c>
      <c r="F4007" s="140" t="s">
        <v>6166</v>
      </c>
      <c r="G4007" s="142" t="s">
        <v>406</v>
      </c>
      <c r="H4007" s="140" t="str">
        <f ca="1">IF(Proc[[#This Row],[type]]="LFF (MDG-F)",MID(Proc[[#This Row],[Obj]],13,10),"")</f>
        <v>JP01TQOZ04</v>
      </c>
      <c r="J4007" s="140" t="b">
        <f ca="1">Proc[[#This Row],[Requested]]=Proc[[#This Row],[CurrentParent]]</f>
        <v>1</v>
      </c>
      <c r="K4007" s="140" t="str">
        <f ca="1">IF(Proc[[#This Row],[Author]]="Marcela Urrego",VLOOKUP(LEFT(Proc[[#This Row],[Requested]],1),Table3[#All],2,0),VLOOKUP(Proc[[#This Row],[Author]],Table4[],2,0))</f>
        <v>EL</v>
      </c>
      <c r="L4007" s="140" t="s">
        <v>4896</v>
      </c>
      <c r="M4007" s="136">
        <v>45902</v>
      </c>
      <c r="N4007" s="137"/>
      <c r="O4007" s="137"/>
      <c r="P4007" s="136" t="str">
        <f ca="1">IF(Proc[[#This Row],[DaysAgeing]]&gt;5,"yep","on track")</f>
        <v>on track</v>
      </c>
      <c r="Q4007" s="3">
        <f ca="1">IF(Proc[[#This Row],[DateClosed]]="",ABS(NETWORKDAYS(Proc[[#This Row],[DateOpened]],TODAY()))-1,ABS(NETWORKDAYS(Proc[[#This Row],[DateOpened]],Proc[[#This Row],[DateClosed]]))-1)</f>
        <v>5</v>
      </c>
      <c r="R4007" s="136" t="s">
        <v>6090</v>
      </c>
      <c r="S4007" s="140"/>
    </row>
    <row r="4008" spans="1:19" hidden="1">
      <c r="A4008" s="142" t="s">
        <v>6204</v>
      </c>
      <c r="B4008" s="140" t="str">
        <f ca="1">IFERROR(VLOOKUP(Proc[[#This Row],[App]],Table2[],3,0),"open")</f>
        <v>open</v>
      </c>
      <c r="C4008" s="142" t="s">
        <v>369</v>
      </c>
      <c r="D4008" t="s">
        <v>5958</v>
      </c>
      <c r="E4008" t="s">
        <v>6167</v>
      </c>
      <c r="F4008" s="140" t="s">
        <v>6167</v>
      </c>
      <c r="G4008" s="142" t="s">
        <v>406</v>
      </c>
      <c r="H4008" s="140" t="str">
        <f ca="1">IF(Proc[[#This Row],[type]]="LFF (MDG-F)",MID(Proc[[#This Row],[Obj]],13,10),"")</f>
        <v>JP01C0O921</v>
      </c>
      <c r="J4008" s="140" t="b">
        <f ca="1">Proc[[#This Row],[Requested]]=Proc[[#This Row],[CurrentParent]]</f>
        <v>1</v>
      </c>
      <c r="K4008" s="140" t="str">
        <f ca="1">IF(Proc[[#This Row],[Author]]="Marcela Urrego",VLOOKUP(LEFT(Proc[[#This Row],[Requested]],1),Table3[#All],2,0),VLOOKUP(Proc[[#This Row],[Author]],Table4[],2,0))</f>
        <v>EL</v>
      </c>
      <c r="L4008" s="140" t="s">
        <v>4896</v>
      </c>
      <c r="M4008" s="136">
        <v>45902</v>
      </c>
      <c r="N4008" s="137"/>
      <c r="O4008" s="137"/>
      <c r="P4008" s="136" t="str">
        <f ca="1">IF(Proc[[#This Row],[DaysAgeing]]&gt;5,"yep","on track")</f>
        <v>on track</v>
      </c>
      <c r="Q4008" s="3">
        <f ca="1">IF(Proc[[#This Row],[DateClosed]]="",ABS(NETWORKDAYS(Proc[[#This Row],[DateOpened]],TODAY()))-1,ABS(NETWORKDAYS(Proc[[#This Row],[DateOpened]],Proc[[#This Row],[DateClosed]]))-1)</f>
        <v>5</v>
      </c>
      <c r="R4008" s="136" t="s">
        <v>6090</v>
      </c>
      <c r="S4008" s="140"/>
    </row>
    <row r="4009" spans="1:19" hidden="1">
      <c r="A4009" s="142" t="s">
        <v>6204</v>
      </c>
      <c r="B4009" s="140" t="str">
        <f ca="1">IFERROR(VLOOKUP(Proc[[#This Row],[App]],Table2[],3,0),"open")</f>
        <v>open</v>
      </c>
      <c r="C4009" s="142" t="s">
        <v>369</v>
      </c>
      <c r="D4009" t="s">
        <v>6003</v>
      </c>
      <c r="E4009" t="s">
        <v>6167</v>
      </c>
      <c r="F4009" s="140" t="s">
        <v>6167</v>
      </c>
      <c r="G4009" s="142" t="s">
        <v>406</v>
      </c>
      <c r="H4009" s="140" t="str">
        <f ca="1">IF(Proc[[#This Row],[type]]="LFF (MDG-F)",MID(Proc[[#This Row],[Obj]],13,10),"")</f>
        <v>JP01R0O721</v>
      </c>
      <c r="J4009" s="140" t="b">
        <f ca="1">Proc[[#This Row],[Requested]]=Proc[[#This Row],[CurrentParent]]</f>
        <v>1</v>
      </c>
      <c r="K4009" s="140" t="str">
        <f ca="1">IF(Proc[[#This Row],[Author]]="Marcela Urrego",VLOOKUP(LEFT(Proc[[#This Row],[Requested]],1),Table3[#All],2,0),VLOOKUP(Proc[[#This Row],[Author]],Table4[],2,0))</f>
        <v>EL</v>
      </c>
      <c r="L4009" s="140" t="s">
        <v>4896</v>
      </c>
      <c r="M4009" s="136">
        <v>45902</v>
      </c>
      <c r="N4009" s="137"/>
      <c r="O4009" s="137"/>
      <c r="P4009" s="136" t="str">
        <f ca="1">IF(Proc[[#This Row],[DaysAgeing]]&gt;5,"yep","on track")</f>
        <v>on track</v>
      </c>
      <c r="Q4009" s="3">
        <f ca="1">IF(Proc[[#This Row],[DateClosed]]="",ABS(NETWORKDAYS(Proc[[#This Row],[DateOpened]],TODAY()))-1,ABS(NETWORKDAYS(Proc[[#This Row],[DateOpened]],Proc[[#This Row],[DateClosed]]))-1)</f>
        <v>5</v>
      </c>
      <c r="R4009" s="136" t="s">
        <v>6090</v>
      </c>
      <c r="S4009" s="140"/>
    </row>
    <row r="4010" spans="1:19" hidden="1">
      <c r="A4010" s="142" t="s">
        <v>6204</v>
      </c>
      <c r="B4010" s="140" t="str">
        <f ca="1">IFERROR(VLOOKUP(Proc[[#This Row],[App]],Table2[],3,0),"open")</f>
        <v>open</v>
      </c>
      <c r="C4010" s="142" t="s">
        <v>369</v>
      </c>
      <c r="D4010" t="s">
        <v>5953</v>
      </c>
      <c r="E4010" t="s">
        <v>6168</v>
      </c>
      <c r="F4010" s="140" t="s">
        <v>6168</v>
      </c>
      <c r="G4010" s="142" t="s">
        <v>406</v>
      </c>
      <c r="H4010" s="140" t="str">
        <f ca="1">IF(Proc[[#This Row],[type]]="LFF (MDG-F)",MID(Proc[[#This Row],[Obj]],13,10),"")</f>
        <v>JP01C0M621</v>
      </c>
      <c r="J4010" s="140" t="b">
        <f ca="1">Proc[[#This Row],[Requested]]=Proc[[#This Row],[CurrentParent]]</f>
        <v>1</v>
      </c>
      <c r="K4010" s="140" t="str">
        <f ca="1">IF(Proc[[#This Row],[Author]]="Marcela Urrego",VLOOKUP(LEFT(Proc[[#This Row],[Requested]],1),Table3[#All],2,0),VLOOKUP(Proc[[#This Row],[Author]],Table4[],2,0))</f>
        <v>EL</v>
      </c>
      <c r="L4010" s="140" t="s">
        <v>4896</v>
      </c>
      <c r="M4010" s="136">
        <v>45902</v>
      </c>
      <c r="N4010" s="137"/>
      <c r="O4010" s="137"/>
      <c r="P4010" s="136" t="str">
        <f ca="1">IF(Proc[[#This Row],[DaysAgeing]]&gt;5,"yep","on track")</f>
        <v>on track</v>
      </c>
      <c r="Q4010" s="3">
        <f ca="1">IF(Proc[[#This Row],[DateClosed]]="",ABS(NETWORKDAYS(Proc[[#This Row],[DateOpened]],TODAY()))-1,ABS(NETWORKDAYS(Proc[[#This Row],[DateOpened]],Proc[[#This Row],[DateClosed]]))-1)</f>
        <v>5</v>
      </c>
      <c r="R4010" s="136" t="s">
        <v>6090</v>
      </c>
      <c r="S4010" s="140"/>
    </row>
    <row r="4011" spans="1:19" hidden="1">
      <c r="A4011" s="142" t="s">
        <v>6204</v>
      </c>
      <c r="B4011" s="140" t="str">
        <f ca="1">IFERROR(VLOOKUP(Proc[[#This Row],[App]],Table2[],3,0),"open")</f>
        <v>open</v>
      </c>
      <c r="C4011" s="142" t="s">
        <v>369</v>
      </c>
      <c r="D4011" t="s">
        <v>5952</v>
      </c>
      <c r="E4011" t="s">
        <v>2470</v>
      </c>
      <c r="F4011" s="140" t="s">
        <v>2470</v>
      </c>
      <c r="G4011" s="142" t="s">
        <v>406</v>
      </c>
      <c r="H4011" s="140" t="str">
        <f ca="1">IF(Proc[[#This Row],[type]]="LFF (MDG-F)",MID(Proc[[#This Row],[Obj]],13,10),"")</f>
        <v>JP01C0M600</v>
      </c>
      <c r="J4011" s="140" t="b">
        <f ca="1">Proc[[#This Row],[Requested]]=Proc[[#This Row],[CurrentParent]]</f>
        <v>1</v>
      </c>
      <c r="K4011" s="140" t="str">
        <f ca="1">IF(Proc[[#This Row],[Author]]="Marcela Urrego",VLOOKUP(LEFT(Proc[[#This Row],[Requested]],1),Table3[#All],2,0),VLOOKUP(Proc[[#This Row],[Author]],Table4[],2,0))</f>
        <v>EL</v>
      </c>
      <c r="L4011" s="140" t="s">
        <v>4896</v>
      </c>
      <c r="M4011" s="136">
        <v>45902</v>
      </c>
      <c r="N4011" s="137"/>
      <c r="O4011" s="137"/>
      <c r="P4011" s="136" t="str">
        <f ca="1">IF(Proc[[#This Row],[DaysAgeing]]&gt;5,"yep","on track")</f>
        <v>on track</v>
      </c>
      <c r="Q4011" s="3">
        <f ca="1">IF(Proc[[#This Row],[DateClosed]]="",ABS(NETWORKDAYS(Proc[[#This Row],[DateOpened]],TODAY()))-1,ABS(NETWORKDAYS(Proc[[#This Row],[DateOpened]],Proc[[#This Row],[DateClosed]]))-1)</f>
        <v>5</v>
      </c>
      <c r="R4011" s="136" t="s">
        <v>6090</v>
      </c>
      <c r="S4011" s="140"/>
    </row>
    <row r="4012" spans="1:19" hidden="1">
      <c r="A4012" s="142" t="s">
        <v>6204</v>
      </c>
      <c r="B4012" s="140" t="str">
        <f ca="1">IFERROR(VLOOKUP(Proc[[#This Row],[App]],Table2[],3,0),"open")</f>
        <v>open</v>
      </c>
      <c r="C4012" s="144" t="s">
        <v>370</v>
      </c>
      <c r="D4012" t="s">
        <v>5977</v>
      </c>
      <c r="E4012" t="s">
        <v>474</v>
      </c>
      <c r="F4012" s="140" t="s">
        <v>6062</v>
      </c>
      <c r="G4012" s="142" t="s">
        <v>406</v>
      </c>
      <c r="H4012" s="140" t="str">
        <f ca="1">IF(Proc[[#This Row],[type]]="LFF (MDG-F)",MID(Proc[[#This Row],[Obj]],13,10),"")</f>
        <v>JP01GM8002</v>
      </c>
      <c r="J4012" s="140" t="b">
        <f ca="1">Proc[[#This Row],[Requested]]=Proc[[#This Row],[CurrentParent]]</f>
        <v>0</v>
      </c>
      <c r="K4012" s="140" t="str">
        <f ca="1">IF(Proc[[#This Row],[Author]]="Marcela Urrego",VLOOKUP(LEFT(Proc[[#This Row],[Requested]],1),Table3[#All],2,0),VLOOKUP(Proc[[#This Row],[Author]],Table4[],2,0))</f>
        <v>EL</v>
      </c>
      <c r="L4012" s="140" t="s">
        <v>4896</v>
      </c>
      <c r="M4012" s="136">
        <v>45902</v>
      </c>
      <c r="N4012" s="137"/>
      <c r="O4012" s="137"/>
      <c r="P4012" s="136" t="str">
        <f ca="1">IF(Proc[[#This Row],[DaysAgeing]]&gt;5,"yep","on track")</f>
        <v>on track</v>
      </c>
      <c r="Q4012" s="3">
        <f ca="1">IF(Proc[[#This Row],[DateClosed]]="",ABS(NETWORKDAYS(Proc[[#This Row],[DateOpened]],TODAY()))-1,ABS(NETWORKDAYS(Proc[[#This Row],[DateOpened]],Proc[[#This Row],[DateClosed]]))-1)</f>
        <v>5</v>
      </c>
      <c r="R4012" s="136" t="s">
        <v>6090</v>
      </c>
      <c r="S4012" s="140"/>
    </row>
    <row r="4013" spans="1:19" hidden="1">
      <c r="A4013" s="142" t="s">
        <v>6204</v>
      </c>
      <c r="B4013" s="140" t="str">
        <f ca="1">IFERROR(VLOOKUP(Proc[[#This Row],[App]],Table2[],3,0),"open")</f>
        <v>open</v>
      </c>
      <c r="C4013" s="142" t="s">
        <v>369</v>
      </c>
      <c r="D4013" t="s">
        <v>5967</v>
      </c>
      <c r="E4013" t="s">
        <v>413</v>
      </c>
      <c r="F4013" s="140" t="s">
        <v>413</v>
      </c>
      <c r="G4013" s="142" t="s">
        <v>406</v>
      </c>
      <c r="H4013" s="140" t="str">
        <f ca="1">IF(Proc[[#This Row],[type]]="LFF (MDG-F)",MID(Proc[[#This Row],[Obj]],13,10),"")</f>
        <v>JP01GFO301</v>
      </c>
      <c r="J4013" s="140" t="b">
        <f ca="1">Proc[[#This Row],[Requested]]=Proc[[#This Row],[CurrentParent]]</f>
        <v>1</v>
      </c>
      <c r="K4013" s="140" t="str">
        <f ca="1">IF(Proc[[#This Row],[Author]]="Marcela Urrego",VLOOKUP(LEFT(Proc[[#This Row],[Requested]],1),Table3[#All],2,0),VLOOKUP(Proc[[#This Row],[Author]],Table4[],2,0))</f>
        <v>EL</v>
      </c>
      <c r="L4013" s="140" t="s">
        <v>4896</v>
      </c>
      <c r="M4013" s="136">
        <v>45902</v>
      </c>
      <c r="N4013" s="137"/>
      <c r="O4013" s="137"/>
      <c r="P4013" s="136" t="str">
        <f ca="1">IF(Proc[[#This Row],[DaysAgeing]]&gt;5,"yep","on track")</f>
        <v>on track</v>
      </c>
      <c r="Q4013" s="3">
        <f ca="1">IF(Proc[[#This Row],[DateClosed]]="",ABS(NETWORKDAYS(Proc[[#This Row],[DateOpened]],TODAY()))-1,ABS(NETWORKDAYS(Proc[[#This Row],[DateOpened]],Proc[[#This Row],[DateClosed]]))-1)</f>
        <v>5</v>
      </c>
      <c r="R4013" s="136" t="s">
        <v>6090</v>
      </c>
      <c r="S4013" s="140"/>
    </row>
    <row r="4014" spans="1:19" hidden="1">
      <c r="A4014" s="142" t="s">
        <v>6204</v>
      </c>
      <c r="B4014" s="140" t="str">
        <f ca="1">IFERROR(VLOOKUP(Proc[[#This Row],[App]],Table2[],3,0),"open")</f>
        <v>open</v>
      </c>
      <c r="C4014" s="142" t="s">
        <v>369</v>
      </c>
      <c r="D4014" t="s">
        <v>5971</v>
      </c>
      <c r="E4014" t="s">
        <v>6169</v>
      </c>
      <c r="F4014" s="140" t="s">
        <v>6169</v>
      </c>
      <c r="G4014" s="142" t="s">
        <v>406</v>
      </c>
      <c r="H4014" s="140" t="str">
        <f ca="1">IF(Proc[[#This Row],[type]]="LFF (MDG-F)",MID(Proc[[#This Row],[Obj]],13,10),"")</f>
        <v>JP01GLE301</v>
      </c>
      <c r="J4014" s="140" t="b">
        <f ca="1">Proc[[#This Row],[Requested]]=Proc[[#This Row],[CurrentParent]]</f>
        <v>1</v>
      </c>
      <c r="K4014" s="140" t="str">
        <f ca="1">IF(Proc[[#This Row],[Author]]="Marcela Urrego",VLOOKUP(LEFT(Proc[[#This Row],[Requested]],1),Table3[#All],2,0),VLOOKUP(Proc[[#This Row],[Author]],Table4[],2,0))</f>
        <v>EL</v>
      </c>
      <c r="L4014" s="140" t="s">
        <v>4896</v>
      </c>
      <c r="M4014" s="136">
        <v>45902</v>
      </c>
      <c r="N4014" s="137"/>
      <c r="O4014" s="137"/>
      <c r="P4014" s="136" t="str">
        <f ca="1">IF(Proc[[#This Row],[DaysAgeing]]&gt;5,"yep","on track")</f>
        <v>on track</v>
      </c>
      <c r="Q4014" s="3">
        <f ca="1">IF(Proc[[#This Row],[DateClosed]]="",ABS(NETWORKDAYS(Proc[[#This Row],[DateOpened]],TODAY()))-1,ABS(NETWORKDAYS(Proc[[#This Row],[DateOpened]],Proc[[#This Row],[DateClosed]]))-1)</f>
        <v>5</v>
      </c>
      <c r="R4014" s="136" t="s">
        <v>6090</v>
      </c>
      <c r="S4014" s="140"/>
    </row>
    <row r="4015" spans="1:19" hidden="1">
      <c r="A4015" s="142" t="s">
        <v>6204</v>
      </c>
      <c r="B4015" s="140" t="str">
        <f ca="1">IFERROR(VLOOKUP(Proc[[#This Row],[App]],Table2[],3,0),"open")</f>
        <v>open</v>
      </c>
      <c r="C4015" s="142" t="s">
        <v>369</v>
      </c>
      <c r="D4015" t="s">
        <v>5964</v>
      </c>
      <c r="E4015" t="s">
        <v>6170</v>
      </c>
      <c r="F4015" s="140" t="s">
        <v>6170</v>
      </c>
      <c r="G4015" s="142" t="s">
        <v>406</v>
      </c>
      <c r="H4015" s="140" t="str">
        <f ca="1">IF(Proc[[#This Row],[type]]="LFF (MDG-F)",MID(Proc[[#This Row],[Obj]],13,10),"")</f>
        <v>JP01GCM301</v>
      </c>
      <c r="J4015" s="140" t="b">
        <f ca="1">Proc[[#This Row],[Requested]]=Proc[[#This Row],[CurrentParent]]</f>
        <v>1</v>
      </c>
      <c r="K4015" s="140" t="str">
        <f ca="1">IF(Proc[[#This Row],[Author]]="Marcela Urrego",VLOOKUP(LEFT(Proc[[#This Row],[Requested]],1),Table3[#All],2,0),VLOOKUP(Proc[[#This Row],[Author]],Table4[],2,0))</f>
        <v>EL</v>
      </c>
      <c r="L4015" s="140" t="s">
        <v>4896</v>
      </c>
      <c r="M4015" s="136">
        <v>45902</v>
      </c>
      <c r="N4015" s="137"/>
      <c r="O4015" s="137"/>
      <c r="P4015" s="136" t="str">
        <f ca="1">IF(Proc[[#This Row],[DaysAgeing]]&gt;5,"yep","on track")</f>
        <v>on track</v>
      </c>
      <c r="Q4015" s="3">
        <f ca="1">IF(Proc[[#This Row],[DateClosed]]="",ABS(NETWORKDAYS(Proc[[#This Row],[DateOpened]],TODAY()))-1,ABS(NETWORKDAYS(Proc[[#This Row],[DateOpened]],Proc[[#This Row],[DateClosed]]))-1)</f>
        <v>5</v>
      </c>
      <c r="R4015" s="136" t="s">
        <v>6090</v>
      </c>
      <c r="S4015" s="140"/>
    </row>
    <row r="4016" spans="1:19" hidden="1">
      <c r="A4016" s="142" t="s">
        <v>6204</v>
      </c>
      <c r="B4016" s="140" t="str">
        <f ca="1">IFERROR(VLOOKUP(Proc[[#This Row],[App]],Table2[],3,0),"open")</f>
        <v>open</v>
      </c>
      <c r="C4016" s="142" t="s">
        <v>369</v>
      </c>
      <c r="D4016" t="s">
        <v>5965</v>
      </c>
      <c r="E4016" t="s">
        <v>6171</v>
      </c>
      <c r="F4016" s="140" t="s">
        <v>6171</v>
      </c>
      <c r="G4016" s="142" t="s">
        <v>406</v>
      </c>
      <c r="H4016" s="140" t="str">
        <f ca="1">IF(Proc[[#This Row],[type]]="LFF (MDG-F)",MID(Proc[[#This Row],[Obj]],13,10),"")</f>
        <v>JP01GCO301</v>
      </c>
      <c r="J4016" s="140" t="b">
        <f ca="1">Proc[[#This Row],[Requested]]=Proc[[#This Row],[CurrentParent]]</f>
        <v>1</v>
      </c>
      <c r="K4016" s="140" t="str">
        <f ca="1">IF(Proc[[#This Row],[Author]]="Marcela Urrego",VLOOKUP(LEFT(Proc[[#This Row],[Requested]],1),Table3[#All],2,0),VLOOKUP(Proc[[#This Row],[Author]],Table4[],2,0))</f>
        <v>EL</v>
      </c>
      <c r="L4016" s="140" t="s">
        <v>4896</v>
      </c>
      <c r="M4016" s="136">
        <v>45902</v>
      </c>
      <c r="N4016" s="137"/>
      <c r="O4016" s="137"/>
      <c r="P4016" s="136" t="str">
        <f ca="1">IF(Proc[[#This Row],[DaysAgeing]]&gt;5,"yep","on track")</f>
        <v>on track</v>
      </c>
      <c r="Q4016" s="3">
        <f ca="1">IF(Proc[[#This Row],[DateClosed]]="",ABS(NETWORKDAYS(Proc[[#This Row],[DateOpened]],TODAY()))-1,ABS(NETWORKDAYS(Proc[[#This Row],[DateOpened]],Proc[[#This Row],[DateClosed]]))-1)</f>
        <v>5</v>
      </c>
      <c r="R4016" s="136" t="s">
        <v>6090</v>
      </c>
      <c r="S4016" s="140"/>
    </row>
    <row r="4017" spans="1:19" hidden="1">
      <c r="A4017" s="142" t="s">
        <v>6204</v>
      </c>
      <c r="B4017" s="140" t="str">
        <f ca="1">IFERROR(VLOOKUP(Proc[[#This Row],[App]],Table2[],3,0),"open")</f>
        <v>open</v>
      </c>
      <c r="C4017" s="142" t="s">
        <v>369</v>
      </c>
      <c r="D4017" t="s">
        <v>5993</v>
      </c>
      <c r="E4017" t="s">
        <v>6172</v>
      </c>
      <c r="F4017" s="140" t="s">
        <v>6172</v>
      </c>
      <c r="G4017" s="142" t="s">
        <v>406</v>
      </c>
      <c r="H4017" s="140" t="str">
        <f ca="1">IF(Proc[[#This Row],[type]]="LFF (MDG-F)",MID(Proc[[#This Row],[Obj]],13,10),"")</f>
        <v>JP01L5M302</v>
      </c>
      <c r="J4017" s="140" t="b">
        <f ca="1">Proc[[#This Row],[Requested]]=Proc[[#This Row],[CurrentParent]]</f>
        <v>1</v>
      </c>
      <c r="K4017" s="140" t="str">
        <f ca="1">IF(Proc[[#This Row],[Author]]="Marcela Urrego",VLOOKUP(LEFT(Proc[[#This Row],[Requested]],1),Table3[#All],2,0),VLOOKUP(Proc[[#This Row],[Author]],Table4[],2,0))</f>
        <v>EL</v>
      </c>
      <c r="L4017" s="140" t="s">
        <v>4896</v>
      </c>
      <c r="M4017" s="136">
        <v>45902</v>
      </c>
      <c r="N4017" s="137"/>
      <c r="O4017" s="137"/>
      <c r="P4017" s="136" t="str">
        <f ca="1">IF(Proc[[#This Row],[DaysAgeing]]&gt;5,"yep","on track")</f>
        <v>on track</v>
      </c>
      <c r="Q4017" s="3">
        <f ca="1">IF(Proc[[#This Row],[DateClosed]]="",ABS(NETWORKDAYS(Proc[[#This Row],[DateOpened]],TODAY()))-1,ABS(NETWORKDAYS(Proc[[#This Row],[DateOpened]],Proc[[#This Row],[DateClosed]]))-1)</f>
        <v>5</v>
      </c>
      <c r="R4017" s="136" t="s">
        <v>6090</v>
      </c>
      <c r="S4017" s="140"/>
    </row>
    <row r="4018" spans="1:19" hidden="1">
      <c r="A4018" s="142" t="s">
        <v>6204</v>
      </c>
      <c r="B4018" s="140" t="str">
        <f ca="1">IFERROR(VLOOKUP(Proc[[#This Row],[App]],Table2[],3,0),"open")</f>
        <v>open</v>
      </c>
      <c r="C4018" s="142" t="s">
        <v>369</v>
      </c>
      <c r="D4018" t="s">
        <v>5974</v>
      </c>
      <c r="E4018" t="s">
        <v>413</v>
      </c>
      <c r="F4018" s="140" t="s">
        <v>413</v>
      </c>
      <c r="G4018" s="142" t="s">
        <v>406</v>
      </c>
      <c r="H4018" s="140" t="str">
        <f ca="1">IF(Proc[[#This Row],[type]]="LFF (MDG-F)",MID(Proc[[#This Row],[Obj]],13,10),"")</f>
        <v>JP01GM4001</v>
      </c>
      <c r="J4018" s="140" t="b">
        <f ca="1">Proc[[#This Row],[Requested]]=Proc[[#This Row],[CurrentParent]]</f>
        <v>1</v>
      </c>
      <c r="K4018" s="140" t="str">
        <f ca="1">IF(Proc[[#This Row],[Author]]="Marcela Urrego",VLOOKUP(LEFT(Proc[[#This Row],[Requested]],1),Table3[#All],2,0),VLOOKUP(Proc[[#This Row],[Author]],Table4[],2,0))</f>
        <v>EL</v>
      </c>
      <c r="L4018" s="140" t="s">
        <v>4896</v>
      </c>
      <c r="M4018" s="136">
        <v>45902</v>
      </c>
      <c r="N4018" s="137"/>
      <c r="O4018" s="137"/>
      <c r="P4018" s="136" t="str">
        <f ca="1">IF(Proc[[#This Row],[DaysAgeing]]&gt;5,"yep","on track")</f>
        <v>on track</v>
      </c>
      <c r="Q4018" s="3">
        <f ca="1">IF(Proc[[#This Row],[DateClosed]]="",ABS(NETWORKDAYS(Proc[[#This Row],[DateOpened]],TODAY()))-1,ABS(NETWORKDAYS(Proc[[#This Row],[DateOpened]],Proc[[#This Row],[DateClosed]]))-1)</f>
        <v>5</v>
      </c>
      <c r="R4018" s="136" t="s">
        <v>6090</v>
      </c>
      <c r="S4018" s="140"/>
    </row>
    <row r="4019" spans="1:19" hidden="1">
      <c r="A4019" s="142" t="s">
        <v>6204</v>
      </c>
      <c r="B4019" s="140" t="str">
        <f ca="1">IFERROR(VLOOKUP(Proc[[#This Row],[App]],Table2[],3,0),"open")</f>
        <v>open</v>
      </c>
      <c r="C4019" s="144" t="s">
        <v>370</v>
      </c>
      <c r="D4019" t="s">
        <v>5975</v>
      </c>
      <c r="E4019" t="s">
        <v>473</v>
      </c>
      <c r="F4019" s="140" t="s">
        <v>6062</v>
      </c>
      <c r="G4019" s="142" t="s">
        <v>406</v>
      </c>
      <c r="H4019" s="140" t="str">
        <f ca="1">IF(Proc[[#This Row],[type]]="LFF (MDG-F)",MID(Proc[[#This Row],[Obj]],13,10),"")</f>
        <v>JP01GM4002</v>
      </c>
      <c r="J4019" s="140" t="b">
        <f ca="1">Proc[[#This Row],[Requested]]=Proc[[#This Row],[CurrentParent]]</f>
        <v>0</v>
      </c>
      <c r="K4019" s="140" t="str">
        <f ca="1">IF(Proc[[#This Row],[Author]]="Marcela Urrego",VLOOKUP(LEFT(Proc[[#This Row],[Requested]],1),Table3[#All],2,0),VLOOKUP(Proc[[#This Row],[Author]],Table4[],2,0))</f>
        <v>EL</v>
      </c>
      <c r="L4019" s="140" t="s">
        <v>4896</v>
      </c>
      <c r="M4019" s="136">
        <v>45902</v>
      </c>
      <c r="N4019" s="137"/>
      <c r="O4019" s="137"/>
      <c r="P4019" s="136" t="str">
        <f ca="1">IF(Proc[[#This Row],[DaysAgeing]]&gt;5,"yep","on track")</f>
        <v>on track</v>
      </c>
      <c r="Q4019" s="3">
        <f ca="1">IF(Proc[[#This Row],[DateClosed]]="",ABS(NETWORKDAYS(Proc[[#This Row],[DateOpened]],TODAY()))-1,ABS(NETWORKDAYS(Proc[[#This Row],[DateOpened]],Proc[[#This Row],[DateClosed]]))-1)</f>
        <v>5</v>
      </c>
      <c r="R4019" s="136" t="s">
        <v>6090</v>
      </c>
      <c r="S4019" s="140"/>
    </row>
    <row r="4020" spans="1:19" hidden="1">
      <c r="A4020" s="142" t="s">
        <v>6204</v>
      </c>
      <c r="B4020" s="140" t="str">
        <f ca="1">IFERROR(VLOOKUP(Proc[[#This Row],[App]],Table2[],3,0),"open")</f>
        <v>open</v>
      </c>
      <c r="C4020" s="142" t="s">
        <v>369</v>
      </c>
      <c r="D4020" t="s">
        <v>5991</v>
      </c>
      <c r="E4020" t="s">
        <v>6173</v>
      </c>
      <c r="F4020" s="140" t="s">
        <v>6173</v>
      </c>
      <c r="G4020" s="142" t="s">
        <v>406</v>
      </c>
      <c r="H4020" s="140" t="str">
        <f ca="1">IF(Proc[[#This Row],[type]]="LFF (MDG-F)",MID(Proc[[#This Row],[Obj]],13,10),"")</f>
        <v>JP01L4M302</v>
      </c>
      <c r="J4020" s="140" t="b">
        <f ca="1">Proc[[#This Row],[Requested]]=Proc[[#This Row],[CurrentParent]]</f>
        <v>1</v>
      </c>
      <c r="K4020" s="140" t="str">
        <f ca="1">IF(Proc[[#This Row],[Author]]="Marcela Urrego",VLOOKUP(LEFT(Proc[[#This Row],[Requested]],1),Table3[#All],2,0),VLOOKUP(Proc[[#This Row],[Author]],Table4[],2,0))</f>
        <v>EL</v>
      </c>
      <c r="L4020" s="140" t="s">
        <v>4896</v>
      </c>
      <c r="M4020" s="136">
        <v>45902</v>
      </c>
      <c r="N4020" s="137"/>
      <c r="O4020" s="137"/>
      <c r="P4020" s="136" t="str">
        <f ca="1">IF(Proc[[#This Row],[DaysAgeing]]&gt;5,"yep","on track")</f>
        <v>on track</v>
      </c>
      <c r="Q4020" s="3">
        <f ca="1">IF(Proc[[#This Row],[DateClosed]]="",ABS(NETWORKDAYS(Proc[[#This Row],[DateOpened]],TODAY()))-1,ABS(NETWORKDAYS(Proc[[#This Row],[DateOpened]],Proc[[#This Row],[DateClosed]]))-1)</f>
        <v>5</v>
      </c>
      <c r="R4020" s="136" t="s">
        <v>6090</v>
      </c>
      <c r="S4020" s="140"/>
    </row>
    <row r="4021" spans="1:19" hidden="1">
      <c r="A4021" s="142" t="s">
        <v>6204</v>
      </c>
      <c r="B4021" s="140" t="str">
        <f ca="1">IFERROR(VLOOKUP(Proc[[#This Row],[App]],Table2[],3,0),"open")</f>
        <v>open</v>
      </c>
      <c r="C4021" s="142" t="s">
        <v>369</v>
      </c>
      <c r="D4021" t="s">
        <v>5998</v>
      </c>
      <c r="E4021" t="s">
        <v>2681</v>
      </c>
      <c r="F4021" s="140" t="s">
        <v>2681</v>
      </c>
      <c r="G4021" s="142" t="s">
        <v>406</v>
      </c>
      <c r="H4021" s="140" t="str">
        <f ca="1">IF(Proc[[#This Row],[type]]="LFF (MDG-F)",MID(Proc[[#This Row],[Obj]],13,10),"")</f>
        <v>JP01O05001</v>
      </c>
      <c r="J4021" s="140" t="b">
        <f ca="1">Proc[[#This Row],[Requested]]=Proc[[#This Row],[CurrentParent]]</f>
        <v>1</v>
      </c>
      <c r="K4021" s="140" t="str">
        <f ca="1">IF(Proc[[#This Row],[Author]]="Marcela Urrego",VLOOKUP(LEFT(Proc[[#This Row],[Requested]],1),Table3[#All],2,0),VLOOKUP(Proc[[#This Row],[Author]],Table4[],2,0))</f>
        <v>EL</v>
      </c>
      <c r="L4021" s="140" t="s">
        <v>4896</v>
      </c>
      <c r="M4021" s="136">
        <v>45902</v>
      </c>
      <c r="N4021" s="137"/>
      <c r="O4021" s="137"/>
      <c r="P4021" s="136" t="str">
        <f ca="1">IF(Proc[[#This Row],[DaysAgeing]]&gt;5,"yep","on track")</f>
        <v>on track</v>
      </c>
      <c r="Q4021" s="3">
        <f ca="1">IF(Proc[[#This Row],[DateClosed]]="",ABS(NETWORKDAYS(Proc[[#This Row],[DateOpened]],TODAY()))-1,ABS(NETWORKDAYS(Proc[[#This Row],[DateOpened]],Proc[[#This Row],[DateClosed]]))-1)</f>
        <v>5</v>
      </c>
      <c r="R4021" s="136" t="s">
        <v>6090</v>
      </c>
      <c r="S4021" s="140"/>
    </row>
    <row r="4022" spans="1:19" hidden="1">
      <c r="A4022" s="142" t="s">
        <v>6204</v>
      </c>
      <c r="B4022" s="140" t="str">
        <f ca="1">IFERROR(VLOOKUP(Proc[[#This Row],[App]],Table2[],3,0),"open")</f>
        <v>open</v>
      </c>
      <c r="C4022" s="142" t="s">
        <v>369</v>
      </c>
      <c r="D4022" t="s">
        <v>5996</v>
      </c>
      <c r="E4022" t="s">
        <v>6174</v>
      </c>
      <c r="F4022" s="140" t="s">
        <v>6174</v>
      </c>
      <c r="G4022" s="142" t="s">
        <v>406</v>
      </c>
      <c r="H4022" s="140" t="str">
        <f ca="1">IF(Proc[[#This Row],[type]]="LFF (MDG-F)",MID(Proc[[#This Row],[Obj]],13,10),"")</f>
        <v>JP01L7M303</v>
      </c>
      <c r="J4022" s="140" t="b">
        <f ca="1">Proc[[#This Row],[Requested]]=Proc[[#This Row],[CurrentParent]]</f>
        <v>1</v>
      </c>
      <c r="K4022" s="140" t="str">
        <f ca="1">IF(Proc[[#This Row],[Author]]="Marcela Urrego",VLOOKUP(LEFT(Proc[[#This Row],[Requested]],1),Table3[#All],2,0),VLOOKUP(Proc[[#This Row],[Author]],Table4[],2,0))</f>
        <v>EL</v>
      </c>
      <c r="L4022" s="140" t="s">
        <v>4896</v>
      </c>
      <c r="M4022" s="136">
        <v>45902</v>
      </c>
      <c r="N4022" s="137"/>
      <c r="O4022" s="137"/>
      <c r="P4022" s="136" t="str">
        <f ca="1">IF(Proc[[#This Row],[DaysAgeing]]&gt;5,"yep","on track")</f>
        <v>on track</v>
      </c>
      <c r="Q4022" s="3">
        <f ca="1">IF(Proc[[#This Row],[DateClosed]]="",ABS(NETWORKDAYS(Proc[[#This Row],[DateOpened]],TODAY()))-1,ABS(NETWORKDAYS(Proc[[#This Row],[DateOpened]],Proc[[#This Row],[DateClosed]]))-1)</f>
        <v>5</v>
      </c>
      <c r="R4022" s="136" t="s">
        <v>6090</v>
      </c>
      <c r="S4022" s="140"/>
    </row>
    <row r="4023" spans="1:19" hidden="1">
      <c r="A4023" s="142" t="s">
        <v>6204</v>
      </c>
      <c r="B4023" s="140" t="str">
        <f ca="1">IFERROR(VLOOKUP(Proc[[#This Row],[App]],Table2[],3,0),"open")</f>
        <v>open</v>
      </c>
      <c r="C4023" s="142" t="s">
        <v>369</v>
      </c>
      <c r="D4023" t="s">
        <v>6045</v>
      </c>
      <c r="E4023" t="s">
        <v>6166</v>
      </c>
      <c r="F4023" s="140" t="s">
        <v>6166</v>
      </c>
      <c r="G4023" s="142" t="s">
        <v>406</v>
      </c>
      <c r="H4023" s="140" t="str">
        <f ca="1">IF(Proc[[#This Row],[type]]="LFF (MDG-F)",MID(Proc[[#This Row],[Obj]],13,10),"")</f>
        <v>JP01TPOZ01</v>
      </c>
      <c r="J4023" s="140" t="b">
        <f ca="1">Proc[[#This Row],[Requested]]=Proc[[#This Row],[CurrentParent]]</f>
        <v>1</v>
      </c>
      <c r="K4023" s="140" t="str">
        <f ca="1">IF(Proc[[#This Row],[Author]]="Marcela Urrego",VLOOKUP(LEFT(Proc[[#This Row],[Requested]],1),Table3[#All],2,0),VLOOKUP(Proc[[#This Row],[Author]],Table4[],2,0))</f>
        <v>EL</v>
      </c>
      <c r="L4023" s="140" t="s">
        <v>4896</v>
      </c>
      <c r="M4023" s="136">
        <v>45902</v>
      </c>
      <c r="N4023" s="137"/>
      <c r="O4023" s="137"/>
      <c r="P4023" s="136" t="str">
        <f ca="1">IF(Proc[[#This Row],[DaysAgeing]]&gt;5,"yep","on track")</f>
        <v>on track</v>
      </c>
      <c r="Q4023" s="3">
        <f ca="1">IF(Proc[[#This Row],[DateClosed]]="",ABS(NETWORKDAYS(Proc[[#This Row],[DateOpened]],TODAY()))-1,ABS(NETWORKDAYS(Proc[[#This Row],[DateOpened]],Proc[[#This Row],[DateClosed]]))-1)</f>
        <v>5</v>
      </c>
      <c r="R4023" s="136" t="s">
        <v>6090</v>
      </c>
      <c r="S4023" s="140"/>
    </row>
    <row r="4024" spans="1:19" hidden="1">
      <c r="A4024" s="142" t="s">
        <v>6204</v>
      </c>
      <c r="B4024" s="140" t="str">
        <f ca="1">IFERROR(VLOOKUP(Proc[[#This Row],[App]],Table2[],3,0),"open")</f>
        <v>open</v>
      </c>
      <c r="C4024" s="142" t="s">
        <v>369</v>
      </c>
      <c r="D4024" t="s">
        <v>6047</v>
      </c>
      <c r="E4024" t="s">
        <v>6166</v>
      </c>
      <c r="F4024" s="140" t="s">
        <v>6166</v>
      </c>
      <c r="G4024" s="142" t="s">
        <v>406</v>
      </c>
      <c r="H4024" s="140" t="str">
        <f ca="1">IF(Proc[[#This Row],[type]]="LFF (MDG-F)",MID(Proc[[#This Row],[Obj]],13,10),"")</f>
        <v>JP01TQOZ03</v>
      </c>
      <c r="J4024" s="140" t="b">
        <f ca="1">Proc[[#This Row],[Requested]]=Proc[[#This Row],[CurrentParent]]</f>
        <v>1</v>
      </c>
      <c r="K4024" s="140" t="str">
        <f ca="1">IF(Proc[[#This Row],[Author]]="Marcela Urrego",VLOOKUP(LEFT(Proc[[#This Row],[Requested]],1),Table3[#All],2,0),VLOOKUP(Proc[[#This Row],[Author]],Table4[],2,0))</f>
        <v>EL</v>
      </c>
      <c r="L4024" s="140" t="s">
        <v>4896</v>
      </c>
      <c r="M4024" s="136">
        <v>45902</v>
      </c>
      <c r="N4024" s="137"/>
      <c r="O4024" s="137"/>
      <c r="P4024" s="136" t="str">
        <f ca="1">IF(Proc[[#This Row],[DaysAgeing]]&gt;5,"yep","on track")</f>
        <v>on track</v>
      </c>
      <c r="Q4024" s="3">
        <f ca="1">IF(Proc[[#This Row],[DateClosed]]="",ABS(NETWORKDAYS(Proc[[#This Row],[DateOpened]],TODAY()))-1,ABS(NETWORKDAYS(Proc[[#This Row],[DateOpened]],Proc[[#This Row],[DateClosed]]))-1)</f>
        <v>5</v>
      </c>
      <c r="R4024" s="136" t="s">
        <v>6090</v>
      </c>
      <c r="S4024" s="140"/>
    </row>
    <row r="4025" spans="1:19" hidden="1">
      <c r="A4025" s="142" t="s">
        <v>6204</v>
      </c>
      <c r="B4025" s="140" t="str">
        <f ca="1">IFERROR(VLOOKUP(Proc[[#This Row],[App]],Table2[],3,0),"open")</f>
        <v>open</v>
      </c>
      <c r="C4025" s="142" t="s">
        <v>369</v>
      </c>
      <c r="D4025" t="s">
        <v>5956</v>
      </c>
      <c r="E4025" t="s">
        <v>6106</v>
      </c>
      <c r="F4025" s="140" t="s">
        <v>6106</v>
      </c>
      <c r="G4025" s="142" t="s">
        <v>406</v>
      </c>
      <c r="H4025" s="140" t="str">
        <f ca="1">IF(Proc[[#This Row],[type]]="LFF (MDG-F)",MID(Proc[[#This Row],[Obj]],13,10),"")</f>
        <v>JP01C0M825</v>
      </c>
      <c r="J4025" s="140" t="b">
        <f ca="1">Proc[[#This Row],[Requested]]=Proc[[#This Row],[CurrentParent]]</f>
        <v>1</v>
      </c>
      <c r="K4025" s="140" t="str">
        <f ca="1">IF(Proc[[#This Row],[Author]]="Marcela Urrego",VLOOKUP(LEFT(Proc[[#This Row],[Requested]],1),Table3[#All],2,0),VLOOKUP(Proc[[#This Row],[Author]],Table4[],2,0))</f>
        <v>EL</v>
      </c>
      <c r="L4025" s="140" t="s">
        <v>4896</v>
      </c>
      <c r="M4025" s="136">
        <v>45902</v>
      </c>
      <c r="N4025" s="137"/>
      <c r="O4025" s="137"/>
      <c r="P4025" s="136" t="str">
        <f ca="1">IF(Proc[[#This Row],[DaysAgeing]]&gt;5,"yep","on track")</f>
        <v>on track</v>
      </c>
      <c r="Q4025" s="3">
        <f ca="1">IF(Proc[[#This Row],[DateClosed]]="",ABS(NETWORKDAYS(Proc[[#This Row],[DateOpened]],TODAY()))-1,ABS(NETWORKDAYS(Proc[[#This Row],[DateOpened]],Proc[[#This Row],[DateClosed]]))-1)</f>
        <v>5</v>
      </c>
      <c r="R4025" s="136" t="s">
        <v>6090</v>
      </c>
      <c r="S4025" s="140"/>
    </row>
    <row r="4026" spans="1:19" hidden="1">
      <c r="A4026" s="142" t="s">
        <v>6204</v>
      </c>
      <c r="B4026" s="140" t="str">
        <f ca="1">IFERROR(VLOOKUP(Proc[[#This Row],[App]],Table2[],3,0),"open")</f>
        <v>open</v>
      </c>
      <c r="C4026" s="142" t="s">
        <v>369</v>
      </c>
      <c r="D4026" t="s">
        <v>6039</v>
      </c>
      <c r="E4026" t="s">
        <v>6175</v>
      </c>
      <c r="F4026" s="140" t="s">
        <v>6175</v>
      </c>
      <c r="G4026" s="142" t="s">
        <v>406</v>
      </c>
      <c r="H4026" s="140" t="str">
        <f ca="1">IF(Proc[[#This Row],[type]]="LFF (MDG-F)",MID(Proc[[#This Row],[Obj]],13,10),"")</f>
        <v>JP01TFOZ01</v>
      </c>
      <c r="J4026" s="140" t="b">
        <f ca="1">Proc[[#This Row],[Requested]]=Proc[[#This Row],[CurrentParent]]</f>
        <v>1</v>
      </c>
      <c r="K4026" s="140" t="str">
        <f ca="1">IF(Proc[[#This Row],[Author]]="Marcela Urrego",VLOOKUP(LEFT(Proc[[#This Row],[Requested]],1),Table3[#All],2,0),VLOOKUP(Proc[[#This Row],[Author]],Table4[],2,0))</f>
        <v>EL</v>
      </c>
      <c r="L4026" s="140" t="s">
        <v>4896</v>
      </c>
      <c r="M4026" s="136">
        <v>45902</v>
      </c>
      <c r="N4026" s="137"/>
      <c r="O4026" s="137"/>
      <c r="P4026" s="136" t="str">
        <f ca="1">IF(Proc[[#This Row],[DaysAgeing]]&gt;5,"yep","on track")</f>
        <v>on track</v>
      </c>
      <c r="Q4026" s="3">
        <f ca="1">IF(Proc[[#This Row],[DateClosed]]="",ABS(NETWORKDAYS(Proc[[#This Row],[DateOpened]],TODAY()))-1,ABS(NETWORKDAYS(Proc[[#This Row],[DateOpened]],Proc[[#This Row],[DateClosed]]))-1)</f>
        <v>5</v>
      </c>
      <c r="R4026" s="136" t="s">
        <v>6090</v>
      </c>
      <c r="S4026" s="140"/>
    </row>
    <row r="4027" spans="1:19" hidden="1">
      <c r="A4027" s="142" t="s">
        <v>6204</v>
      </c>
      <c r="B4027" s="140" t="str">
        <f ca="1">IFERROR(VLOOKUP(Proc[[#This Row],[App]],Table2[],3,0),"open")</f>
        <v>open</v>
      </c>
      <c r="C4027" s="142" t="s">
        <v>369</v>
      </c>
      <c r="D4027" t="s">
        <v>6040</v>
      </c>
      <c r="E4027" t="s">
        <v>6175</v>
      </c>
      <c r="F4027" s="140" t="s">
        <v>6175</v>
      </c>
      <c r="G4027" s="142" t="s">
        <v>406</v>
      </c>
      <c r="H4027" s="140" t="str">
        <f ca="1">IF(Proc[[#This Row],[type]]="LFF (MDG-F)",MID(Proc[[#This Row],[Obj]],13,10),"")</f>
        <v>JP01TFOZ02</v>
      </c>
      <c r="J4027" s="140" t="b">
        <f ca="1">Proc[[#This Row],[Requested]]=Proc[[#This Row],[CurrentParent]]</f>
        <v>1</v>
      </c>
      <c r="K4027" s="140" t="str">
        <f ca="1">IF(Proc[[#This Row],[Author]]="Marcela Urrego",VLOOKUP(LEFT(Proc[[#This Row],[Requested]],1),Table3[#All],2,0),VLOOKUP(Proc[[#This Row],[Author]],Table4[],2,0))</f>
        <v>EL</v>
      </c>
      <c r="L4027" s="140" t="s">
        <v>4896</v>
      </c>
      <c r="M4027" s="136">
        <v>45902</v>
      </c>
      <c r="N4027" s="137"/>
      <c r="O4027" s="137"/>
      <c r="P4027" s="136" t="str">
        <f ca="1">IF(Proc[[#This Row],[DaysAgeing]]&gt;5,"yep","on track")</f>
        <v>on track</v>
      </c>
      <c r="Q4027" s="3">
        <f ca="1">IF(Proc[[#This Row],[DateClosed]]="",ABS(NETWORKDAYS(Proc[[#This Row],[DateOpened]],TODAY()))-1,ABS(NETWORKDAYS(Proc[[#This Row],[DateOpened]],Proc[[#This Row],[DateClosed]]))-1)</f>
        <v>5</v>
      </c>
      <c r="R4027" s="136" t="s">
        <v>6090</v>
      </c>
      <c r="S4027" s="140"/>
    </row>
    <row r="4028" spans="1:19" hidden="1">
      <c r="A4028" s="142" t="s">
        <v>6204</v>
      </c>
      <c r="B4028" s="140" t="str">
        <f ca="1">IFERROR(VLOOKUP(Proc[[#This Row],[App]],Table2[],3,0),"open")</f>
        <v>open</v>
      </c>
      <c r="C4028" s="142" t="s">
        <v>369</v>
      </c>
      <c r="D4028" t="s">
        <v>6041</v>
      </c>
      <c r="E4028" t="s">
        <v>6175</v>
      </c>
      <c r="F4028" s="140" t="s">
        <v>6175</v>
      </c>
      <c r="G4028" s="142" t="s">
        <v>406</v>
      </c>
      <c r="H4028" s="140" t="str">
        <f ca="1">IF(Proc[[#This Row],[type]]="LFF (MDG-F)",MID(Proc[[#This Row],[Obj]],13,10),"")</f>
        <v>JP01TFOZ03</v>
      </c>
      <c r="J4028" s="140" t="b">
        <f ca="1">Proc[[#This Row],[Requested]]=Proc[[#This Row],[CurrentParent]]</f>
        <v>1</v>
      </c>
      <c r="K4028" s="140" t="str">
        <f ca="1">IF(Proc[[#This Row],[Author]]="Marcela Urrego",VLOOKUP(LEFT(Proc[[#This Row],[Requested]],1),Table3[#All],2,0),VLOOKUP(Proc[[#This Row],[Author]],Table4[],2,0))</f>
        <v>EL</v>
      </c>
      <c r="L4028" s="140" t="s">
        <v>4896</v>
      </c>
      <c r="M4028" s="136">
        <v>45902</v>
      </c>
      <c r="N4028" s="137"/>
      <c r="O4028" s="137"/>
      <c r="P4028" s="136" t="str">
        <f ca="1">IF(Proc[[#This Row],[DaysAgeing]]&gt;5,"yep","on track")</f>
        <v>on track</v>
      </c>
      <c r="Q4028" s="3">
        <f ca="1">IF(Proc[[#This Row],[DateClosed]]="",ABS(NETWORKDAYS(Proc[[#This Row],[DateOpened]],TODAY()))-1,ABS(NETWORKDAYS(Proc[[#This Row],[DateOpened]],Proc[[#This Row],[DateClosed]]))-1)</f>
        <v>5</v>
      </c>
      <c r="R4028" s="136" t="s">
        <v>6090</v>
      </c>
      <c r="S4028" s="140"/>
    </row>
    <row r="4029" spans="1:19" hidden="1">
      <c r="A4029" s="142" t="s">
        <v>6204</v>
      </c>
      <c r="B4029" s="140" t="str">
        <f ca="1">IFERROR(VLOOKUP(Proc[[#This Row],[App]],Table2[],3,0),"open")</f>
        <v>open</v>
      </c>
      <c r="C4029" s="142" t="s">
        <v>369</v>
      </c>
      <c r="D4029" t="s">
        <v>6061</v>
      </c>
      <c r="E4029" t="s">
        <v>1251</v>
      </c>
      <c r="F4029" s="140" t="s">
        <v>1251</v>
      </c>
      <c r="G4029" s="142" t="s">
        <v>406</v>
      </c>
      <c r="H4029" s="140" t="str">
        <f ca="1">IF(Proc[[#This Row],[type]]="LFF (MDG-F)",MID(Proc[[#This Row],[Obj]],13,10),"")</f>
        <v>JP01Z03725</v>
      </c>
      <c r="J4029" s="140" t="b">
        <f ca="1">Proc[[#This Row],[Requested]]=Proc[[#This Row],[CurrentParent]]</f>
        <v>1</v>
      </c>
      <c r="K4029" s="140" t="str">
        <f ca="1">IF(Proc[[#This Row],[Author]]="Marcela Urrego",VLOOKUP(LEFT(Proc[[#This Row],[Requested]],1),Table3[#All],2,0),VLOOKUP(Proc[[#This Row],[Author]],Table4[],2,0))</f>
        <v>EL</v>
      </c>
      <c r="L4029" s="140" t="s">
        <v>4896</v>
      </c>
      <c r="M4029" s="136">
        <v>45902</v>
      </c>
      <c r="N4029" s="137"/>
      <c r="O4029" s="137"/>
      <c r="P4029" s="136" t="str">
        <f ca="1">IF(Proc[[#This Row],[DaysAgeing]]&gt;5,"yep","on track")</f>
        <v>on track</v>
      </c>
      <c r="Q4029" s="3">
        <f ca="1">IF(Proc[[#This Row],[DateClosed]]="",ABS(NETWORKDAYS(Proc[[#This Row],[DateOpened]],TODAY()))-1,ABS(NETWORKDAYS(Proc[[#This Row],[DateOpened]],Proc[[#This Row],[DateClosed]]))-1)</f>
        <v>5</v>
      </c>
      <c r="R4029" s="136" t="s">
        <v>6090</v>
      </c>
      <c r="S4029" s="140"/>
    </row>
    <row r="4030" spans="1:19" hidden="1">
      <c r="A4030" s="142" t="s">
        <v>6204</v>
      </c>
      <c r="B4030" s="140" t="str">
        <f ca="1">IFERROR(VLOOKUP(Proc[[#This Row],[App]],Table2[],3,0),"open")</f>
        <v>open</v>
      </c>
      <c r="C4030" s="142" t="s">
        <v>369</v>
      </c>
      <c r="D4030" t="s">
        <v>6058</v>
      </c>
      <c r="E4030" t="s">
        <v>2044</v>
      </c>
      <c r="F4030" s="140" t="s">
        <v>2044</v>
      </c>
      <c r="G4030" s="142" t="s">
        <v>406</v>
      </c>
      <c r="H4030" s="140" t="str">
        <f ca="1">IF(Proc[[#This Row],[type]]="LFF (MDG-F)",MID(Proc[[#This Row],[Obj]],13,10),"")</f>
        <v>JP01Z03104</v>
      </c>
      <c r="J4030" s="140" t="b">
        <f ca="1">Proc[[#This Row],[Requested]]=Proc[[#This Row],[CurrentParent]]</f>
        <v>1</v>
      </c>
      <c r="K4030" s="140" t="str">
        <f ca="1">IF(Proc[[#This Row],[Author]]="Marcela Urrego",VLOOKUP(LEFT(Proc[[#This Row],[Requested]],1),Table3[#All],2,0),VLOOKUP(Proc[[#This Row],[Author]],Table4[],2,0))</f>
        <v>EL</v>
      </c>
      <c r="L4030" s="140" t="s">
        <v>4896</v>
      </c>
      <c r="M4030" s="136">
        <v>45902</v>
      </c>
      <c r="N4030" s="137"/>
      <c r="O4030" s="137"/>
      <c r="P4030" s="136" t="str">
        <f ca="1">IF(Proc[[#This Row],[DaysAgeing]]&gt;5,"yep","on track")</f>
        <v>on track</v>
      </c>
      <c r="Q4030" s="3">
        <f ca="1">IF(Proc[[#This Row],[DateClosed]]="",ABS(NETWORKDAYS(Proc[[#This Row],[DateOpened]],TODAY()))-1,ABS(NETWORKDAYS(Proc[[#This Row],[DateOpened]],Proc[[#This Row],[DateClosed]]))-1)</f>
        <v>5</v>
      </c>
      <c r="R4030" s="136" t="s">
        <v>6090</v>
      </c>
      <c r="S4030" s="140"/>
    </row>
    <row r="4031" spans="1:19" hidden="1">
      <c r="A4031" s="142" t="s">
        <v>6204</v>
      </c>
      <c r="B4031" s="140" t="str">
        <f ca="1">IFERROR(VLOOKUP(Proc[[#This Row],[App]],Table2[],3,0),"open")</f>
        <v>open</v>
      </c>
      <c r="C4031" s="142" t="s">
        <v>369</v>
      </c>
      <c r="D4031" t="s">
        <v>6059</v>
      </c>
      <c r="E4031" t="s">
        <v>6176</v>
      </c>
      <c r="F4031" s="140" t="s">
        <v>6176</v>
      </c>
      <c r="G4031" s="142" t="s">
        <v>406</v>
      </c>
      <c r="H4031" s="140" t="str">
        <f ca="1">IF(Proc[[#This Row],[type]]="LFF (MDG-F)",MID(Proc[[#This Row],[Obj]],13,10),"")</f>
        <v>JP01Z03105</v>
      </c>
      <c r="J4031" s="140" t="b">
        <f ca="1">Proc[[#This Row],[Requested]]=Proc[[#This Row],[CurrentParent]]</f>
        <v>1</v>
      </c>
      <c r="K4031" s="140" t="str">
        <f ca="1">IF(Proc[[#This Row],[Author]]="Marcela Urrego",VLOOKUP(LEFT(Proc[[#This Row],[Requested]],1),Table3[#All],2,0),VLOOKUP(Proc[[#This Row],[Author]],Table4[],2,0))</f>
        <v>EL</v>
      </c>
      <c r="L4031" s="140" t="s">
        <v>4896</v>
      </c>
      <c r="M4031" s="136">
        <v>45902</v>
      </c>
      <c r="N4031" s="137"/>
      <c r="O4031" s="137"/>
      <c r="P4031" s="136" t="str">
        <f ca="1">IF(Proc[[#This Row],[DaysAgeing]]&gt;5,"yep","on track")</f>
        <v>on track</v>
      </c>
      <c r="Q4031" s="3">
        <f ca="1">IF(Proc[[#This Row],[DateClosed]]="",ABS(NETWORKDAYS(Proc[[#This Row],[DateOpened]],TODAY()))-1,ABS(NETWORKDAYS(Proc[[#This Row],[DateOpened]],Proc[[#This Row],[DateClosed]]))-1)</f>
        <v>5</v>
      </c>
      <c r="R4031" s="136" t="s">
        <v>6090</v>
      </c>
      <c r="S4031" s="140"/>
    </row>
    <row r="4032" spans="1:19" hidden="1">
      <c r="A4032" s="142" t="s">
        <v>6204</v>
      </c>
      <c r="B4032" s="140" t="str">
        <f ca="1">IFERROR(VLOOKUP(Proc[[#This Row],[App]],Table2[],3,0),"open")</f>
        <v>open</v>
      </c>
      <c r="C4032" s="142" t="s">
        <v>369</v>
      </c>
      <c r="D4032" t="s">
        <v>5948</v>
      </c>
      <c r="E4032" t="s">
        <v>6177</v>
      </c>
      <c r="F4032" s="140" t="s">
        <v>6177</v>
      </c>
      <c r="G4032" s="142" t="s">
        <v>406</v>
      </c>
      <c r="H4032" s="140" t="str">
        <f ca="1">IF(Proc[[#This Row],[type]]="LFF (MDG-F)",MID(Proc[[#This Row],[Obj]],13,10),"")</f>
        <v>JP01C00020</v>
      </c>
      <c r="J4032" s="140" t="b">
        <f ca="1">Proc[[#This Row],[Requested]]=Proc[[#This Row],[CurrentParent]]</f>
        <v>1</v>
      </c>
      <c r="K4032" s="140" t="str">
        <f ca="1">IF(Proc[[#This Row],[Author]]="Marcela Urrego",VLOOKUP(LEFT(Proc[[#This Row],[Requested]],1),Table3[#All],2,0),VLOOKUP(Proc[[#This Row],[Author]],Table4[],2,0))</f>
        <v>EL</v>
      </c>
      <c r="L4032" s="140" t="s">
        <v>4896</v>
      </c>
      <c r="M4032" s="136">
        <v>45902</v>
      </c>
      <c r="N4032" s="137"/>
      <c r="O4032" s="137"/>
      <c r="P4032" s="136" t="str">
        <f ca="1">IF(Proc[[#This Row],[DaysAgeing]]&gt;5,"yep","on track")</f>
        <v>on track</v>
      </c>
      <c r="Q4032" s="3">
        <f ca="1">IF(Proc[[#This Row],[DateClosed]]="",ABS(NETWORKDAYS(Proc[[#This Row],[DateOpened]],TODAY()))-1,ABS(NETWORKDAYS(Proc[[#This Row],[DateOpened]],Proc[[#This Row],[DateClosed]]))-1)</f>
        <v>5</v>
      </c>
      <c r="R4032" s="136" t="s">
        <v>6090</v>
      </c>
      <c r="S4032" s="140"/>
    </row>
    <row r="4033" spans="1:19" hidden="1">
      <c r="A4033" s="142" t="s">
        <v>6204</v>
      </c>
      <c r="B4033" s="140" t="str">
        <f ca="1">IFERROR(VLOOKUP(Proc[[#This Row],[App]],Table2[],3,0),"open")</f>
        <v>open</v>
      </c>
      <c r="C4033" s="142" t="s">
        <v>369</v>
      </c>
      <c r="D4033" t="s">
        <v>5949</v>
      </c>
      <c r="E4033" t="s">
        <v>6178</v>
      </c>
      <c r="F4033" s="140" t="s">
        <v>6178</v>
      </c>
      <c r="G4033" s="142" t="s">
        <v>406</v>
      </c>
      <c r="H4033" s="140" t="str">
        <f ca="1">IF(Proc[[#This Row],[type]]="LFF (MDG-F)",MID(Proc[[#This Row],[Obj]],13,10),"")</f>
        <v>JP01C00301</v>
      </c>
      <c r="J4033" s="140" t="b">
        <f ca="1">Proc[[#This Row],[Requested]]=Proc[[#This Row],[CurrentParent]]</f>
        <v>1</v>
      </c>
      <c r="K4033" s="140" t="str">
        <f ca="1">IF(Proc[[#This Row],[Author]]="Marcela Urrego",VLOOKUP(LEFT(Proc[[#This Row],[Requested]],1),Table3[#All],2,0),VLOOKUP(Proc[[#This Row],[Author]],Table4[],2,0))</f>
        <v>EL</v>
      </c>
      <c r="L4033" s="140" t="s">
        <v>4896</v>
      </c>
      <c r="M4033" s="136">
        <v>45902</v>
      </c>
      <c r="N4033" s="137"/>
      <c r="O4033" s="137"/>
      <c r="P4033" s="136" t="str">
        <f ca="1">IF(Proc[[#This Row],[DaysAgeing]]&gt;5,"yep","on track")</f>
        <v>on track</v>
      </c>
      <c r="Q4033" s="3">
        <f ca="1">IF(Proc[[#This Row],[DateClosed]]="",ABS(NETWORKDAYS(Proc[[#This Row],[DateOpened]],TODAY()))-1,ABS(NETWORKDAYS(Proc[[#This Row],[DateOpened]],Proc[[#This Row],[DateClosed]]))-1)</f>
        <v>5</v>
      </c>
      <c r="R4033" s="136" t="s">
        <v>6090</v>
      </c>
      <c r="S4033" s="140"/>
    </row>
    <row r="4034" spans="1:19" hidden="1">
      <c r="A4034" s="142" t="s">
        <v>6204</v>
      </c>
      <c r="B4034" s="140" t="str">
        <f ca="1">IFERROR(VLOOKUP(Proc[[#This Row],[App]],Table2[],3,0),"open")</f>
        <v>open</v>
      </c>
      <c r="C4034" s="142" t="s">
        <v>369</v>
      </c>
      <c r="D4034" t="s">
        <v>5950</v>
      </c>
      <c r="E4034" t="s">
        <v>6178</v>
      </c>
      <c r="F4034" s="140" t="s">
        <v>6178</v>
      </c>
      <c r="G4034" s="142" t="s">
        <v>406</v>
      </c>
      <c r="H4034" s="140" t="str">
        <f ca="1">IF(Proc[[#This Row],[type]]="LFF (MDG-F)",MID(Proc[[#This Row],[Obj]],13,10),"")</f>
        <v>JP01C00401</v>
      </c>
      <c r="J4034" s="140" t="b">
        <f ca="1">Proc[[#This Row],[Requested]]=Proc[[#This Row],[CurrentParent]]</f>
        <v>1</v>
      </c>
      <c r="K4034" s="140" t="str">
        <f ca="1">IF(Proc[[#This Row],[Author]]="Marcela Urrego",VLOOKUP(LEFT(Proc[[#This Row],[Requested]],1),Table3[#All],2,0),VLOOKUP(Proc[[#This Row],[Author]],Table4[],2,0))</f>
        <v>EL</v>
      </c>
      <c r="L4034" s="140" t="s">
        <v>4896</v>
      </c>
      <c r="M4034" s="136">
        <v>45902</v>
      </c>
      <c r="N4034" s="137"/>
      <c r="O4034" s="137"/>
      <c r="P4034" s="136" t="str">
        <f ca="1">IF(Proc[[#This Row],[DaysAgeing]]&gt;5,"yep","on track")</f>
        <v>on track</v>
      </c>
      <c r="Q4034" s="3">
        <f ca="1">IF(Proc[[#This Row],[DateClosed]]="",ABS(NETWORKDAYS(Proc[[#This Row],[DateOpened]],TODAY()))-1,ABS(NETWORKDAYS(Proc[[#This Row],[DateOpened]],Proc[[#This Row],[DateClosed]]))-1)</f>
        <v>5</v>
      </c>
      <c r="R4034" s="136" t="s">
        <v>6090</v>
      </c>
      <c r="S4034" s="140"/>
    </row>
    <row r="4035" spans="1:19" hidden="1">
      <c r="A4035" s="142" t="s">
        <v>6204</v>
      </c>
      <c r="B4035" s="140" t="str">
        <f ca="1">IFERROR(VLOOKUP(Proc[[#This Row],[App]],Table2[],3,0),"open")</f>
        <v>open</v>
      </c>
      <c r="C4035" s="142" t="s">
        <v>369</v>
      </c>
      <c r="D4035" t="s">
        <v>5979</v>
      </c>
      <c r="E4035" t="s">
        <v>6179</v>
      </c>
      <c r="F4035" s="140" t="s">
        <v>6179</v>
      </c>
      <c r="G4035" s="142" t="s">
        <v>406</v>
      </c>
      <c r="H4035" s="140" t="str">
        <f ca="1">IF(Proc[[#This Row],[type]]="LFF (MDG-F)",MID(Proc[[#This Row],[Obj]],13,10),"")</f>
        <v>JP01GMW080</v>
      </c>
      <c r="J4035" s="140" t="b">
        <f ca="1">Proc[[#This Row],[Requested]]=Proc[[#This Row],[CurrentParent]]</f>
        <v>1</v>
      </c>
      <c r="K4035" s="140" t="str">
        <f ca="1">IF(Proc[[#This Row],[Author]]="Marcela Urrego",VLOOKUP(LEFT(Proc[[#This Row],[Requested]],1),Table3[#All],2,0),VLOOKUP(Proc[[#This Row],[Author]],Table4[],2,0))</f>
        <v>EL</v>
      </c>
      <c r="L4035" s="140" t="s">
        <v>4896</v>
      </c>
      <c r="M4035" s="136">
        <v>45902</v>
      </c>
      <c r="N4035" s="137"/>
      <c r="O4035" s="137"/>
      <c r="P4035" s="136" t="str">
        <f ca="1">IF(Proc[[#This Row],[DaysAgeing]]&gt;5,"yep","on track")</f>
        <v>on track</v>
      </c>
      <c r="Q4035" s="3">
        <f ca="1">IF(Proc[[#This Row],[DateClosed]]="",ABS(NETWORKDAYS(Proc[[#This Row],[DateOpened]],TODAY()))-1,ABS(NETWORKDAYS(Proc[[#This Row],[DateOpened]],Proc[[#This Row],[DateClosed]]))-1)</f>
        <v>5</v>
      </c>
      <c r="R4035" s="136" t="s">
        <v>6090</v>
      </c>
      <c r="S4035" s="140"/>
    </row>
    <row r="4036" spans="1:19" hidden="1">
      <c r="A4036" s="142" t="s">
        <v>6204</v>
      </c>
      <c r="B4036" s="140" t="str">
        <f ca="1">IFERROR(VLOOKUP(Proc[[#This Row],[App]],Table2[],3,0),"open")</f>
        <v>open</v>
      </c>
      <c r="C4036" s="142" t="s">
        <v>369</v>
      </c>
      <c r="D4036" t="s">
        <v>5997</v>
      </c>
      <c r="E4036" t="s">
        <v>2681</v>
      </c>
      <c r="F4036" s="140" t="s">
        <v>2681</v>
      </c>
      <c r="G4036" s="142" t="s">
        <v>406</v>
      </c>
      <c r="H4036" s="140" t="str">
        <f ca="1">IF(Proc[[#This Row],[type]]="LFF (MDG-F)",MID(Proc[[#This Row],[Obj]],13,10),"")</f>
        <v>JP01O05000</v>
      </c>
      <c r="J4036" s="140" t="b">
        <f ca="1">Proc[[#This Row],[Requested]]=Proc[[#This Row],[CurrentParent]]</f>
        <v>1</v>
      </c>
      <c r="K4036" s="140" t="str">
        <f ca="1">IF(Proc[[#This Row],[Author]]="Marcela Urrego",VLOOKUP(LEFT(Proc[[#This Row],[Requested]],1),Table3[#All],2,0),VLOOKUP(Proc[[#This Row],[Author]],Table4[],2,0))</f>
        <v>EL</v>
      </c>
      <c r="L4036" s="140" t="s">
        <v>4896</v>
      </c>
      <c r="M4036" s="136">
        <v>45902</v>
      </c>
      <c r="N4036" s="137"/>
      <c r="O4036" s="137"/>
      <c r="P4036" s="136" t="str">
        <f ca="1">IF(Proc[[#This Row],[DaysAgeing]]&gt;5,"yep","on track")</f>
        <v>on track</v>
      </c>
      <c r="Q4036" s="3">
        <f ca="1">IF(Proc[[#This Row],[DateClosed]]="",ABS(NETWORKDAYS(Proc[[#This Row],[DateOpened]],TODAY()))-1,ABS(NETWORKDAYS(Proc[[#This Row],[DateOpened]],Proc[[#This Row],[DateClosed]]))-1)</f>
        <v>5</v>
      </c>
      <c r="R4036" s="136" t="s">
        <v>6090</v>
      </c>
      <c r="S4036" s="140"/>
    </row>
    <row r="4037" spans="1:19" hidden="1">
      <c r="A4037" s="142" t="s">
        <v>6204</v>
      </c>
      <c r="B4037" s="140" t="str">
        <f ca="1">IFERROR(VLOOKUP(Proc[[#This Row],[App]],Table2[],3,0),"open")</f>
        <v>open</v>
      </c>
      <c r="C4037" s="142" t="s">
        <v>369</v>
      </c>
      <c r="D4037" t="s">
        <v>5999</v>
      </c>
      <c r="E4037" t="s">
        <v>2681</v>
      </c>
      <c r="F4037" s="140" t="s">
        <v>2681</v>
      </c>
      <c r="G4037" s="142" t="s">
        <v>406</v>
      </c>
      <c r="H4037" s="140" t="str">
        <f ca="1">IF(Proc[[#This Row],[type]]="LFF (MDG-F)",MID(Proc[[#This Row],[Obj]],13,10),"")</f>
        <v>JP01O05002</v>
      </c>
      <c r="J4037" s="140" t="b">
        <f ca="1">Proc[[#This Row],[Requested]]=Proc[[#This Row],[CurrentParent]]</f>
        <v>1</v>
      </c>
      <c r="K4037" s="140" t="str">
        <f ca="1">IF(Proc[[#This Row],[Author]]="Marcela Urrego",VLOOKUP(LEFT(Proc[[#This Row],[Requested]],1),Table3[#All],2,0),VLOOKUP(Proc[[#This Row],[Author]],Table4[],2,0))</f>
        <v>EL</v>
      </c>
      <c r="L4037" s="140" t="s">
        <v>4896</v>
      </c>
      <c r="M4037" s="136">
        <v>45902</v>
      </c>
      <c r="N4037" s="137"/>
      <c r="O4037" s="137"/>
      <c r="P4037" s="136" t="str">
        <f ca="1">IF(Proc[[#This Row],[DaysAgeing]]&gt;5,"yep","on track")</f>
        <v>on track</v>
      </c>
      <c r="Q4037" s="3">
        <f ca="1">IF(Proc[[#This Row],[DateClosed]]="",ABS(NETWORKDAYS(Proc[[#This Row],[DateOpened]],TODAY()))-1,ABS(NETWORKDAYS(Proc[[#This Row],[DateOpened]],Proc[[#This Row],[DateClosed]]))-1)</f>
        <v>5</v>
      </c>
      <c r="R4037" s="136" t="s">
        <v>6090</v>
      </c>
      <c r="S4037" s="140"/>
    </row>
    <row r="4038" spans="1:19" hidden="1">
      <c r="A4038" s="142" t="s">
        <v>6204</v>
      </c>
      <c r="B4038" s="140" t="str">
        <f ca="1">IFERROR(VLOOKUP(Proc[[#This Row],[App]],Table2[],3,0),"open")</f>
        <v>open</v>
      </c>
      <c r="C4038" s="142" t="s">
        <v>369</v>
      </c>
      <c r="D4038" t="s">
        <v>6000</v>
      </c>
      <c r="E4038" t="s">
        <v>2681</v>
      </c>
      <c r="F4038" s="140" t="s">
        <v>2681</v>
      </c>
      <c r="G4038" s="142" t="s">
        <v>406</v>
      </c>
      <c r="H4038" s="140" t="str">
        <f ca="1">IF(Proc[[#This Row],[type]]="LFF (MDG-F)",MID(Proc[[#This Row],[Obj]],13,10),"")</f>
        <v>JP01O05003</v>
      </c>
      <c r="J4038" s="140" t="b">
        <f ca="1">Proc[[#This Row],[Requested]]=Proc[[#This Row],[CurrentParent]]</f>
        <v>1</v>
      </c>
      <c r="K4038" s="140" t="str">
        <f ca="1">IF(Proc[[#This Row],[Author]]="Marcela Urrego",VLOOKUP(LEFT(Proc[[#This Row],[Requested]],1),Table3[#All],2,0),VLOOKUP(Proc[[#This Row],[Author]],Table4[],2,0))</f>
        <v>EL</v>
      </c>
      <c r="L4038" s="140" t="s">
        <v>4896</v>
      </c>
      <c r="M4038" s="136">
        <v>45902</v>
      </c>
      <c r="N4038" s="137"/>
      <c r="O4038" s="137"/>
      <c r="P4038" s="136" t="str">
        <f ca="1">IF(Proc[[#This Row],[DaysAgeing]]&gt;5,"yep","on track")</f>
        <v>on track</v>
      </c>
      <c r="Q4038" s="3">
        <f ca="1">IF(Proc[[#This Row],[DateClosed]]="",ABS(NETWORKDAYS(Proc[[#This Row],[DateOpened]],TODAY()))-1,ABS(NETWORKDAYS(Proc[[#This Row],[DateOpened]],Proc[[#This Row],[DateClosed]]))-1)</f>
        <v>5</v>
      </c>
      <c r="R4038" s="136" t="s">
        <v>6090</v>
      </c>
      <c r="S4038" s="140"/>
    </row>
    <row r="4039" spans="1:19" hidden="1">
      <c r="A4039" s="142" t="s">
        <v>6204</v>
      </c>
      <c r="B4039" s="140" t="str">
        <f ca="1">IFERROR(VLOOKUP(Proc[[#This Row],[App]],Table2[],3,0),"open")</f>
        <v>open</v>
      </c>
      <c r="C4039" s="142" t="s">
        <v>369</v>
      </c>
      <c r="D4039" t="s">
        <v>6001</v>
      </c>
      <c r="E4039" t="s">
        <v>2681</v>
      </c>
      <c r="F4039" s="140" t="s">
        <v>2681</v>
      </c>
      <c r="G4039" s="142" t="s">
        <v>406</v>
      </c>
      <c r="H4039" s="140" t="str">
        <f ca="1">IF(Proc[[#This Row],[type]]="LFF (MDG-F)",MID(Proc[[#This Row],[Obj]],13,10),"")</f>
        <v>JP01O05004</v>
      </c>
      <c r="J4039" s="140" t="b">
        <f ca="1">Proc[[#This Row],[Requested]]=Proc[[#This Row],[CurrentParent]]</f>
        <v>1</v>
      </c>
      <c r="K4039" s="140" t="str">
        <f ca="1">IF(Proc[[#This Row],[Author]]="Marcela Urrego",VLOOKUP(LEFT(Proc[[#This Row],[Requested]],1),Table3[#All],2,0),VLOOKUP(Proc[[#This Row],[Author]],Table4[],2,0))</f>
        <v>EL</v>
      </c>
      <c r="L4039" s="140" t="s">
        <v>4896</v>
      </c>
      <c r="M4039" s="136">
        <v>45902</v>
      </c>
      <c r="N4039" s="137"/>
      <c r="O4039" s="137"/>
      <c r="P4039" s="136" t="str">
        <f ca="1">IF(Proc[[#This Row],[DaysAgeing]]&gt;5,"yep","on track")</f>
        <v>on track</v>
      </c>
      <c r="Q4039" s="3">
        <f ca="1">IF(Proc[[#This Row],[DateClosed]]="",ABS(NETWORKDAYS(Proc[[#This Row],[DateOpened]],TODAY()))-1,ABS(NETWORKDAYS(Proc[[#This Row],[DateOpened]],Proc[[#This Row],[DateClosed]]))-1)</f>
        <v>5</v>
      </c>
      <c r="R4039" s="136" t="s">
        <v>6090</v>
      </c>
      <c r="S4039" s="140"/>
    </row>
    <row r="4040" spans="1:19" hidden="1">
      <c r="A4040" s="142" t="s">
        <v>6204</v>
      </c>
      <c r="B4040" s="140" t="str">
        <f ca="1">IFERROR(VLOOKUP(Proc[[#This Row],[App]],Table2[],3,0),"open")</f>
        <v>open</v>
      </c>
      <c r="C4040" s="144" t="s">
        <v>370</v>
      </c>
      <c r="D4040" t="s">
        <v>6049</v>
      </c>
      <c r="E4040" t="s">
        <v>735</v>
      </c>
      <c r="F4040" s="140" t="s">
        <v>6062</v>
      </c>
      <c r="G4040" s="142" t="s">
        <v>406</v>
      </c>
      <c r="H4040" s="140" t="str">
        <f ca="1">IF(Proc[[#This Row],[type]]="LFF (MDG-F)",MID(Proc[[#This Row],[Obj]],13,10),"")</f>
        <v>JP01Z01000</v>
      </c>
      <c r="J4040" s="140" t="b">
        <f ca="1">Proc[[#This Row],[Requested]]=Proc[[#This Row],[CurrentParent]]</f>
        <v>0</v>
      </c>
      <c r="K4040" s="140" t="str">
        <f ca="1">IF(Proc[[#This Row],[Author]]="Marcela Urrego",VLOOKUP(LEFT(Proc[[#This Row],[Requested]],1),Table3[#All],2,0),VLOOKUP(Proc[[#This Row],[Author]],Table4[],2,0))</f>
        <v>EL</v>
      </c>
      <c r="L4040" s="140" t="s">
        <v>4896</v>
      </c>
      <c r="M4040" s="136">
        <v>45902</v>
      </c>
      <c r="N4040" s="137"/>
      <c r="O4040" s="137"/>
      <c r="P4040" s="136" t="str">
        <f ca="1">IF(Proc[[#This Row],[DaysAgeing]]&gt;5,"yep","on track")</f>
        <v>on track</v>
      </c>
      <c r="Q4040" s="3">
        <f ca="1">IF(Proc[[#This Row],[DateClosed]]="",ABS(NETWORKDAYS(Proc[[#This Row],[DateOpened]],TODAY()))-1,ABS(NETWORKDAYS(Proc[[#This Row],[DateOpened]],Proc[[#This Row],[DateClosed]]))-1)</f>
        <v>5</v>
      </c>
      <c r="R4040" s="136" t="s">
        <v>6090</v>
      </c>
      <c r="S4040" s="140"/>
    </row>
    <row r="4041" spans="1:19" hidden="1">
      <c r="A4041" s="142" t="s">
        <v>6204</v>
      </c>
      <c r="B4041" s="140" t="str">
        <f ca="1">IFERROR(VLOOKUP(Proc[[#This Row],[App]],Table2[],3,0),"open")</f>
        <v>open</v>
      </c>
      <c r="C4041" s="142" t="s">
        <v>369</v>
      </c>
      <c r="D4041" t="s">
        <v>6050</v>
      </c>
      <c r="E4041" t="s">
        <v>6180</v>
      </c>
      <c r="F4041" s="140" t="s">
        <v>6180</v>
      </c>
      <c r="G4041" s="142" t="s">
        <v>406</v>
      </c>
      <c r="H4041" s="140" t="str">
        <f ca="1">IF(Proc[[#This Row],[type]]="LFF (MDG-F)",MID(Proc[[#This Row],[Obj]],13,10),"")</f>
        <v>JP01Z01IF9</v>
      </c>
      <c r="J4041" s="140" t="b">
        <f ca="1">Proc[[#This Row],[Requested]]=Proc[[#This Row],[CurrentParent]]</f>
        <v>1</v>
      </c>
      <c r="K4041" s="140" t="str">
        <f ca="1">IF(Proc[[#This Row],[Author]]="Marcela Urrego",VLOOKUP(LEFT(Proc[[#This Row],[Requested]],1),Table3[#All],2,0),VLOOKUP(Proc[[#This Row],[Author]],Table4[],2,0))</f>
        <v>EL</v>
      </c>
      <c r="L4041" s="140" t="s">
        <v>4896</v>
      </c>
      <c r="M4041" s="136">
        <v>45902</v>
      </c>
      <c r="N4041" s="137"/>
      <c r="O4041" s="137"/>
      <c r="P4041" s="136" t="str">
        <f ca="1">IF(Proc[[#This Row],[DaysAgeing]]&gt;5,"yep","on track")</f>
        <v>on track</v>
      </c>
      <c r="Q4041" s="3">
        <f ca="1">IF(Proc[[#This Row],[DateClosed]]="",ABS(NETWORKDAYS(Proc[[#This Row],[DateOpened]],TODAY()))-1,ABS(NETWORKDAYS(Proc[[#This Row],[DateOpened]],Proc[[#This Row],[DateClosed]]))-1)</f>
        <v>5</v>
      </c>
      <c r="R4041" s="136" t="s">
        <v>6090</v>
      </c>
      <c r="S4041" s="140"/>
    </row>
    <row r="4042" spans="1:19" hidden="1">
      <c r="A4042" s="142" t="s">
        <v>6204</v>
      </c>
      <c r="B4042" s="140" t="str">
        <f ca="1">IFERROR(VLOOKUP(Proc[[#This Row],[App]],Table2[],3,0),"open")</f>
        <v>open</v>
      </c>
      <c r="C4042" s="142" t="s">
        <v>369</v>
      </c>
      <c r="D4042" t="s">
        <v>6051</v>
      </c>
      <c r="E4042" t="s">
        <v>6181</v>
      </c>
      <c r="F4042" s="140" t="s">
        <v>6181</v>
      </c>
      <c r="G4042" s="142" t="s">
        <v>406</v>
      </c>
      <c r="H4042" s="140" t="str">
        <f ca="1">IF(Proc[[#This Row],[type]]="LFF (MDG-F)",MID(Proc[[#This Row],[Obj]],13,10),"")</f>
        <v>JP01Z02141</v>
      </c>
      <c r="J4042" s="140" t="b">
        <f ca="1">Proc[[#This Row],[Requested]]=Proc[[#This Row],[CurrentParent]]</f>
        <v>1</v>
      </c>
      <c r="K4042" s="140" t="str">
        <f ca="1">IF(Proc[[#This Row],[Author]]="Marcela Urrego",VLOOKUP(LEFT(Proc[[#This Row],[Requested]],1),Table3[#All],2,0),VLOOKUP(Proc[[#This Row],[Author]],Table4[],2,0))</f>
        <v>EL</v>
      </c>
      <c r="L4042" s="140" t="s">
        <v>4896</v>
      </c>
      <c r="M4042" s="136">
        <v>45902</v>
      </c>
      <c r="N4042" s="137"/>
      <c r="O4042" s="137"/>
      <c r="P4042" s="136" t="str">
        <f ca="1">IF(Proc[[#This Row],[DaysAgeing]]&gt;5,"yep","on track")</f>
        <v>on track</v>
      </c>
      <c r="Q4042" s="3">
        <f ca="1">IF(Proc[[#This Row],[DateClosed]]="",ABS(NETWORKDAYS(Proc[[#This Row],[DateOpened]],TODAY()))-1,ABS(NETWORKDAYS(Proc[[#This Row],[DateOpened]],Proc[[#This Row],[DateClosed]]))-1)</f>
        <v>5</v>
      </c>
      <c r="R4042" s="136" t="s">
        <v>6090</v>
      </c>
      <c r="S4042" s="140"/>
    </row>
    <row r="4043" spans="1:19" hidden="1">
      <c r="A4043" s="142" t="s">
        <v>6204</v>
      </c>
      <c r="B4043" s="140" t="str">
        <f ca="1">IFERROR(VLOOKUP(Proc[[#This Row],[App]],Table2[],3,0),"open")</f>
        <v>open</v>
      </c>
      <c r="C4043" s="142" t="s">
        <v>369</v>
      </c>
      <c r="D4043" t="s">
        <v>6052</v>
      </c>
      <c r="E4043" t="s">
        <v>6182</v>
      </c>
      <c r="F4043" s="140" t="s">
        <v>6182</v>
      </c>
      <c r="G4043" s="142" t="s">
        <v>406</v>
      </c>
      <c r="H4043" s="140" t="str">
        <f ca="1">IF(Proc[[#This Row],[type]]="LFF (MDG-F)",MID(Proc[[#This Row],[Obj]],13,10),"")</f>
        <v>JP01Z02171</v>
      </c>
      <c r="J4043" s="140" t="b">
        <f ca="1">Proc[[#This Row],[Requested]]=Proc[[#This Row],[CurrentParent]]</f>
        <v>1</v>
      </c>
      <c r="K4043" s="140" t="str">
        <f ca="1">IF(Proc[[#This Row],[Author]]="Marcela Urrego",VLOOKUP(LEFT(Proc[[#This Row],[Requested]],1),Table3[#All],2,0),VLOOKUP(Proc[[#This Row],[Author]],Table4[],2,0))</f>
        <v>EL</v>
      </c>
      <c r="L4043" s="140" t="s">
        <v>4896</v>
      </c>
      <c r="M4043" s="136">
        <v>45902</v>
      </c>
      <c r="N4043" s="137"/>
      <c r="O4043" s="137"/>
      <c r="P4043" s="136" t="str">
        <f ca="1">IF(Proc[[#This Row],[DaysAgeing]]&gt;5,"yep","on track")</f>
        <v>on track</v>
      </c>
      <c r="Q4043" s="3">
        <f ca="1">IF(Proc[[#This Row],[DateClosed]]="",ABS(NETWORKDAYS(Proc[[#This Row],[DateOpened]],TODAY()))-1,ABS(NETWORKDAYS(Proc[[#This Row],[DateOpened]],Proc[[#This Row],[DateClosed]]))-1)</f>
        <v>5</v>
      </c>
      <c r="R4043" s="136" t="s">
        <v>6090</v>
      </c>
      <c r="S4043" s="140"/>
    </row>
    <row r="4044" spans="1:19" hidden="1">
      <c r="A4044" s="142" t="s">
        <v>6204</v>
      </c>
      <c r="B4044" s="140" t="str">
        <f ca="1">IFERROR(VLOOKUP(Proc[[#This Row],[App]],Table2[],3,0),"open")</f>
        <v>open</v>
      </c>
      <c r="C4044" s="142" t="s">
        <v>369</v>
      </c>
      <c r="D4044" t="s">
        <v>6053</v>
      </c>
      <c r="E4044" t="s">
        <v>6182</v>
      </c>
      <c r="F4044" s="140" t="s">
        <v>6182</v>
      </c>
      <c r="G4044" s="142" t="s">
        <v>406</v>
      </c>
      <c r="H4044" s="140" t="str">
        <f ca="1">IF(Proc[[#This Row],[type]]="LFF (MDG-F)",MID(Proc[[#This Row],[Obj]],13,10),"")</f>
        <v>JP01Z02173</v>
      </c>
      <c r="J4044" s="140" t="b">
        <f ca="1">Proc[[#This Row],[Requested]]=Proc[[#This Row],[CurrentParent]]</f>
        <v>1</v>
      </c>
      <c r="K4044" s="140" t="str">
        <f ca="1">IF(Proc[[#This Row],[Author]]="Marcela Urrego",VLOOKUP(LEFT(Proc[[#This Row],[Requested]],1),Table3[#All],2,0),VLOOKUP(Proc[[#This Row],[Author]],Table4[],2,0))</f>
        <v>EL</v>
      </c>
      <c r="L4044" s="140" t="s">
        <v>4896</v>
      </c>
      <c r="M4044" s="136">
        <v>45902</v>
      </c>
      <c r="N4044" s="137"/>
      <c r="O4044" s="137"/>
      <c r="P4044" s="136" t="str">
        <f ca="1">IF(Proc[[#This Row],[DaysAgeing]]&gt;5,"yep","on track")</f>
        <v>on track</v>
      </c>
      <c r="Q4044" s="3">
        <f ca="1">IF(Proc[[#This Row],[DateClosed]]="",ABS(NETWORKDAYS(Proc[[#This Row],[DateOpened]],TODAY()))-1,ABS(NETWORKDAYS(Proc[[#This Row],[DateOpened]],Proc[[#This Row],[DateClosed]]))-1)</f>
        <v>5</v>
      </c>
      <c r="R4044" s="136" t="s">
        <v>6090</v>
      </c>
      <c r="S4044" s="140"/>
    </row>
    <row r="4045" spans="1:19" hidden="1">
      <c r="A4045" s="142" t="s">
        <v>6204</v>
      </c>
      <c r="B4045" s="140" t="str">
        <f ca="1">IFERROR(VLOOKUP(Proc[[#This Row],[App]],Table2[],3,0),"open")</f>
        <v>open</v>
      </c>
      <c r="C4045" s="142" t="s">
        <v>369</v>
      </c>
      <c r="D4045" t="s">
        <v>6054</v>
      </c>
      <c r="E4045" t="s">
        <v>6182</v>
      </c>
      <c r="F4045" s="140" t="s">
        <v>6182</v>
      </c>
      <c r="G4045" s="142" t="s">
        <v>406</v>
      </c>
      <c r="H4045" s="140" t="str">
        <f ca="1">IF(Proc[[#This Row],[type]]="LFF (MDG-F)",MID(Proc[[#This Row],[Obj]],13,10),"")</f>
        <v>JP01Z02174</v>
      </c>
      <c r="J4045" s="140" t="b">
        <f ca="1">Proc[[#This Row],[Requested]]=Proc[[#This Row],[CurrentParent]]</f>
        <v>1</v>
      </c>
      <c r="K4045" s="140" t="str">
        <f ca="1">IF(Proc[[#This Row],[Author]]="Marcela Urrego",VLOOKUP(LEFT(Proc[[#This Row],[Requested]],1),Table3[#All],2,0),VLOOKUP(Proc[[#This Row],[Author]],Table4[],2,0))</f>
        <v>EL</v>
      </c>
      <c r="L4045" s="140" t="s">
        <v>4896</v>
      </c>
      <c r="M4045" s="136">
        <v>45902</v>
      </c>
      <c r="N4045" s="137"/>
      <c r="O4045" s="137"/>
      <c r="P4045" s="136" t="str">
        <f ca="1">IF(Proc[[#This Row],[DaysAgeing]]&gt;5,"yep","on track")</f>
        <v>on track</v>
      </c>
      <c r="Q4045" s="3">
        <f ca="1">IF(Proc[[#This Row],[DateClosed]]="",ABS(NETWORKDAYS(Proc[[#This Row],[DateOpened]],TODAY()))-1,ABS(NETWORKDAYS(Proc[[#This Row],[DateOpened]],Proc[[#This Row],[DateClosed]]))-1)</f>
        <v>5</v>
      </c>
      <c r="R4045" s="136" t="s">
        <v>6090</v>
      </c>
      <c r="S4045" s="140"/>
    </row>
    <row r="4046" spans="1:19" hidden="1">
      <c r="A4046" s="142" t="s">
        <v>6204</v>
      </c>
      <c r="B4046" s="140" t="str">
        <f ca="1">IFERROR(VLOOKUP(Proc[[#This Row],[App]],Table2[],3,0),"open")</f>
        <v>open</v>
      </c>
      <c r="C4046" s="142" t="s">
        <v>369</v>
      </c>
      <c r="D4046" t="s">
        <v>6055</v>
      </c>
      <c r="E4046" t="s">
        <v>6182</v>
      </c>
      <c r="F4046" s="140" t="s">
        <v>6182</v>
      </c>
      <c r="G4046" s="142" t="s">
        <v>406</v>
      </c>
      <c r="H4046" s="140" t="str">
        <f ca="1">IF(Proc[[#This Row],[type]]="LFF (MDG-F)",MID(Proc[[#This Row],[Obj]],13,10),"")</f>
        <v>JP01Z02175</v>
      </c>
      <c r="J4046" s="140" t="b">
        <f ca="1">Proc[[#This Row],[Requested]]=Proc[[#This Row],[CurrentParent]]</f>
        <v>1</v>
      </c>
      <c r="K4046" s="140" t="str">
        <f ca="1">IF(Proc[[#This Row],[Author]]="Marcela Urrego",VLOOKUP(LEFT(Proc[[#This Row],[Requested]],1),Table3[#All],2,0),VLOOKUP(Proc[[#This Row],[Author]],Table4[],2,0))</f>
        <v>EL</v>
      </c>
      <c r="L4046" s="140" t="s">
        <v>4896</v>
      </c>
      <c r="M4046" s="136">
        <v>45902</v>
      </c>
      <c r="N4046" s="137"/>
      <c r="O4046" s="137"/>
      <c r="P4046" s="136" t="str">
        <f ca="1">IF(Proc[[#This Row],[DaysAgeing]]&gt;5,"yep","on track")</f>
        <v>on track</v>
      </c>
      <c r="Q4046" s="3">
        <f ca="1">IF(Proc[[#This Row],[DateClosed]]="",ABS(NETWORKDAYS(Proc[[#This Row],[DateOpened]],TODAY()))-1,ABS(NETWORKDAYS(Proc[[#This Row],[DateOpened]],Proc[[#This Row],[DateClosed]]))-1)</f>
        <v>5</v>
      </c>
      <c r="R4046" s="136" t="s">
        <v>6090</v>
      </c>
      <c r="S4046" s="140"/>
    </row>
    <row r="4047" spans="1:19" hidden="1">
      <c r="A4047" s="142" t="s">
        <v>6204</v>
      </c>
      <c r="B4047" s="140" t="str">
        <f ca="1">IFERROR(VLOOKUP(Proc[[#This Row],[App]],Table2[],3,0),"open")</f>
        <v>open</v>
      </c>
      <c r="C4047" s="142" t="s">
        <v>369</v>
      </c>
      <c r="D4047" t="s">
        <v>6056</v>
      </c>
      <c r="E4047" t="s">
        <v>6183</v>
      </c>
      <c r="F4047" s="140" t="s">
        <v>6183</v>
      </c>
      <c r="G4047" s="142" t="s">
        <v>406</v>
      </c>
      <c r="H4047" s="140" t="str">
        <f ca="1">IF(Proc[[#This Row],[type]]="LFF (MDG-F)",MID(Proc[[#This Row],[Obj]],13,10),"")</f>
        <v>JP01Z02183</v>
      </c>
      <c r="J4047" s="140" t="b">
        <f ca="1">Proc[[#This Row],[Requested]]=Proc[[#This Row],[CurrentParent]]</f>
        <v>1</v>
      </c>
      <c r="K4047" s="140" t="str">
        <f ca="1">IF(Proc[[#This Row],[Author]]="Marcela Urrego",VLOOKUP(LEFT(Proc[[#This Row],[Requested]],1),Table3[#All],2,0),VLOOKUP(Proc[[#This Row],[Author]],Table4[],2,0))</f>
        <v>EL</v>
      </c>
      <c r="L4047" s="140" t="s">
        <v>4896</v>
      </c>
      <c r="M4047" s="136">
        <v>45902</v>
      </c>
      <c r="N4047" s="137"/>
      <c r="O4047" s="137"/>
      <c r="P4047" s="136" t="str">
        <f ca="1">IF(Proc[[#This Row],[DaysAgeing]]&gt;5,"yep","on track")</f>
        <v>on track</v>
      </c>
      <c r="Q4047" s="3">
        <f ca="1">IF(Proc[[#This Row],[DateClosed]]="",ABS(NETWORKDAYS(Proc[[#This Row],[DateOpened]],TODAY()))-1,ABS(NETWORKDAYS(Proc[[#This Row],[DateOpened]],Proc[[#This Row],[DateClosed]]))-1)</f>
        <v>5</v>
      </c>
      <c r="R4047" s="136" t="s">
        <v>6090</v>
      </c>
      <c r="S4047" s="140"/>
    </row>
    <row r="4048" spans="1:19" hidden="1">
      <c r="A4048" s="142" t="s">
        <v>6204</v>
      </c>
      <c r="B4048" s="140" t="str">
        <f ca="1">IFERROR(VLOOKUP(Proc[[#This Row],[App]],Table2[],3,0),"open")</f>
        <v>open</v>
      </c>
      <c r="C4048" s="142" t="s">
        <v>369</v>
      </c>
      <c r="D4048" t="s">
        <v>6060</v>
      </c>
      <c r="E4048" t="s">
        <v>6184</v>
      </c>
      <c r="F4048" s="140" t="s">
        <v>6184</v>
      </c>
      <c r="G4048" s="142" t="s">
        <v>406</v>
      </c>
      <c r="H4048" s="140" t="str">
        <f ca="1">IF(Proc[[#This Row],[type]]="LFF (MDG-F)",MID(Proc[[#This Row],[Obj]],13,10),"")</f>
        <v>JP01Z03700</v>
      </c>
      <c r="J4048" s="140" t="b">
        <f ca="1">Proc[[#This Row],[Requested]]=Proc[[#This Row],[CurrentParent]]</f>
        <v>1</v>
      </c>
      <c r="K4048" s="140" t="str">
        <f ca="1">IF(Proc[[#This Row],[Author]]="Marcela Urrego",VLOOKUP(LEFT(Proc[[#This Row],[Requested]],1),Table3[#All],2,0),VLOOKUP(Proc[[#This Row],[Author]],Table4[],2,0))</f>
        <v>EL</v>
      </c>
      <c r="L4048" s="140" t="s">
        <v>4896</v>
      </c>
      <c r="M4048" s="136">
        <v>45902</v>
      </c>
      <c r="N4048" s="137"/>
      <c r="O4048" s="137"/>
      <c r="P4048" s="136" t="str">
        <f ca="1">IF(Proc[[#This Row],[DaysAgeing]]&gt;5,"yep","on track")</f>
        <v>on track</v>
      </c>
      <c r="Q4048" s="3">
        <f ca="1">IF(Proc[[#This Row],[DateClosed]]="",ABS(NETWORKDAYS(Proc[[#This Row],[DateOpened]],TODAY()))-1,ABS(NETWORKDAYS(Proc[[#This Row],[DateOpened]],Proc[[#This Row],[DateClosed]]))-1)</f>
        <v>5</v>
      </c>
      <c r="R4048" s="136" t="s">
        <v>6090</v>
      </c>
      <c r="S4048" s="140"/>
    </row>
    <row r="4049" spans="1:19" hidden="1">
      <c r="A4049" s="142" t="s">
        <v>6204</v>
      </c>
      <c r="B4049" s="140" t="str">
        <f ca="1">IFERROR(VLOOKUP(Proc[[#This Row],[App]],Table2[],3,0),"open")</f>
        <v>open</v>
      </c>
      <c r="C4049" s="142" t="s">
        <v>369</v>
      </c>
      <c r="D4049" t="s">
        <v>5983</v>
      </c>
      <c r="E4049" t="s">
        <v>6185</v>
      </c>
      <c r="F4049" s="140" t="s">
        <v>6185</v>
      </c>
      <c r="G4049" s="142" t="s">
        <v>406</v>
      </c>
      <c r="H4049" s="140" t="str">
        <f ca="1">IF(Proc[[#This Row],[type]]="LFF (MDG-F)",MID(Proc[[#This Row],[Obj]],13,10),"")</f>
        <v>JP01GPS302</v>
      </c>
      <c r="J4049" s="140" t="b">
        <f ca="1">Proc[[#This Row],[Requested]]=Proc[[#This Row],[CurrentParent]]</f>
        <v>1</v>
      </c>
      <c r="K4049" s="140" t="str">
        <f ca="1">IF(Proc[[#This Row],[Author]]="Marcela Urrego",VLOOKUP(LEFT(Proc[[#This Row],[Requested]],1),Table3[#All],2,0),VLOOKUP(Proc[[#This Row],[Author]],Table4[],2,0))</f>
        <v>EL</v>
      </c>
      <c r="L4049" s="140" t="s">
        <v>4896</v>
      </c>
      <c r="M4049" s="136">
        <v>45902</v>
      </c>
      <c r="N4049" s="137"/>
      <c r="O4049" s="137"/>
      <c r="P4049" s="136" t="str">
        <f ca="1">IF(Proc[[#This Row],[DaysAgeing]]&gt;5,"yep","on track")</f>
        <v>on track</v>
      </c>
      <c r="Q4049" s="3">
        <f ca="1">IF(Proc[[#This Row],[DateClosed]]="",ABS(NETWORKDAYS(Proc[[#This Row],[DateOpened]],TODAY()))-1,ABS(NETWORKDAYS(Proc[[#This Row],[DateOpened]],Proc[[#This Row],[DateClosed]]))-1)</f>
        <v>5</v>
      </c>
      <c r="R4049" s="136" t="s">
        <v>6090</v>
      </c>
      <c r="S4049" s="140"/>
    </row>
    <row r="4050" spans="1:19" hidden="1">
      <c r="A4050" s="142" t="s">
        <v>6204</v>
      </c>
      <c r="B4050" s="140" t="str">
        <f ca="1">IFERROR(VLOOKUP(Proc[[#This Row],[App]],Table2[],3,0),"open")</f>
        <v>open</v>
      </c>
      <c r="C4050" s="142" t="s">
        <v>369</v>
      </c>
      <c r="D4050" t="s">
        <v>5980</v>
      </c>
      <c r="E4050" t="s">
        <v>6186</v>
      </c>
      <c r="F4050" s="140" t="s">
        <v>6186</v>
      </c>
      <c r="G4050" s="142" t="s">
        <v>406</v>
      </c>
      <c r="H4050" s="140" t="str">
        <f ca="1">IF(Proc[[#This Row],[type]]="LFF (MDG-F)",MID(Proc[[#This Row],[Obj]],13,10),"")</f>
        <v>JP01GPO301</v>
      </c>
      <c r="J4050" s="140" t="b">
        <f ca="1">Proc[[#This Row],[Requested]]=Proc[[#This Row],[CurrentParent]]</f>
        <v>1</v>
      </c>
      <c r="K4050" s="140" t="str">
        <f ca="1">IF(Proc[[#This Row],[Author]]="Marcela Urrego",VLOOKUP(LEFT(Proc[[#This Row],[Requested]],1),Table3[#All],2,0),VLOOKUP(Proc[[#This Row],[Author]],Table4[],2,0))</f>
        <v>EL</v>
      </c>
      <c r="L4050" s="140" t="s">
        <v>4896</v>
      </c>
      <c r="M4050" s="136">
        <v>45902</v>
      </c>
      <c r="N4050" s="137"/>
      <c r="O4050" s="137"/>
      <c r="P4050" s="136" t="str">
        <f ca="1">IF(Proc[[#This Row],[DaysAgeing]]&gt;5,"yep","on track")</f>
        <v>on track</v>
      </c>
      <c r="Q4050" s="3">
        <f ca="1">IF(Proc[[#This Row],[DateClosed]]="",ABS(NETWORKDAYS(Proc[[#This Row],[DateOpened]],TODAY()))-1,ABS(NETWORKDAYS(Proc[[#This Row],[DateOpened]],Proc[[#This Row],[DateClosed]]))-1)</f>
        <v>5</v>
      </c>
      <c r="R4050" s="136" t="s">
        <v>6090</v>
      </c>
      <c r="S4050" s="140"/>
    </row>
    <row r="4051" spans="1:19" hidden="1">
      <c r="A4051" s="142" t="s">
        <v>6204</v>
      </c>
      <c r="B4051" s="140" t="str">
        <f ca="1">IFERROR(VLOOKUP(Proc[[#This Row],[App]],Table2[],3,0),"open")</f>
        <v>open</v>
      </c>
      <c r="C4051" s="142" t="s">
        <v>369</v>
      </c>
      <c r="D4051" t="s">
        <v>5981</v>
      </c>
      <c r="E4051" t="s">
        <v>6107</v>
      </c>
      <c r="F4051" s="140" t="s">
        <v>6107</v>
      </c>
      <c r="G4051" s="142" t="s">
        <v>406</v>
      </c>
      <c r="H4051" s="140" t="str">
        <f ca="1">IF(Proc[[#This Row],[type]]="LFF (MDG-F)",MID(Proc[[#This Row],[Obj]],13,10),"")</f>
        <v>JP01GPO302</v>
      </c>
      <c r="J4051" s="140" t="b">
        <f ca="1">Proc[[#This Row],[Requested]]=Proc[[#This Row],[CurrentParent]]</f>
        <v>1</v>
      </c>
      <c r="K4051" s="140" t="str">
        <f ca="1">IF(Proc[[#This Row],[Author]]="Marcela Urrego",VLOOKUP(LEFT(Proc[[#This Row],[Requested]],1),Table3[#All],2,0),VLOOKUP(Proc[[#This Row],[Author]],Table4[],2,0))</f>
        <v>EL</v>
      </c>
      <c r="L4051" s="140" t="s">
        <v>4896</v>
      </c>
      <c r="M4051" s="136">
        <v>45902</v>
      </c>
      <c r="N4051" s="137"/>
      <c r="O4051" s="137"/>
      <c r="P4051" s="136" t="str">
        <f ca="1">IF(Proc[[#This Row],[DaysAgeing]]&gt;5,"yep","on track")</f>
        <v>on track</v>
      </c>
      <c r="Q4051" s="3">
        <f ca="1">IF(Proc[[#This Row],[DateClosed]]="",ABS(NETWORKDAYS(Proc[[#This Row],[DateOpened]],TODAY()))-1,ABS(NETWORKDAYS(Proc[[#This Row],[DateOpened]],Proc[[#This Row],[DateClosed]]))-1)</f>
        <v>5</v>
      </c>
      <c r="R4051" s="136" t="s">
        <v>6090</v>
      </c>
      <c r="S4051" s="140"/>
    </row>
    <row r="4052" spans="1:19" hidden="1">
      <c r="A4052" s="142" t="s">
        <v>6204</v>
      </c>
      <c r="B4052" s="140" t="str">
        <f ca="1">IFERROR(VLOOKUP(Proc[[#This Row],[App]],Table2[],3,0),"open")</f>
        <v>open</v>
      </c>
      <c r="C4052" s="142" t="s">
        <v>369</v>
      </c>
      <c r="D4052" t="s">
        <v>5970</v>
      </c>
      <c r="E4052" t="s">
        <v>424</v>
      </c>
      <c r="F4052" s="140" t="s">
        <v>424</v>
      </c>
      <c r="G4052" s="142" t="s">
        <v>406</v>
      </c>
      <c r="H4052" s="140" t="str">
        <f ca="1">IF(Proc[[#This Row],[type]]="LFF (MDG-F)",MID(Proc[[#This Row],[Obj]],13,10),"")</f>
        <v>JP01GIT01B</v>
      </c>
      <c r="J4052" s="140" t="b">
        <f ca="1">Proc[[#This Row],[Requested]]=Proc[[#This Row],[CurrentParent]]</f>
        <v>1</v>
      </c>
      <c r="K4052" s="140" t="str">
        <f ca="1">IF(Proc[[#This Row],[Author]]="Marcela Urrego",VLOOKUP(LEFT(Proc[[#This Row],[Requested]],1),Table3[#All],2,0),VLOOKUP(Proc[[#This Row],[Author]],Table4[],2,0))</f>
        <v>EL</v>
      </c>
      <c r="L4052" s="140" t="s">
        <v>4896</v>
      </c>
      <c r="M4052" s="136">
        <v>45902</v>
      </c>
      <c r="N4052" s="137"/>
      <c r="O4052" s="137"/>
      <c r="P4052" s="136" t="str">
        <f ca="1">IF(Proc[[#This Row],[DaysAgeing]]&gt;5,"yep","on track")</f>
        <v>on track</v>
      </c>
      <c r="Q4052" s="3">
        <f ca="1">IF(Proc[[#This Row],[DateClosed]]="",ABS(NETWORKDAYS(Proc[[#This Row],[DateOpened]],TODAY()))-1,ABS(NETWORKDAYS(Proc[[#This Row],[DateOpened]],Proc[[#This Row],[DateClosed]]))-1)</f>
        <v>5</v>
      </c>
      <c r="R4052" s="136" t="s">
        <v>6090</v>
      </c>
      <c r="S4052" s="140"/>
    </row>
    <row r="4053" spans="1:19" hidden="1">
      <c r="A4053" s="142" t="s">
        <v>6204</v>
      </c>
      <c r="B4053" s="140" t="str">
        <f ca="1">IFERROR(VLOOKUP(Proc[[#This Row],[App]],Table2[],3,0),"open")</f>
        <v>open</v>
      </c>
      <c r="C4053" s="142" t="s">
        <v>369</v>
      </c>
      <c r="D4053" t="s">
        <v>6024</v>
      </c>
      <c r="E4053" t="s">
        <v>6187</v>
      </c>
      <c r="F4053" s="140" t="s">
        <v>6187</v>
      </c>
      <c r="G4053" s="142" t="s">
        <v>406</v>
      </c>
      <c r="H4053" s="140" t="str">
        <f ca="1">IF(Proc[[#This Row],[type]]="LFF (MDG-F)",MID(Proc[[#This Row],[Obj]],13,10),"")</f>
        <v>JP01TAOZ02</v>
      </c>
      <c r="J4053" s="140" t="b">
        <f ca="1">Proc[[#This Row],[Requested]]=Proc[[#This Row],[CurrentParent]]</f>
        <v>1</v>
      </c>
      <c r="K4053" s="140" t="str">
        <f ca="1">IF(Proc[[#This Row],[Author]]="Marcela Urrego",VLOOKUP(LEFT(Proc[[#This Row],[Requested]],1),Table3[#All],2,0),VLOOKUP(Proc[[#This Row],[Author]],Table4[],2,0))</f>
        <v>EL</v>
      </c>
      <c r="L4053" s="140" t="s">
        <v>4896</v>
      </c>
      <c r="M4053" s="136">
        <v>45902</v>
      </c>
      <c r="N4053" s="137"/>
      <c r="O4053" s="137"/>
      <c r="P4053" s="136" t="str">
        <f ca="1">IF(Proc[[#This Row],[DaysAgeing]]&gt;5,"yep","on track")</f>
        <v>on track</v>
      </c>
      <c r="Q4053" s="3">
        <f ca="1">IF(Proc[[#This Row],[DateClosed]]="",ABS(NETWORKDAYS(Proc[[#This Row],[DateOpened]],TODAY()))-1,ABS(NETWORKDAYS(Proc[[#This Row],[DateOpened]],Proc[[#This Row],[DateClosed]]))-1)</f>
        <v>5</v>
      </c>
      <c r="R4053" s="136" t="s">
        <v>6090</v>
      </c>
      <c r="S4053" s="140"/>
    </row>
    <row r="4054" spans="1:19" hidden="1">
      <c r="A4054" s="142" t="s">
        <v>6204</v>
      </c>
      <c r="B4054" s="140" t="str">
        <f ca="1">IFERROR(VLOOKUP(Proc[[#This Row],[App]],Table2[],3,0),"open")</f>
        <v>open</v>
      </c>
      <c r="C4054" s="142" t="s">
        <v>369</v>
      </c>
      <c r="D4054" t="s">
        <v>6027</v>
      </c>
      <c r="E4054" t="s">
        <v>6187</v>
      </c>
      <c r="F4054" s="140" t="s">
        <v>6187</v>
      </c>
      <c r="G4054" s="142" t="s">
        <v>406</v>
      </c>
      <c r="H4054" s="140" t="str">
        <f ca="1">IF(Proc[[#This Row],[type]]="LFF (MDG-F)",MID(Proc[[#This Row],[Obj]],13,10),"")</f>
        <v>JP01TAOZ05</v>
      </c>
      <c r="J4054" s="140" t="b">
        <f ca="1">Proc[[#This Row],[Requested]]=Proc[[#This Row],[CurrentParent]]</f>
        <v>1</v>
      </c>
      <c r="K4054" s="140" t="str">
        <f ca="1">IF(Proc[[#This Row],[Author]]="Marcela Urrego",VLOOKUP(LEFT(Proc[[#This Row],[Requested]],1),Table3[#All],2,0),VLOOKUP(Proc[[#This Row],[Author]],Table4[],2,0))</f>
        <v>EL</v>
      </c>
      <c r="L4054" s="140" t="s">
        <v>4896</v>
      </c>
      <c r="M4054" s="136">
        <v>45902</v>
      </c>
      <c r="N4054" s="137"/>
      <c r="O4054" s="137"/>
      <c r="P4054" s="136" t="str">
        <f ca="1">IF(Proc[[#This Row],[DaysAgeing]]&gt;5,"yep","on track")</f>
        <v>on track</v>
      </c>
      <c r="Q4054" s="3">
        <f ca="1">IF(Proc[[#This Row],[DateClosed]]="",ABS(NETWORKDAYS(Proc[[#This Row],[DateOpened]],TODAY()))-1,ABS(NETWORKDAYS(Proc[[#This Row],[DateOpened]],Proc[[#This Row],[DateClosed]]))-1)</f>
        <v>5</v>
      </c>
      <c r="R4054" s="136" t="s">
        <v>6090</v>
      </c>
      <c r="S4054" s="140"/>
    </row>
    <row r="4055" spans="1:19" hidden="1">
      <c r="A4055" s="142" t="s">
        <v>6204</v>
      </c>
      <c r="B4055" s="140" t="str">
        <f ca="1">IFERROR(VLOOKUP(Proc[[#This Row],[App]],Table2[],3,0),"open")</f>
        <v>open</v>
      </c>
      <c r="C4055" s="142" t="s">
        <v>369</v>
      </c>
      <c r="D4055" t="s">
        <v>5969</v>
      </c>
      <c r="E4055" t="s">
        <v>6188</v>
      </c>
      <c r="F4055" s="140" t="s">
        <v>6188</v>
      </c>
      <c r="G4055" s="142" t="s">
        <v>406</v>
      </c>
      <c r="H4055" s="140" t="str">
        <f ca="1">IF(Proc[[#This Row],[type]]="LFF (MDG-F)",MID(Proc[[#This Row],[Obj]],13,10),"")</f>
        <v>JP01GHR303</v>
      </c>
      <c r="J4055" s="140" t="b">
        <f ca="1">Proc[[#This Row],[Requested]]=Proc[[#This Row],[CurrentParent]]</f>
        <v>1</v>
      </c>
      <c r="K4055" s="140" t="str">
        <f ca="1">IF(Proc[[#This Row],[Author]]="Marcela Urrego",VLOOKUP(LEFT(Proc[[#This Row],[Requested]],1),Table3[#All],2,0),VLOOKUP(Proc[[#This Row],[Author]],Table4[],2,0))</f>
        <v>EL</v>
      </c>
      <c r="L4055" s="140" t="s">
        <v>4896</v>
      </c>
      <c r="M4055" s="136">
        <v>45902</v>
      </c>
      <c r="N4055" s="137"/>
      <c r="O4055" s="137"/>
      <c r="P4055" s="136" t="str">
        <f ca="1">IF(Proc[[#This Row],[DaysAgeing]]&gt;5,"yep","on track")</f>
        <v>on track</v>
      </c>
      <c r="Q4055" s="3">
        <f ca="1">IF(Proc[[#This Row],[DateClosed]]="",ABS(NETWORKDAYS(Proc[[#This Row],[DateOpened]],TODAY()))-1,ABS(NETWORKDAYS(Proc[[#This Row],[DateOpened]],Proc[[#This Row],[DateClosed]]))-1)</f>
        <v>5</v>
      </c>
      <c r="R4055" s="136" t="s">
        <v>6090</v>
      </c>
      <c r="S4055" s="140"/>
    </row>
    <row r="4056" spans="1:19" hidden="1">
      <c r="A4056" s="142" t="s">
        <v>6204</v>
      </c>
      <c r="B4056" s="140" t="str">
        <f ca="1">IFERROR(VLOOKUP(Proc[[#This Row],[App]],Table2[],3,0),"open")</f>
        <v>open</v>
      </c>
      <c r="C4056" s="142" t="s">
        <v>369</v>
      </c>
      <c r="D4056" t="s">
        <v>6057</v>
      </c>
      <c r="E4056" t="s">
        <v>3226</v>
      </c>
      <c r="F4056" s="140" t="s">
        <v>3226</v>
      </c>
      <c r="G4056" s="142" t="s">
        <v>406</v>
      </c>
      <c r="H4056" s="140" t="str">
        <f ca="1">IF(Proc[[#This Row],[type]]="LFF (MDG-F)",MID(Proc[[#This Row],[Obj]],13,10),"")</f>
        <v>JP01Z03103</v>
      </c>
      <c r="J4056" s="140" t="b">
        <f ca="1">Proc[[#This Row],[Requested]]=Proc[[#This Row],[CurrentParent]]</f>
        <v>1</v>
      </c>
      <c r="K4056" s="140" t="str">
        <f ca="1">IF(Proc[[#This Row],[Author]]="Marcela Urrego",VLOOKUP(LEFT(Proc[[#This Row],[Requested]],1),Table3[#All],2,0),VLOOKUP(Proc[[#This Row],[Author]],Table4[],2,0))</f>
        <v>EL</v>
      </c>
      <c r="L4056" s="140" t="s">
        <v>4896</v>
      </c>
      <c r="M4056" s="136">
        <v>45902</v>
      </c>
      <c r="N4056" s="137"/>
      <c r="O4056" s="137"/>
      <c r="P4056" s="136" t="str">
        <f ca="1">IF(Proc[[#This Row],[DaysAgeing]]&gt;5,"yep","on track")</f>
        <v>on track</v>
      </c>
      <c r="Q4056" s="3">
        <f ca="1">IF(Proc[[#This Row],[DateClosed]]="",ABS(NETWORKDAYS(Proc[[#This Row],[DateOpened]],TODAY()))-1,ABS(NETWORKDAYS(Proc[[#This Row],[DateOpened]],Proc[[#This Row],[DateClosed]]))-1)</f>
        <v>5</v>
      </c>
      <c r="R4056" s="136" t="s">
        <v>6090</v>
      </c>
      <c r="S4056" s="140"/>
    </row>
    <row r="4057" spans="1:19" hidden="1">
      <c r="A4057" s="142" t="s">
        <v>6204</v>
      </c>
      <c r="B4057" s="140" t="str">
        <f ca="1">IFERROR(VLOOKUP(Proc[[#This Row],[App]],Table2[],3,0),"open")</f>
        <v>open</v>
      </c>
      <c r="C4057" s="142" t="s">
        <v>369</v>
      </c>
      <c r="D4057" t="s">
        <v>6011</v>
      </c>
      <c r="E4057" t="s">
        <v>6187</v>
      </c>
      <c r="F4057" s="140" t="s">
        <v>6187</v>
      </c>
      <c r="G4057" s="142" t="s">
        <v>406</v>
      </c>
      <c r="H4057" s="140" t="str">
        <f ca="1">IF(Proc[[#This Row],[type]]="LFF (MDG-F)",MID(Proc[[#This Row],[Obj]],13,10),"")</f>
        <v>JP01TAOC00</v>
      </c>
      <c r="J4057" s="140" t="b">
        <f ca="1">Proc[[#This Row],[Requested]]=Proc[[#This Row],[CurrentParent]]</f>
        <v>1</v>
      </c>
      <c r="K4057" s="140" t="str">
        <f ca="1">IF(Proc[[#This Row],[Author]]="Marcela Urrego",VLOOKUP(LEFT(Proc[[#This Row],[Requested]],1),Table3[#All],2,0),VLOOKUP(Proc[[#This Row],[Author]],Table4[],2,0))</f>
        <v>EL</v>
      </c>
      <c r="L4057" s="140" t="s">
        <v>4896</v>
      </c>
      <c r="M4057" s="136">
        <v>45902</v>
      </c>
      <c r="N4057" s="137"/>
      <c r="O4057" s="137"/>
      <c r="P4057" s="136" t="str">
        <f ca="1">IF(Proc[[#This Row],[DaysAgeing]]&gt;5,"yep","on track")</f>
        <v>on track</v>
      </c>
      <c r="Q4057" s="3">
        <f ca="1">IF(Proc[[#This Row],[DateClosed]]="",ABS(NETWORKDAYS(Proc[[#This Row],[DateOpened]],TODAY()))-1,ABS(NETWORKDAYS(Proc[[#This Row],[DateOpened]],Proc[[#This Row],[DateClosed]]))-1)</f>
        <v>5</v>
      </c>
      <c r="R4057" s="136" t="s">
        <v>6090</v>
      </c>
      <c r="S4057" s="140"/>
    </row>
    <row r="4058" spans="1:19" hidden="1">
      <c r="A4058" s="142" t="s">
        <v>6204</v>
      </c>
      <c r="B4058" s="140" t="str">
        <f ca="1">IFERROR(VLOOKUP(Proc[[#This Row],[App]],Table2[],3,0),"open")</f>
        <v>open</v>
      </c>
      <c r="C4058" s="142" t="s">
        <v>369</v>
      </c>
      <c r="D4058" t="s">
        <v>6012</v>
      </c>
      <c r="E4058" t="s">
        <v>6187</v>
      </c>
      <c r="F4058" s="140" t="s">
        <v>6187</v>
      </c>
      <c r="G4058" s="142" t="s">
        <v>406</v>
      </c>
      <c r="H4058" s="140" t="str">
        <f ca="1">IF(Proc[[#This Row],[type]]="LFF (MDG-F)",MID(Proc[[#This Row],[Obj]],13,10),"")</f>
        <v>JP01TAOC01</v>
      </c>
      <c r="J4058" s="140" t="b">
        <f ca="1">Proc[[#This Row],[Requested]]=Proc[[#This Row],[CurrentParent]]</f>
        <v>1</v>
      </c>
      <c r="K4058" s="140" t="str">
        <f ca="1">IF(Proc[[#This Row],[Author]]="Marcela Urrego",VLOOKUP(LEFT(Proc[[#This Row],[Requested]],1),Table3[#All],2,0),VLOOKUP(Proc[[#This Row],[Author]],Table4[],2,0))</f>
        <v>EL</v>
      </c>
      <c r="L4058" s="140" t="s">
        <v>4896</v>
      </c>
      <c r="M4058" s="136">
        <v>45902</v>
      </c>
      <c r="N4058" s="137"/>
      <c r="O4058" s="137"/>
      <c r="P4058" s="136" t="str">
        <f ca="1">IF(Proc[[#This Row],[DaysAgeing]]&gt;5,"yep","on track")</f>
        <v>on track</v>
      </c>
      <c r="Q4058" s="3">
        <f ca="1">IF(Proc[[#This Row],[DateClosed]]="",ABS(NETWORKDAYS(Proc[[#This Row],[DateOpened]],TODAY()))-1,ABS(NETWORKDAYS(Proc[[#This Row],[DateOpened]],Proc[[#This Row],[DateClosed]]))-1)</f>
        <v>5</v>
      </c>
      <c r="R4058" s="136" t="s">
        <v>6090</v>
      </c>
      <c r="S4058" s="140"/>
    </row>
    <row r="4059" spans="1:19" hidden="1">
      <c r="A4059" s="142" t="s">
        <v>6204</v>
      </c>
      <c r="B4059" s="140" t="str">
        <f ca="1">IFERROR(VLOOKUP(Proc[[#This Row],[App]],Table2[],3,0),"open")</f>
        <v>open</v>
      </c>
      <c r="C4059" s="142" t="s">
        <v>369</v>
      </c>
      <c r="D4059" t="s">
        <v>6014</v>
      </c>
      <c r="E4059" t="s">
        <v>6187</v>
      </c>
      <c r="F4059" s="140" t="s">
        <v>6187</v>
      </c>
      <c r="G4059" s="142" t="s">
        <v>406</v>
      </c>
      <c r="H4059" s="140" t="str">
        <f ca="1">IF(Proc[[#This Row],[type]]="LFF (MDG-F)",MID(Proc[[#This Row],[Obj]],13,10),"")</f>
        <v>JP01TAOC03</v>
      </c>
      <c r="J4059" s="140" t="b">
        <f ca="1">Proc[[#This Row],[Requested]]=Proc[[#This Row],[CurrentParent]]</f>
        <v>1</v>
      </c>
      <c r="K4059" s="140" t="str">
        <f ca="1">IF(Proc[[#This Row],[Author]]="Marcela Urrego",VLOOKUP(LEFT(Proc[[#This Row],[Requested]],1),Table3[#All],2,0),VLOOKUP(Proc[[#This Row],[Author]],Table4[],2,0))</f>
        <v>EL</v>
      </c>
      <c r="L4059" s="140" t="s">
        <v>4896</v>
      </c>
      <c r="M4059" s="136">
        <v>45902</v>
      </c>
      <c r="N4059" s="137"/>
      <c r="O4059" s="137"/>
      <c r="P4059" s="136" t="str">
        <f ca="1">IF(Proc[[#This Row],[DaysAgeing]]&gt;5,"yep","on track")</f>
        <v>on track</v>
      </c>
      <c r="Q4059" s="3">
        <f ca="1">IF(Proc[[#This Row],[DateClosed]]="",ABS(NETWORKDAYS(Proc[[#This Row],[DateOpened]],TODAY()))-1,ABS(NETWORKDAYS(Proc[[#This Row],[DateOpened]],Proc[[#This Row],[DateClosed]]))-1)</f>
        <v>5</v>
      </c>
      <c r="R4059" s="136" t="s">
        <v>6090</v>
      </c>
      <c r="S4059" s="140"/>
    </row>
    <row r="4060" spans="1:19" hidden="1">
      <c r="A4060" s="142" t="s">
        <v>6204</v>
      </c>
      <c r="B4060" s="140" t="str">
        <f ca="1">IFERROR(VLOOKUP(Proc[[#This Row],[App]],Table2[],3,0),"open")</f>
        <v>open</v>
      </c>
      <c r="C4060" s="142" t="s">
        <v>369</v>
      </c>
      <c r="D4060" t="s">
        <v>6015</v>
      </c>
      <c r="E4060" t="s">
        <v>6187</v>
      </c>
      <c r="F4060" s="140" t="s">
        <v>6187</v>
      </c>
      <c r="G4060" s="142" t="s">
        <v>406</v>
      </c>
      <c r="H4060" s="140" t="str">
        <f ca="1">IF(Proc[[#This Row],[type]]="LFF (MDG-F)",MID(Proc[[#This Row],[Obj]],13,10),"")</f>
        <v>JP01TAOC99</v>
      </c>
      <c r="J4060" s="140" t="b">
        <f ca="1">Proc[[#This Row],[Requested]]=Proc[[#This Row],[CurrentParent]]</f>
        <v>1</v>
      </c>
      <c r="K4060" s="140" t="str">
        <f ca="1">IF(Proc[[#This Row],[Author]]="Marcela Urrego",VLOOKUP(LEFT(Proc[[#This Row],[Requested]],1),Table3[#All],2,0),VLOOKUP(Proc[[#This Row],[Author]],Table4[],2,0))</f>
        <v>EL</v>
      </c>
      <c r="L4060" s="140" t="s">
        <v>4896</v>
      </c>
      <c r="M4060" s="136">
        <v>45902</v>
      </c>
      <c r="N4060" s="137"/>
      <c r="O4060" s="137"/>
      <c r="P4060" s="136" t="str">
        <f ca="1">IF(Proc[[#This Row],[DaysAgeing]]&gt;5,"yep","on track")</f>
        <v>on track</v>
      </c>
      <c r="Q4060" s="3">
        <f ca="1">IF(Proc[[#This Row],[DateClosed]]="",ABS(NETWORKDAYS(Proc[[#This Row],[DateOpened]],TODAY()))-1,ABS(NETWORKDAYS(Proc[[#This Row],[DateOpened]],Proc[[#This Row],[DateClosed]]))-1)</f>
        <v>5</v>
      </c>
      <c r="R4060" s="136" t="s">
        <v>6090</v>
      </c>
      <c r="S4060" s="140"/>
    </row>
    <row r="4061" spans="1:19" hidden="1">
      <c r="A4061" s="142" t="s">
        <v>6204</v>
      </c>
      <c r="B4061" s="140" t="str">
        <f ca="1">IFERROR(VLOOKUP(Proc[[#This Row],[App]],Table2[],3,0),"open")</f>
        <v>open</v>
      </c>
      <c r="C4061" s="142" t="s">
        <v>369</v>
      </c>
      <c r="D4061" t="s">
        <v>6016</v>
      </c>
      <c r="E4061" t="s">
        <v>6187</v>
      </c>
      <c r="F4061" s="140" t="s">
        <v>6187</v>
      </c>
      <c r="G4061" s="142" t="s">
        <v>406</v>
      </c>
      <c r="H4061" s="140" t="str">
        <f ca="1">IF(Proc[[#This Row],[type]]="LFF (MDG-F)",MID(Proc[[#This Row],[Obj]],13,10),"")</f>
        <v>JP01TAOD00</v>
      </c>
      <c r="J4061" s="140" t="b">
        <f ca="1">Proc[[#This Row],[Requested]]=Proc[[#This Row],[CurrentParent]]</f>
        <v>1</v>
      </c>
      <c r="K4061" s="140" t="str">
        <f ca="1">IF(Proc[[#This Row],[Author]]="Marcela Urrego",VLOOKUP(LEFT(Proc[[#This Row],[Requested]],1),Table3[#All],2,0),VLOOKUP(Proc[[#This Row],[Author]],Table4[],2,0))</f>
        <v>EL</v>
      </c>
      <c r="L4061" s="140" t="s">
        <v>4896</v>
      </c>
      <c r="M4061" s="136">
        <v>45902</v>
      </c>
      <c r="N4061" s="137"/>
      <c r="O4061" s="137"/>
      <c r="P4061" s="136" t="str">
        <f ca="1">IF(Proc[[#This Row],[DaysAgeing]]&gt;5,"yep","on track")</f>
        <v>on track</v>
      </c>
      <c r="Q4061" s="3">
        <f ca="1">IF(Proc[[#This Row],[DateClosed]]="",ABS(NETWORKDAYS(Proc[[#This Row],[DateOpened]],TODAY()))-1,ABS(NETWORKDAYS(Proc[[#This Row],[DateOpened]],Proc[[#This Row],[DateClosed]]))-1)</f>
        <v>5</v>
      </c>
      <c r="R4061" s="136" t="s">
        <v>6090</v>
      </c>
      <c r="S4061" s="140"/>
    </row>
    <row r="4062" spans="1:19" hidden="1">
      <c r="A4062" s="142" t="s">
        <v>6204</v>
      </c>
      <c r="B4062" s="140" t="str">
        <f ca="1">IFERROR(VLOOKUP(Proc[[#This Row],[App]],Table2[],3,0),"open")</f>
        <v>open</v>
      </c>
      <c r="C4062" s="142" t="s">
        <v>369</v>
      </c>
      <c r="D4062" t="s">
        <v>6017</v>
      </c>
      <c r="E4062" t="s">
        <v>6187</v>
      </c>
      <c r="F4062" s="140" t="s">
        <v>6187</v>
      </c>
      <c r="G4062" s="142" t="s">
        <v>406</v>
      </c>
      <c r="H4062" s="140" t="str">
        <f ca="1">IF(Proc[[#This Row],[type]]="LFF (MDG-F)",MID(Proc[[#This Row],[Obj]],13,10),"")</f>
        <v>JP01TAOD01</v>
      </c>
      <c r="J4062" s="140" t="b">
        <f ca="1">Proc[[#This Row],[Requested]]=Proc[[#This Row],[CurrentParent]]</f>
        <v>1</v>
      </c>
      <c r="K4062" s="140" t="str">
        <f ca="1">IF(Proc[[#This Row],[Author]]="Marcela Urrego",VLOOKUP(LEFT(Proc[[#This Row],[Requested]],1),Table3[#All],2,0),VLOOKUP(Proc[[#This Row],[Author]],Table4[],2,0))</f>
        <v>EL</v>
      </c>
      <c r="L4062" s="140" t="s">
        <v>4896</v>
      </c>
      <c r="M4062" s="136">
        <v>45902</v>
      </c>
      <c r="N4062" s="137"/>
      <c r="O4062" s="137"/>
      <c r="P4062" s="136" t="str">
        <f ca="1">IF(Proc[[#This Row],[DaysAgeing]]&gt;5,"yep","on track")</f>
        <v>on track</v>
      </c>
      <c r="Q4062" s="3">
        <f ca="1">IF(Proc[[#This Row],[DateClosed]]="",ABS(NETWORKDAYS(Proc[[#This Row],[DateOpened]],TODAY()))-1,ABS(NETWORKDAYS(Proc[[#This Row],[DateOpened]],Proc[[#This Row],[DateClosed]]))-1)</f>
        <v>5</v>
      </c>
      <c r="R4062" s="136" t="s">
        <v>6090</v>
      </c>
      <c r="S4062" s="140"/>
    </row>
    <row r="4063" spans="1:19" hidden="1">
      <c r="A4063" s="142" t="s">
        <v>6204</v>
      </c>
      <c r="B4063" s="140" t="str">
        <f ca="1">IFERROR(VLOOKUP(Proc[[#This Row],[App]],Table2[],3,0),"open")</f>
        <v>open</v>
      </c>
      <c r="C4063" s="142" t="s">
        <v>369</v>
      </c>
      <c r="D4063" t="s">
        <v>6019</v>
      </c>
      <c r="E4063" t="s">
        <v>6187</v>
      </c>
      <c r="F4063" s="140" t="s">
        <v>6187</v>
      </c>
      <c r="G4063" s="142" t="s">
        <v>406</v>
      </c>
      <c r="H4063" s="140" t="str">
        <f ca="1">IF(Proc[[#This Row],[type]]="LFF (MDG-F)",MID(Proc[[#This Row],[Obj]],13,10),"")</f>
        <v>JP01TAOD99</v>
      </c>
      <c r="J4063" s="140" t="b">
        <f ca="1">Proc[[#This Row],[Requested]]=Proc[[#This Row],[CurrentParent]]</f>
        <v>1</v>
      </c>
      <c r="K4063" s="140" t="str">
        <f ca="1">IF(Proc[[#This Row],[Author]]="Marcela Urrego",VLOOKUP(LEFT(Proc[[#This Row],[Requested]],1),Table3[#All],2,0),VLOOKUP(Proc[[#This Row],[Author]],Table4[],2,0))</f>
        <v>EL</v>
      </c>
      <c r="L4063" s="140" t="s">
        <v>4896</v>
      </c>
      <c r="M4063" s="136">
        <v>45902</v>
      </c>
      <c r="N4063" s="137"/>
      <c r="O4063" s="137"/>
      <c r="P4063" s="136" t="str">
        <f ca="1">IF(Proc[[#This Row],[DaysAgeing]]&gt;5,"yep","on track")</f>
        <v>on track</v>
      </c>
      <c r="Q4063" s="3">
        <f ca="1">IF(Proc[[#This Row],[DateClosed]]="",ABS(NETWORKDAYS(Proc[[#This Row],[DateOpened]],TODAY()))-1,ABS(NETWORKDAYS(Proc[[#This Row],[DateOpened]],Proc[[#This Row],[DateClosed]]))-1)</f>
        <v>5</v>
      </c>
      <c r="R4063" s="136" t="s">
        <v>6090</v>
      </c>
      <c r="S4063" s="140"/>
    </row>
    <row r="4064" spans="1:19" hidden="1">
      <c r="A4064" s="142" t="s">
        <v>6204</v>
      </c>
      <c r="B4064" s="140" t="str">
        <f ca="1">IFERROR(VLOOKUP(Proc[[#This Row],[App]],Table2[],3,0),"open")</f>
        <v>open</v>
      </c>
      <c r="C4064" s="142" t="s">
        <v>369</v>
      </c>
      <c r="D4064" t="s">
        <v>6025</v>
      </c>
      <c r="E4064" t="s">
        <v>6187</v>
      </c>
      <c r="F4064" s="140" t="s">
        <v>6187</v>
      </c>
      <c r="G4064" s="142" t="s">
        <v>406</v>
      </c>
      <c r="H4064" s="140" t="str">
        <f ca="1">IF(Proc[[#This Row],[type]]="LFF (MDG-F)",MID(Proc[[#This Row],[Obj]],13,10),"")</f>
        <v>JP01TAOZ03</v>
      </c>
      <c r="J4064" s="140" t="b">
        <f ca="1">Proc[[#This Row],[Requested]]=Proc[[#This Row],[CurrentParent]]</f>
        <v>1</v>
      </c>
      <c r="K4064" s="140" t="str">
        <f ca="1">IF(Proc[[#This Row],[Author]]="Marcela Urrego",VLOOKUP(LEFT(Proc[[#This Row],[Requested]],1),Table3[#All],2,0),VLOOKUP(Proc[[#This Row],[Author]],Table4[],2,0))</f>
        <v>EL</v>
      </c>
      <c r="L4064" s="140" t="s">
        <v>4896</v>
      </c>
      <c r="M4064" s="136">
        <v>45902</v>
      </c>
      <c r="N4064" s="137"/>
      <c r="O4064" s="137"/>
      <c r="P4064" s="136" t="str">
        <f ca="1">IF(Proc[[#This Row],[DaysAgeing]]&gt;5,"yep","on track")</f>
        <v>on track</v>
      </c>
      <c r="Q4064" s="3">
        <f ca="1">IF(Proc[[#This Row],[DateClosed]]="",ABS(NETWORKDAYS(Proc[[#This Row],[DateOpened]],TODAY()))-1,ABS(NETWORKDAYS(Proc[[#This Row],[DateOpened]],Proc[[#This Row],[DateClosed]]))-1)</f>
        <v>5</v>
      </c>
      <c r="R4064" s="136" t="s">
        <v>6090</v>
      </c>
      <c r="S4064" s="140"/>
    </row>
    <row r="4065" spans="1:19" hidden="1">
      <c r="A4065" s="142" t="s">
        <v>6204</v>
      </c>
      <c r="B4065" s="140" t="str">
        <f ca="1">IFERROR(VLOOKUP(Proc[[#This Row],[App]],Table2[],3,0),"open")</f>
        <v>open</v>
      </c>
      <c r="C4065" s="142" t="s">
        <v>369</v>
      </c>
      <c r="D4065" t="s">
        <v>6032</v>
      </c>
      <c r="E4065" t="s">
        <v>6189</v>
      </c>
      <c r="F4065" s="140" t="s">
        <v>6189</v>
      </c>
      <c r="G4065" s="142" t="s">
        <v>406</v>
      </c>
      <c r="H4065" s="140" t="str">
        <f ca="1">IF(Proc[[#This Row],[type]]="LFF (MDG-F)",MID(Proc[[#This Row],[Obj]],13,10),"")</f>
        <v>JP01TDOZ01</v>
      </c>
      <c r="J4065" s="140" t="b">
        <f ca="1">Proc[[#This Row],[Requested]]=Proc[[#This Row],[CurrentParent]]</f>
        <v>1</v>
      </c>
      <c r="K4065" s="140" t="str">
        <f ca="1">IF(Proc[[#This Row],[Author]]="Marcela Urrego",VLOOKUP(LEFT(Proc[[#This Row],[Requested]],1),Table3[#All],2,0),VLOOKUP(Proc[[#This Row],[Author]],Table4[],2,0))</f>
        <v>EL</v>
      </c>
      <c r="L4065" s="140" t="s">
        <v>4896</v>
      </c>
      <c r="M4065" s="136">
        <v>45902</v>
      </c>
      <c r="N4065" s="137"/>
      <c r="O4065" s="137"/>
      <c r="P4065" s="136" t="str">
        <f ca="1">IF(Proc[[#This Row],[DaysAgeing]]&gt;5,"yep","on track")</f>
        <v>on track</v>
      </c>
      <c r="Q4065" s="3">
        <f ca="1">IF(Proc[[#This Row],[DateClosed]]="",ABS(NETWORKDAYS(Proc[[#This Row],[DateOpened]],TODAY()))-1,ABS(NETWORKDAYS(Proc[[#This Row],[DateOpened]],Proc[[#This Row],[DateClosed]]))-1)</f>
        <v>5</v>
      </c>
      <c r="R4065" s="136" t="s">
        <v>6090</v>
      </c>
      <c r="S4065" s="140"/>
    </row>
    <row r="4066" spans="1:19" hidden="1">
      <c r="A4066" s="142" t="s">
        <v>6204</v>
      </c>
      <c r="B4066" s="140" t="str">
        <f ca="1">IFERROR(VLOOKUP(Proc[[#This Row],[App]],Table2[],3,0),"open")</f>
        <v>open</v>
      </c>
      <c r="C4066" s="142" t="s">
        <v>369</v>
      </c>
      <c r="D4066" t="s">
        <v>6033</v>
      </c>
      <c r="E4066" t="s">
        <v>6189</v>
      </c>
      <c r="F4066" s="140" t="s">
        <v>6189</v>
      </c>
      <c r="G4066" s="142" t="s">
        <v>406</v>
      </c>
      <c r="H4066" s="140" t="str">
        <f ca="1">IF(Proc[[#This Row],[type]]="LFF (MDG-F)",MID(Proc[[#This Row],[Obj]],13,10),"")</f>
        <v>JP01TDOZ02</v>
      </c>
      <c r="J4066" s="140" t="b">
        <f ca="1">Proc[[#This Row],[Requested]]=Proc[[#This Row],[CurrentParent]]</f>
        <v>1</v>
      </c>
      <c r="K4066" s="140" t="str">
        <f ca="1">IF(Proc[[#This Row],[Author]]="Marcela Urrego",VLOOKUP(LEFT(Proc[[#This Row],[Requested]],1),Table3[#All],2,0),VLOOKUP(Proc[[#This Row],[Author]],Table4[],2,0))</f>
        <v>EL</v>
      </c>
      <c r="L4066" s="140" t="s">
        <v>4896</v>
      </c>
      <c r="M4066" s="136">
        <v>45902</v>
      </c>
      <c r="N4066" s="137"/>
      <c r="O4066" s="137"/>
      <c r="P4066" s="136" t="str">
        <f ca="1">IF(Proc[[#This Row],[DaysAgeing]]&gt;5,"yep","on track")</f>
        <v>on track</v>
      </c>
      <c r="Q4066" s="3">
        <f ca="1">IF(Proc[[#This Row],[DateClosed]]="",ABS(NETWORKDAYS(Proc[[#This Row],[DateOpened]],TODAY()))-1,ABS(NETWORKDAYS(Proc[[#This Row],[DateOpened]],Proc[[#This Row],[DateClosed]]))-1)</f>
        <v>5</v>
      </c>
      <c r="R4066" s="136" t="s">
        <v>6090</v>
      </c>
      <c r="S4066" s="140"/>
    </row>
    <row r="4067" spans="1:19" hidden="1">
      <c r="A4067" s="142" t="s">
        <v>6204</v>
      </c>
      <c r="B4067" s="140" t="str">
        <f ca="1">IFERROR(VLOOKUP(Proc[[#This Row],[App]],Table2[],3,0),"open")</f>
        <v>open</v>
      </c>
      <c r="C4067" s="142" t="s">
        <v>369</v>
      </c>
      <c r="D4067" t="s">
        <v>6034</v>
      </c>
      <c r="E4067" t="s">
        <v>6189</v>
      </c>
      <c r="F4067" s="140" t="s">
        <v>6189</v>
      </c>
      <c r="G4067" s="142" t="s">
        <v>406</v>
      </c>
      <c r="H4067" s="140" t="str">
        <f ca="1">IF(Proc[[#This Row],[type]]="LFF (MDG-F)",MID(Proc[[#This Row],[Obj]],13,10),"")</f>
        <v>JP01TDOZ03</v>
      </c>
      <c r="J4067" s="140" t="b">
        <f ca="1">Proc[[#This Row],[Requested]]=Proc[[#This Row],[CurrentParent]]</f>
        <v>1</v>
      </c>
      <c r="K4067" s="140" t="str">
        <f ca="1">IF(Proc[[#This Row],[Author]]="Marcela Urrego",VLOOKUP(LEFT(Proc[[#This Row],[Requested]],1),Table3[#All],2,0),VLOOKUP(Proc[[#This Row],[Author]],Table4[],2,0))</f>
        <v>EL</v>
      </c>
      <c r="L4067" s="140" t="s">
        <v>4896</v>
      </c>
      <c r="M4067" s="136">
        <v>45902</v>
      </c>
      <c r="N4067" s="137"/>
      <c r="O4067" s="137"/>
      <c r="P4067" s="136" t="str">
        <f ca="1">IF(Proc[[#This Row],[DaysAgeing]]&gt;5,"yep","on track")</f>
        <v>on track</v>
      </c>
      <c r="Q4067" s="3">
        <f ca="1">IF(Proc[[#This Row],[DateClosed]]="",ABS(NETWORKDAYS(Proc[[#This Row],[DateOpened]],TODAY()))-1,ABS(NETWORKDAYS(Proc[[#This Row],[DateOpened]],Proc[[#This Row],[DateClosed]]))-1)</f>
        <v>5</v>
      </c>
      <c r="R4067" s="136" t="s">
        <v>6090</v>
      </c>
      <c r="S4067" s="140"/>
    </row>
    <row r="4068" spans="1:19" hidden="1">
      <c r="A4068" s="142" t="s">
        <v>6204</v>
      </c>
      <c r="B4068" s="140" t="str">
        <f ca="1">IFERROR(VLOOKUP(Proc[[#This Row],[App]],Table2[],3,0),"open")</f>
        <v>open</v>
      </c>
      <c r="C4068" s="142" t="s">
        <v>369</v>
      </c>
      <c r="D4068" t="s">
        <v>6035</v>
      </c>
      <c r="E4068" t="s">
        <v>6189</v>
      </c>
      <c r="F4068" s="140" t="s">
        <v>6189</v>
      </c>
      <c r="G4068" s="142" t="s">
        <v>406</v>
      </c>
      <c r="H4068" s="140" t="str">
        <f ca="1">IF(Proc[[#This Row],[type]]="LFF (MDG-F)",MID(Proc[[#This Row],[Obj]],13,10),"")</f>
        <v>JP01TDOZ04</v>
      </c>
      <c r="J4068" s="140" t="b">
        <f ca="1">Proc[[#This Row],[Requested]]=Proc[[#This Row],[CurrentParent]]</f>
        <v>1</v>
      </c>
      <c r="K4068" s="140" t="str">
        <f ca="1">IF(Proc[[#This Row],[Author]]="Marcela Urrego",VLOOKUP(LEFT(Proc[[#This Row],[Requested]],1),Table3[#All],2,0),VLOOKUP(Proc[[#This Row],[Author]],Table4[],2,0))</f>
        <v>EL</v>
      </c>
      <c r="L4068" s="140" t="s">
        <v>4896</v>
      </c>
      <c r="M4068" s="136">
        <v>45902</v>
      </c>
      <c r="N4068" s="137"/>
      <c r="O4068" s="137"/>
      <c r="P4068" s="136" t="str">
        <f ca="1">IF(Proc[[#This Row],[DaysAgeing]]&gt;5,"yep","on track")</f>
        <v>on track</v>
      </c>
      <c r="Q4068" s="3">
        <f ca="1">IF(Proc[[#This Row],[DateClosed]]="",ABS(NETWORKDAYS(Proc[[#This Row],[DateOpened]],TODAY()))-1,ABS(NETWORKDAYS(Proc[[#This Row],[DateOpened]],Proc[[#This Row],[DateClosed]]))-1)</f>
        <v>5</v>
      </c>
      <c r="R4068" s="136" t="s">
        <v>6090</v>
      </c>
      <c r="S4068" s="140"/>
    </row>
    <row r="4069" spans="1:19" hidden="1">
      <c r="A4069" s="142" t="s">
        <v>6204</v>
      </c>
      <c r="B4069" s="140" t="str">
        <f ca="1">IFERROR(VLOOKUP(Proc[[#This Row],[App]],Table2[],3,0),"open")</f>
        <v>open</v>
      </c>
      <c r="C4069" s="142" t="s">
        <v>369</v>
      </c>
      <c r="D4069" t="s">
        <v>6036</v>
      </c>
      <c r="E4069" t="s">
        <v>6189</v>
      </c>
      <c r="F4069" s="140" t="s">
        <v>6189</v>
      </c>
      <c r="G4069" s="142" t="s">
        <v>406</v>
      </c>
      <c r="H4069" s="140" t="str">
        <f ca="1">IF(Proc[[#This Row],[type]]="LFF (MDG-F)",MID(Proc[[#This Row],[Obj]],13,10),"")</f>
        <v>JP01TDOZ05</v>
      </c>
      <c r="J4069" s="140" t="b">
        <f ca="1">Proc[[#This Row],[Requested]]=Proc[[#This Row],[CurrentParent]]</f>
        <v>1</v>
      </c>
      <c r="K4069" s="140" t="str">
        <f ca="1">IF(Proc[[#This Row],[Author]]="Marcela Urrego",VLOOKUP(LEFT(Proc[[#This Row],[Requested]],1),Table3[#All],2,0),VLOOKUP(Proc[[#This Row],[Author]],Table4[],2,0))</f>
        <v>EL</v>
      </c>
      <c r="L4069" s="140" t="s">
        <v>4896</v>
      </c>
      <c r="M4069" s="136">
        <v>45902</v>
      </c>
      <c r="N4069" s="137"/>
      <c r="O4069" s="137"/>
      <c r="P4069" s="136" t="str">
        <f ca="1">IF(Proc[[#This Row],[DaysAgeing]]&gt;5,"yep","on track")</f>
        <v>on track</v>
      </c>
      <c r="Q4069" s="3">
        <f ca="1">IF(Proc[[#This Row],[DateClosed]]="",ABS(NETWORKDAYS(Proc[[#This Row],[DateOpened]],TODAY()))-1,ABS(NETWORKDAYS(Proc[[#This Row],[DateOpened]],Proc[[#This Row],[DateClosed]]))-1)</f>
        <v>5</v>
      </c>
      <c r="R4069" s="136" t="s">
        <v>6090</v>
      </c>
      <c r="S4069" s="140"/>
    </row>
    <row r="4070" spans="1:19" hidden="1">
      <c r="A4070" s="142" t="s">
        <v>6204</v>
      </c>
      <c r="B4070" s="140" t="str">
        <f ca="1">IFERROR(VLOOKUP(Proc[[#This Row],[App]],Table2[],3,0),"open")</f>
        <v>open</v>
      </c>
      <c r="C4070" s="142" t="s">
        <v>369</v>
      </c>
      <c r="D4070" t="s">
        <v>6037</v>
      </c>
      <c r="E4070" t="s">
        <v>6189</v>
      </c>
      <c r="F4070" s="140" t="s">
        <v>6189</v>
      </c>
      <c r="G4070" s="142" t="s">
        <v>406</v>
      </c>
      <c r="H4070" s="140" t="str">
        <f ca="1">IF(Proc[[#This Row],[type]]="LFF (MDG-F)",MID(Proc[[#This Row],[Obj]],13,10),"")</f>
        <v>JP01TDOZ06</v>
      </c>
      <c r="J4070" s="140" t="b">
        <f ca="1">Proc[[#This Row],[Requested]]=Proc[[#This Row],[CurrentParent]]</f>
        <v>1</v>
      </c>
      <c r="K4070" s="140" t="str">
        <f ca="1">IF(Proc[[#This Row],[Author]]="Marcela Urrego",VLOOKUP(LEFT(Proc[[#This Row],[Requested]],1),Table3[#All],2,0),VLOOKUP(Proc[[#This Row],[Author]],Table4[],2,0))</f>
        <v>EL</v>
      </c>
      <c r="L4070" s="140" t="s">
        <v>4896</v>
      </c>
      <c r="M4070" s="136">
        <v>45902</v>
      </c>
      <c r="N4070" s="137"/>
      <c r="O4070" s="137"/>
      <c r="P4070" s="136" t="str">
        <f ca="1">IF(Proc[[#This Row],[DaysAgeing]]&gt;5,"yep","on track")</f>
        <v>on track</v>
      </c>
      <c r="Q4070" s="3">
        <f ca="1">IF(Proc[[#This Row],[DateClosed]]="",ABS(NETWORKDAYS(Proc[[#This Row],[DateOpened]],TODAY()))-1,ABS(NETWORKDAYS(Proc[[#This Row],[DateOpened]],Proc[[#This Row],[DateClosed]]))-1)</f>
        <v>5</v>
      </c>
      <c r="R4070" s="136" t="s">
        <v>6090</v>
      </c>
      <c r="S4070" s="140"/>
    </row>
    <row r="4071" spans="1:19" hidden="1">
      <c r="A4071" s="142" t="s">
        <v>6204</v>
      </c>
      <c r="B4071" s="140" t="str">
        <f ca="1">IFERROR(VLOOKUP(Proc[[#This Row],[App]],Table2[],3,0),"open")</f>
        <v>open</v>
      </c>
      <c r="C4071" s="142" t="s">
        <v>369</v>
      </c>
      <c r="D4071" t="s">
        <v>6038</v>
      </c>
      <c r="E4071" t="s">
        <v>6190</v>
      </c>
      <c r="F4071" s="140" t="s">
        <v>6190</v>
      </c>
      <c r="G4071" s="142" t="s">
        <v>406</v>
      </c>
      <c r="H4071" s="140" t="str">
        <f ca="1">IF(Proc[[#This Row],[type]]="LFF (MDG-F)",MID(Proc[[#This Row],[Obj]],13,10),"")</f>
        <v>JP01TEOZ01</v>
      </c>
      <c r="J4071" s="140" t="b">
        <f ca="1">Proc[[#This Row],[Requested]]=Proc[[#This Row],[CurrentParent]]</f>
        <v>1</v>
      </c>
      <c r="K4071" s="140" t="str">
        <f ca="1">IF(Proc[[#This Row],[Author]]="Marcela Urrego",VLOOKUP(LEFT(Proc[[#This Row],[Requested]],1),Table3[#All],2,0),VLOOKUP(Proc[[#This Row],[Author]],Table4[],2,0))</f>
        <v>EL</v>
      </c>
      <c r="L4071" s="140" t="s">
        <v>4896</v>
      </c>
      <c r="M4071" s="136">
        <v>45902</v>
      </c>
      <c r="N4071" s="137"/>
      <c r="O4071" s="137"/>
      <c r="P4071" s="136" t="str">
        <f ca="1">IF(Proc[[#This Row],[DaysAgeing]]&gt;5,"yep","on track")</f>
        <v>on track</v>
      </c>
      <c r="Q4071" s="3">
        <f ca="1">IF(Proc[[#This Row],[DateClosed]]="",ABS(NETWORKDAYS(Proc[[#This Row],[DateOpened]],TODAY()))-1,ABS(NETWORKDAYS(Proc[[#This Row],[DateOpened]],Proc[[#This Row],[DateClosed]]))-1)</f>
        <v>5</v>
      </c>
      <c r="R4071" s="136" t="s">
        <v>6090</v>
      </c>
      <c r="S4071" s="140"/>
    </row>
    <row r="4072" spans="1:19" hidden="1">
      <c r="A4072" s="142" t="s">
        <v>6204</v>
      </c>
      <c r="B4072" s="140" t="str">
        <f ca="1">IFERROR(VLOOKUP(Proc[[#This Row],[App]],Table2[],3,0),"open")</f>
        <v>open</v>
      </c>
      <c r="C4072" s="142" t="s">
        <v>369</v>
      </c>
      <c r="D4072" t="s">
        <v>6007</v>
      </c>
      <c r="E4072" t="s">
        <v>6187</v>
      </c>
      <c r="F4072" s="140" t="s">
        <v>6187</v>
      </c>
      <c r="G4072" s="142" t="s">
        <v>406</v>
      </c>
      <c r="H4072" s="140" t="str">
        <f ca="1">IF(Proc[[#This Row],[type]]="LFF (MDG-F)",MID(Proc[[#This Row],[Obj]],13,10),"")</f>
        <v>JP01TAOB00</v>
      </c>
      <c r="J4072" s="140" t="b">
        <f ca="1">Proc[[#This Row],[Requested]]=Proc[[#This Row],[CurrentParent]]</f>
        <v>1</v>
      </c>
      <c r="K4072" s="140" t="str">
        <f ca="1">IF(Proc[[#This Row],[Author]]="Marcela Urrego",VLOOKUP(LEFT(Proc[[#This Row],[Requested]],1),Table3[#All],2,0),VLOOKUP(Proc[[#This Row],[Author]],Table4[],2,0))</f>
        <v>EL</v>
      </c>
      <c r="L4072" s="140" t="s">
        <v>4896</v>
      </c>
      <c r="M4072" s="136">
        <v>45902</v>
      </c>
      <c r="N4072" s="137"/>
      <c r="O4072" s="137"/>
      <c r="P4072" s="136" t="str">
        <f ca="1">IF(Proc[[#This Row],[DaysAgeing]]&gt;5,"yep","on track")</f>
        <v>on track</v>
      </c>
      <c r="Q4072" s="3">
        <f ca="1">IF(Proc[[#This Row],[DateClosed]]="",ABS(NETWORKDAYS(Proc[[#This Row],[DateOpened]],TODAY()))-1,ABS(NETWORKDAYS(Proc[[#This Row],[DateOpened]],Proc[[#This Row],[DateClosed]]))-1)</f>
        <v>5</v>
      </c>
      <c r="R4072" s="136" t="s">
        <v>6090</v>
      </c>
      <c r="S4072" s="140"/>
    </row>
    <row r="4073" spans="1:19" hidden="1">
      <c r="A4073" s="142" t="s">
        <v>6204</v>
      </c>
      <c r="B4073" s="140" t="str">
        <f ca="1">IFERROR(VLOOKUP(Proc[[#This Row],[App]],Table2[],3,0),"open")</f>
        <v>open</v>
      </c>
      <c r="C4073" s="142" t="s">
        <v>369</v>
      </c>
      <c r="D4073" t="s">
        <v>6008</v>
      </c>
      <c r="E4073" t="s">
        <v>6187</v>
      </c>
      <c r="F4073" s="140" t="s">
        <v>6187</v>
      </c>
      <c r="G4073" s="142" t="s">
        <v>406</v>
      </c>
      <c r="H4073" s="140" t="str">
        <f ca="1">IF(Proc[[#This Row],[type]]="LFF (MDG-F)",MID(Proc[[#This Row],[Obj]],13,10),"")</f>
        <v>JP01TAOB01</v>
      </c>
      <c r="J4073" s="140" t="b">
        <f ca="1">Proc[[#This Row],[Requested]]=Proc[[#This Row],[CurrentParent]]</f>
        <v>1</v>
      </c>
      <c r="K4073" s="140" t="str">
        <f ca="1">IF(Proc[[#This Row],[Author]]="Marcela Urrego",VLOOKUP(LEFT(Proc[[#This Row],[Requested]],1),Table3[#All],2,0),VLOOKUP(Proc[[#This Row],[Author]],Table4[],2,0))</f>
        <v>EL</v>
      </c>
      <c r="L4073" s="140" t="s">
        <v>4896</v>
      </c>
      <c r="M4073" s="136">
        <v>45902</v>
      </c>
      <c r="N4073" s="137"/>
      <c r="O4073" s="137"/>
      <c r="P4073" s="136" t="str">
        <f ca="1">IF(Proc[[#This Row],[DaysAgeing]]&gt;5,"yep","on track")</f>
        <v>on track</v>
      </c>
      <c r="Q4073" s="3">
        <f ca="1">IF(Proc[[#This Row],[DateClosed]]="",ABS(NETWORKDAYS(Proc[[#This Row],[DateOpened]],TODAY()))-1,ABS(NETWORKDAYS(Proc[[#This Row],[DateOpened]],Proc[[#This Row],[DateClosed]]))-1)</f>
        <v>5</v>
      </c>
      <c r="R4073" s="136" t="s">
        <v>6090</v>
      </c>
      <c r="S4073" s="140"/>
    </row>
    <row r="4074" spans="1:19" hidden="1">
      <c r="A4074" s="142" t="s">
        <v>6204</v>
      </c>
      <c r="B4074" s="140" t="str">
        <f ca="1">IFERROR(VLOOKUP(Proc[[#This Row],[App]],Table2[],3,0),"open")</f>
        <v>open</v>
      </c>
      <c r="C4074" s="142" t="s">
        <v>369</v>
      </c>
      <c r="D4074" t="s">
        <v>6009</v>
      </c>
      <c r="E4074" t="s">
        <v>6187</v>
      </c>
      <c r="F4074" s="140" t="s">
        <v>6187</v>
      </c>
      <c r="G4074" s="142" t="s">
        <v>406</v>
      </c>
      <c r="H4074" s="140" t="str">
        <f ca="1">IF(Proc[[#This Row],[type]]="LFF (MDG-F)",MID(Proc[[#This Row],[Obj]],13,10),"")</f>
        <v>JP01TAOB02</v>
      </c>
      <c r="J4074" s="140" t="b">
        <f ca="1">Proc[[#This Row],[Requested]]=Proc[[#This Row],[CurrentParent]]</f>
        <v>1</v>
      </c>
      <c r="K4074" s="140" t="str">
        <f ca="1">IF(Proc[[#This Row],[Author]]="Marcela Urrego",VLOOKUP(LEFT(Proc[[#This Row],[Requested]],1),Table3[#All],2,0),VLOOKUP(Proc[[#This Row],[Author]],Table4[],2,0))</f>
        <v>EL</v>
      </c>
      <c r="L4074" s="140" t="s">
        <v>4896</v>
      </c>
      <c r="M4074" s="136">
        <v>45902</v>
      </c>
      <c r="N4074" s="137"/>
      <c r="O4074" s="137"/>
      <c r="P4074" s="136" t="str">
        <f ca="1">IF(Proc[[#This Row],[DaysAgeing]]&gt;5,"yep","on track")</f>
        <v>on track</v>
      </c>
      <c r="Q4074" s="3">
        <f ca="1">IF(Proc[[#This Row],[DateClosed]]="",ABS(NETWORKDAYS(Proc[[#This Row],[DateOpened]],TODAY()))-1,ABS(NETWORKDAYS(Proc[[#This Row],[DateOpened]],Proc[[#This Row],[DateClosed]]))-1)</f>
        <v>5</v>
      </c>
      <c r="R4074" s="136" t="s">
        <v>6090</v>
      </c>
      <c r="S4074" s="140"/>
    </row>
    <row r="4075" spans="1:19" hidden="1">
      <c r="A4075" s="142" t="s">
        <v>6204</v>
      </c>
      <c r="B4075" s="140" t="str">
        <f ca="1">IFERROR(VLOOKUP(Proc[[#This Row],[App]],Table2[],3,0),"open")</f>
        <v>open</v>
      </c>
      <c r="C4075" s="142" t="s">
        <v>369</v>
      </c>
      <c r="D4075" t="s">
        <v>6010</v>
      </c>
      <c r="E4075" t="s">
        <v>6187</v>
      </c>
      <c r="F4075" s="140" t="s">
        <v>6187</v>
      </c>
      <c r="G4075" s="142" t="s">
        <v>406</v>
      </c>
      <c r="H4075" s="140" t="str">
        <f ca="1">IF(Proc[[#This Row],[type]]="LFF (MDG-F)",MID(Proc[[#This Row],[Obj]],13,10),"")</f>
        <v>JP01TAOB99</v>
      </c>
      <c r="J4075" s="140" t="b">
        <f ca="1">Proc[[#This Row],[Requested]]=Proc[[#This Row],[CurrentParent]]</f>
        <v>1</v>
      </c>
      <c r="K4075" s="140" t="str">
        <f ca="1">IF(Proc[[#This Row],[Author]]="Marcela Urrego",VLOOKUP(LEFT(Proc[[#This Row],[Requested]],1),Table3[#All],2,0),VLOOKUP(Proc[[#This Row],[Author]],Table4[],2,0))</f>
        <v>EL</v>
      </c>
      <c r="L4075" s="140" t="s">
        <v>4896</v>
      </c>
      <c r="M4075" s="136">
        <v>45902</v>
      </c>
      <c r="N4075" s="137"/>
      <c r="O4075" s="137"/>
      <c r="P4075" s="136" t="str">
        <f ca="1">IF(Proc[[#This Row],[DaysAgeing]]&gt;5,"yep","on track")</f>
        <v>on track</v>
      </c>
      <c r="Q4075" s="3">
        <f ca="1">IF(Proc[[#This Row],[DateClosed]]="",ABS(NETWORKDAYS(Proc[[#This Row],[DateOpened]],TODAY()))-1,ABS(NETWORKDAYS(Proc[[#This Row],[DateOpened]],Proc[[#This Row],[DateClosed]]))-1)</f>
        <v>5</v>
      </c>
      <c r="R4075" s="136" t="s">
        <v>6090</v>
      </c>
      <c r="S4075" s="140"/>
    </row>
    <row r="4076" spans="1:19" hidden="1">
      <c r="A4076" s="142" t="s">
        <v>6204</v>
      </c>
      <c r="B4076" s="140" t="str">
        <f ca="1">IFERROR(VLOOKUP(Proc[[#This Row],[App]],Table2[],3,0),"open")</f>
        <v>open</v>
      </c>
      <c r="C4076" s="142" t="s">
        <v>369</v>
      </c>
      <c r="D4076" t="s">
        <v>6013</v>
      </c>
      <c r="E4076" t="s">
        <v>6187</v>
      </c>
      <c r="F4076" s="140" t="s">
        <v>6187</v>
      </c>
      <c r="G4076" s="142" t="s">
        <v>406</v>
      </c>
      <c r="H4076" s="140" t="str">
        <f ca="1">IF(Proc[[#This Row],[type]]="LFF (MDG-F)",MID(Proc[[#This Row],[Obj]],13,10),"")</f>
        <v>JP01TAOC02</v>
      </c>
      <c r="J4076" s="140" t="b">
        <f ca="1">Proc[[#This Row],[Requested]]=Proc[[#This Row],[CurrentParent]]</f>
        <v>1</v>
      </c>
      <c r="K4076" s="140" t="str">
        <f ca="1">IF(Proc[[#This Row],[Author]]="Marcela Urrego",VLOOKUP(LEFT(Proc[[#This Row],[Requested]],1),Table3[#All],2,0),VLOOKUP(Proc[[#This Row],[Author]],Table4[],2,0))</f>
        <v>EL</v>
      </c>
      <c r="L4076" s="140" t="s">
        <v>4896</v>
      </c>
      <c r="M4076" s="136">
        <v>45902</v>
      </c>
      <c r="N4076" s="137"/>
      <c r="O4076" s="137"/>
      <c r="P4076" s="136" t="str">
        <f ca="1">IF(Proc[[#This Row],[DaysAgeing]]&gt;5,"yep","on track")</f>
        <v>on track</v>
      </c>
      <c r="Q4076" s="3">
        <f ca="1">IF(Proc[[#This Row],[DateClosed]]="",ABS(NETWORKDAYS(Proc[[#This Row],[DateOpened]],TODAY()))-1,ABS(NETWORKDAYS(Proc[[#This Row],[DateOpened]],Proc[[#This Row],[DateClosed]]))-1)</f>
        <v>5</v>
      </c>
      <c r="R4076" s="136" t="s">
        <v>6090</v>
      </c>
      <c r="S4076" s="140"/>
    </row>
    <row r="4077" spans="1:19" hidden="1">
      <c r="A4077" s="142" t="s">
        <v>6204</v>
      </c>
      <c r="B4077" s="140" t="str">
        <f ca="1">IFERROR(VLOOKUP(Proc[[#This Row],[App]],Table2[],3,0),"open")</f>
        <v>open</v>
      </c>
      <c r="C4077" s="142" t="s">
        <v>369</v>
      </c>
      <c r="D4077" t="s">
        <v>6020</v>
      </c>
      <c r="E4077" t="s">
        <v>6187</v>
      </c>
      <c r="F4077" s="140" t="s">
        <v>6187</v>
      </c>
      <c r="G4077" s="142" t="s">
        <v>406</v>
      </c>
      <c r="H4077" s="140" t="str">
        <f ca="1">IF(Proc[[#This Row],[type]]="LFF (MDG-F)",MID(Proc[[#This Row],[Obj]],13,10),"")</f>
        <v>JP01TAOE00</v>
      </c>
      <c r="J4077" s="140" t="b">
        <f ca="1">Proc[[#This Row],[Requested]]=Proc[[#This Row],[CurrentParent]]</f>
        <v>1</v>
      </c>
      <c r="K4077" s="140" t="str">
        <f ca="1">IF(Proc[[#This Row],[Author]]="Marcela Urrego",VLOOKUP(LEFT(Proc[[#This Row],[Requested]],1),Table3[#All],2,0),VLOOKUP(Proc[[#This Row],[Author]],Table4[],2,0))</f>
        <v>EL</v>
      </c>
      <c r="L4077" s="140" t="s">
        <v>4896</v>
      </c>
      <c r="M4077" s="136">
        <v>45902</v>
      </c>
      <c r="N4077" s="137"/>
      <c r="O4077" s="137"/>
      <c r="P4077" s="136" t="str">
        <f ca="1">IF(Proc[[#This Row],[DaysAgeing]]&gt;5,"yep","on track")</f>
        <v>on track</v>
      </c>
      <c r="Q4077" s="3">
        <f ca="1">IF(Proc[[#This Row],[DateClosed]]="",ABS(NETWORKDAYS(Proc[[#This Row],[DateOpened]],TODAY()))-1,ABS(NETWORKDAYS(Proc[[#This Row],[DateOpened]],Proc[[#This Row],[DateClosed]]))-1)</f>
        <v>5</v>
      </c>
      <c r="R4077" s="136" t="s">
        <v>6090</v>
      </c>
      <c r="S4077" s="140"/>
    </row>
    <row r="4078" spans="1:19" hidden="1">
      <c r="A4078" s="142" t="s">
        <v>6204</v>
      </c>
      <c r="B4078" s="140" t="str">
        <f ca="1">IFERROR(VLOOKUP(Proc[[#This Row],[App]],Table2[],3,0),"open")</f>
        <v>open</v>
      </c>
      <c r="C4078" s="142" t="s">
        <v>369</v>
      </c>
      <c r="D4078" t="s">
        <v>6021</v>
      </c>
      <c r="E4078" t="s">
        <v>6187</v>
      </c>
      <c r="F4078" s="140" t="s">
        <v>6187</v>
      </c>
      <c r="G4078" s="142" t="s">
        <v>406</v>
      </c>
      <c r="H4078" s="140" t="str">
        <f ca="1">IF(Proc[[#This Row],[type]]="LFF (MDG-F)",MID(Proc[[#This Row],[Obj]],13,10),"")</f>
        <v>JP01TAOE01</v>
      </c>
      <c r="J4078" s="140" t="b">
        <f ca="1">Proc[[#This Row],[Requested]]=Proc[[#This Row],[CurrentParent]]</f>
        <v>1</v>
      </c>
      <c r="K4078" s="140" t="str">
        <f ca="1">IF(Proc[[#This Row],[Author]]="Marcela Urrego",VLOOKUP(LEFT(Proc[[#This Row],[Requested]],1),Table3[#All],2,0),VLOOKUP(Proc[[#This Row],[Author]],Table4[],2,0))</f>
        <v>EL</v>
      </c>
      <c r="L4078" s="140" t="s">
        <v>4896</v>
      </c>
      <c r="M4078" s="136">
        <v>45902</v>
      </c>
      <c r="N4078" s="137"/>
      <c r="O4078" s="137"/>
      <c r="P4078" s="136" t="str">
        <f ca="1">IF(Proc[[#This Row],[DaysAgeing]]&gt;5,"yep","on track")</f>
        <v>on track</v>
      </c>
      <c r="Q4078" s="3">
        <f ca="1">IF(Proc[[#This Row],[DateClosed]]="",ABS(NETWORKDAYS(Proc[[#This Row],[DateOpened]],TODAY()))-1,ABS(NETWORKDAYS(Proc[[#This Row],[DateOpened]],Proc[[#This Row],[DateClosed]]))-1)</f>
        <v>5</v>
      </c>
      <c r="R4078" s="136" t="s">
        <v>6090</v>
      </c>
      <c r="S4078" s="140"/>
    </row>
    <row r="4079" spans="1:19" hidden="1">
      <c r="A4079" s="142" t="s">
        <v>6204</v>
      </c>
      <c r="B4079" s="140" t="str">
        <f ca="1">IFERROR(VLOOKUP(Proc[[#This Row],[App]],Table2[],3,0),"open")</f>
        <v>open</v>
      </c>
      <c r="C4079" s="142" t="s">
        <v>369</v>
      </c>
      <c r="D4079" t="s">
        <v>6022</v>
      </c>
      <c r="E4079" t="s">
        <v>6187</v>
      </c>
      <c r="F4079" s="140" t="s">
        <v>6187</v>
      </c>
      <c r="G4079" s="142" t="s">
        <v>406</v>
      </c>
      <c r="H4079" s="140" t="str">
        <f ca="1">IF(Proc[[#This Row],[type]]="LFF (MDG-F)",MID(Proc[[#This Row],[Obj]],13,10),"")</f>
        <v>JP01TAOE99</v>
      </c>
      <c r="J4079" s="140" t="b">
        <f ca="1">Proc[[#This Row],[Requested]]=Proc[[#This Row],[CurrentParent]]</f>
        <v>1</v>
      </c>
      <c r="K4079" s="140" t="str">
        <f ca="1">IF(Proc[[#This Row],[Author]]="Marcela Urrego",VLOOKUP(LEFT(Proc[[#This Row],[Requested]],1),Table3[#All],2,0),VLOOKUP(Proc[[#This Row],[Author]],Table4[],2,0))</f>
        <v>EL</v>
      </c>
      <c r="L4079" s="140" t="s">
        <v>4896</v>
      </c>
      <c r="M4079" s="136">
        <v>45902</v>
      </c>
      <c r="N4079" s="137"/>
      <c r="O4079" s="137"/>
      <c r="P4079" s="136" t="str">
        <f ca="1">IF(Proc[[#This Row],[DaysAgeing]]&gt;5,"yep","on track")</f>
        <v>on track</v>
      </c>
      <c r="Q4079" s="3">
        <f ca="1">IF(Proc[[#This Row],[DateClosed]]="",ABS(NETWORKDAYS(Proc[[#This Row],[DateOpened]],TODAY()))-1,ABS(NETWORKDAYS(Proc[[#This Row],[DateOpened]],Proc[[#This Row],[DateClosed]]))-1)</f>
        <v>5</v>
      </c>
      <c r="R4079" s="136" t="s">
        <v>6090</v>
      </c>
      <c r="S4079" s="140"/>
    </row>
    <row r="4080" spans="1:19" hidden="1">
      <c r="A4080" s="142" t="s">
        <v>6204</v>
      </c>
      <c r="B4080" s="140" t="str">
        <f ca="1">IFERROR(VLOOKUP(Proc[[#This Row],[App]],Table2[],3,0),"open")</f>
        <v>open</v>
      </c>
      <c r="C4080" s="142" t="s">
        <v>369</v>
      </c>
      <c r="D4080" t="s">
        <v>6004</v>
      </c>
      <c r="E4080" t="s">
        <v>6187</v>
      </c>
      <c r="F4080" s="140" t="s">
        <v>6187</v>
      </c>
      <c r="G4080" s="142" t="s">
        <v>406</v>
      </c>
      <c r="H4080" s="140" t="str">
        <f ca="1">IF(Proc[[#This Row],[type]]="LFF (MDG-F)",MID(Proc[[#This Row],[Obj]],13,10),"")</f>
        <v>JP01TAOA00</v>
      </c>
      <c r="J4080" s="140" t="b">
        <f ca="1">Proc[[#This Row],[Requested]]=Proc[[#This Row],[CurrentParent]]</f>
        <v>1</v>
      </c>
      <c r="K4080" s="140" t="str">
        <f ca="1">IF(Proc[[#This Row],[Author]]="Marcela Urrego",VLOOKUP(LEFT(Proc[[#This Row],[Requested]],1),Table3[#All],2,0),VLOOKUP(Proc[[#This Row],[Author]],Table4[],2,0))</f>
        <v>EL</v>
      </c>
      <c r="L4080" s="140" t="s">
        <v>4896</v>
      </c>
      <c r="M4080" s="136">
        <v>45902</v>
      </c>
      <c r="N4080" s="137"/>
      <c r="O4080" s="137"/>
      <c r="P4080" s="136" t="str">
        <f ca="1">IF(Proc[[#This Row],[DaysAgeing]]&gt;5,"yep","on track")</f>
        <v>on track</v>
      </c>
      <c r="Q4080" s="3">
        <f ca="1">IF(Proc[[#This Row],[DateClosed]]="",ABS(NETWORKDAYS(Proc[[#This Row],[DateOpened]],TODAY()))-1,ABS(NETWORKDAYS(Proc[[#This Row],[DateOpened]],Proc[[#This Row],[DateClosed]]))-1)</f>
        <v>5</v>
      </c>
      <c r="R4080" s="136" t="s">
        <v>6090</v>
      </c>
      <c r="S4080" s="140"/>
    </row>
    <row r="4081" spans="1:19" hidden="1">
      <c r="A4081" s="142" t="s">
        <v>6204</v>
      </c>
      <c r="B4081" s="140" t="str">
        <f ca="1">IFERROR(VLOOKUP(Proc[[#This Row],[App]],Table2[],3,0),"open")</f>
        <v>open</v>
      </c>
      <c r="C4081" s="142" t="s">
        <v>369</v>
      </c>
      <c r="D4081" t="s">
        <v>6005</v>
      </c>
      <c r="E4081" t="s">
        <v>6187</v>
      </c>
      <c r="F4081" s="140" t="s">
        <v>6187</v>
      </c>
      <c r="G4081" s="142" t="s">
        <v>406</v>
      </c>
      <c r="H4081" s="140" t="str">
        <f ca="1">IF(Proc[[#This Row],[type]]="LFF (MDG-F)",MID(Proc[[#This Row],[Obj]],13,10),"")</f>
        <v>JP01TAOA01</v>
      </c>
      <c r="J4081" s="140" t="b">
        <f ca="1">Proc[[#This Row],[Requested]]=Proc[[#This Row],[CurrentParent]]</f>
        <v>1</v>
      </c>
      <c r="K4081" s="140" t="str">
        <f ca="1">IF(Proc[[#This Row],[Author]]="Marcela Urrego",VLOOKUP(LEFT(Proc[[#This Row],[Requested]],1),Table3[#All],2,0),VLOOKUP(Proc[[#This Row],[Author]],Table4[],2,0))</f>
        <v>EL</v>
      </c>
      <c r="L4081" s="140" t="s">
        <v>4896</v>
      </c>
      <c r="M4081" s="136">
        <v>45902</v>
      </c>
      <c r="N4081" s="137"/>
      <c r="O4081" s="137"/>
      <c r="P4081" s="136" t="str">
        <f ca="1">IF(Proc[[#This Row],[DaysAgeing]]&gt;5,"yep","on track")</f>
        <v>on track</v>
      </c>
      <c r="Q4081" s="3">
        <f ca="1">IF(Proc[[#This Row],[DateClosed]]="",ABS(NETWORKDAYS(Proc[[#This Row],[DateOpened]],TODAY()))-1,ABS(NETWORKDAYS(Proc[[#This Row],[DateOpened]],Proc[[#This Row],[DateClosed]]))-1)</f>
        <v>5</v>
      </c>
      <c r="R4081" s="136" t="s">
        <v>6090</v>
      </c>
      <c r="S4081" s="140"/>
    </row>
    <row r="4082" spans="1:19" hidden="1">
      <c r="A4082" s="142" t="s">
        <v>6204</v>
      </c>
      <c r="B4082" s="140" t="str">
        <f ca="1">IFERROR(VLOOKUP(Proc[[#This Row],[App]],Table2[],3,0),"open")</f>
        <v>open</v>
      </c>
      <c r="C4082" s="142" t="s">
        <v>369</v>
      </c>
      <c r="D4082" t="s">
        <v>6006</v>
      </c>
      <c r="E4082" t="s">
        <v>6187</v>
      </c>
      <c r="F4082" s="140" t="s">
        <v>6187</v>
      </c>
      <c r="G4082" s="142" t="s">
        <v>406</v>
      </c>
      <c r="H4082" s="140" t="str">
        <f ca="1">IF(Proc[[#This Row],[type]]="LFF (MDG-F)",MID(Proc[[#This Row],[Obj]],13,10),"")</f>
        <v>JP01TAOA99</v>
      </c>
      <c r="J4082" s="140" t="b">
        <f ca="1">Proc[[#This Row],[Requested]]=Proc[[#This Row],[CurrentParent]]</f>
        <v>1</v>
      </c>
      <c r="K4082" s="140" t="str">
        <f ca="1">IF(Proc[[#This Row],[Author]]="Marcela Urrego",VLOOKUP(LEFT(Proc[[#This Row],[Requested]],1),Table3[#All],2,0),VLOOKUP(Proc[[#This Row],[Author]],Table4[],2,0))</f>
        <v>EL</v>
      </c>
      <c r="L4082" s="140" t="s">
        <v>4896</v>
      </c>
      <c r="M4082" s="136">
        <v>45902</v>
      </c>
      <c r="N4082" s="137"/>
      <c r="O4082" s="137"/>
      <c r="P4082" s="136" t="str">
        <f ca="1">IF(Proc[[#This Row],[DaysAgeing]]&gt;5,"yep","on track")</f>
        <v>on track</v>
      </c>
      <c r="Q4082" s="3">
        <f ca="1">IF(Proc[[#This Row],[DateClosed]]="",ABS(NETWORKDAYS(Proc[[#This Row],[DateOpened]],TODAY()))-1,ABS(NETWORKDAYS(Proc[[#This Row],[DateOpened]],Proc[[#This Row],[DateClosed]]))-1)</f>
        <v>5</v>
      </c>
      <c r="R4082" s="136" t="s">
        <v>6090</v>
      </c>
      <c r="S4082" s="140"/>
    </row>
    <row r="4083" spans="1:19" hidden="1">
      <c r="A4083" s="142" t="s">
        <v>6204</v>
      </c>
      <c r="B4083" s="140" t="str">
        <f ca="1">IFERROR(VLOOKUP(Proc[[#This Row],[App]],Table2[],3,0),"open")</f>
        <v>open</v>
      </c>
      <c r="C4083" s="142" t="s">
        <v>369</v>
      </c>
      <c r="D4083" t="s">
        <v>6018</v>
      </c>
      <c r="E4083" t="s">
        <v>6187</v>
      </c>
      <c r="F4083" s="140" t="s">
        <v>6187</v>
      </c>
      <c r="G4083" s="142" t="s">
        <v>406</v>
      </c>
      <c r="H4083" s="140" t="str">
        <f ca="1">IF(Proc[[#This Row],[type]]="LFF (MDG-F)",MID(Proc[[#This Row],[Obj]],13,10),"")</f>
        <v>JP01TAOD02</v>
      </c>
      <c r="J4083" s="140" t="b">
        <f ca="1">Proc[[#This Row],[Requested]]=Proc[[#This Row],[CurrentParent]]</f>
        <v>1</v>
      </c>
      <c r="K4083" s="140" t="str">
        <f ca="1">IF(Proc[[#This Row],[Author]]="Marcela Urrego",VLOOKUP(LEFT(Proc[[#This Row],[Requested]],1),Table3[#All],2,0),VLOOKUP(Proc[[#This Row],[Author]],Table4[],2,0))</f>
        <v>EL</v>
      </c>
      <c r="L4083" s="140" t="s">
        <v>4896</v>
      </c>
      <c r="M4083" s="136">
        <v>45902</v>
      </c>
      <c r="N4083" s="137"/>
      <c r="O4083" s="137"/>
      <c r="P4083" s="136" t="str">
        <f ca="1">IF(Proc[[#This Row],[DaysAgeing]]&gt;5,"yep","on track")</f>
        <v>on track</v>
      </c>
      <c r="Q4083" s="3">
        <f ca="1">IF(Proc[[#This Row],[DateClosed]]="",ABS(NETWORKDAYS(Proc[[#This Row],[DateOpened]],TODAY()))-1,ABS(NETWORKDAYS(Proc[[#This Row],[DateOpened]],Proc[[#This Row],[DateClosed]]))-1)</f>
        <v>5</v>
      </c>
      <c r="R4083" s="136" t="s">
        <v>6090</v>
      </c>
      <c r="S4083" s="140"/>
    </row>
    <row r="4084" spans="1:19" hidden="1">
      <c r="A4084" s="142" t="s">
        <v>6204</v>
      </c>
      <c r="B4084" s="140" t="str">
        <f ca="1">IFERROR(VLOOKUP(Proc[[#This Row],[App]],Table2[],3,0),"open")</f>
        <v>open</v>
      </c>
      <c r="C4084" s="142" t="s">
        <v>369</v>
      </c>
      <c r="D4084" t="s">
        <v>6028</v>
      </c>
      <c r="E4084" t="s">
        <v>6187</v>
      </c>
      <c r="F4084" s="140" t="s">
        <v>6187</v>
      </c>
      <c r="G4084" s="142" t="s">
        <v>406</v>
      </c>
      <c r="H4084" s="140" t="str">
        <f ca="1">IF(Proc[[#This Row],[type]]="LFF (MDG-F)",MID(Proc[[#This Row],[Obj]],13,10),"")</f>
        <v>JP01TAOZ06</v>
      </c>
      <c r="J4084" s="140" t="b">
        <f ca="1">Proc[[#This Row],[Requested]]=Proc[[#This Row],[CurrentParent]]</f>
        <v>1</v>
      </c>
      <c r="K4084" s="140" t="str">
        <f ca="1">IF(Proc[[#This Row],[Author]]="Marcela Urrego",VLOOKUP(LEFT(Proc[[#This Row],[Requested]],1),Table3[#All],2,0),VLOOKUP(Proc[[#This Row],[Author]],Table4[],2,0))</f>
        <v>EL</v>
      </c>
      <c r="L4084" s="140" t="s">
        <v>4896</v>
      </c>
      <c r="M4084" s="136">
        <v>45902</v>
      </c>
      <c r="N4084" s="137"/>
      <c r="O4084" s="137"/>
      <c r="P4084" s="136" t="str">
        <f ca="1">IF(Proc[[#This Row],[DaysAgeing]]&gt;5,"yep","on track")</f>
        <v>on track</v>
      </c>
      <c r="Q4084" s="3">
        <f ca="1">IF(Proc[[#This Row],[DateClosed]]="",ABS(NETWORKDAYS(Proc[[#This Row],[DateOpened]],TODAY()))-1,ABS(NETWORKDAYS(Proc[[#This Row],[DateOpened]],Proc[[#This Row],[DateClosed]]))-1)</f>
        <v>5</v>
      </c>
      <c r="R4084" s="136" t="s">
        <v>6090</v>
      </c>
      <c r="S4084" s="140"/>
    </row>
    <row r="4085" spans="1:19" hidden="1">
      <c r="A4085" s="142" t="s">
        <v>6204</v>
      </c>
      <c r="B4085" s="140" t="str">
        <f ca="1">IFERROR(VLOOKUP(Proc[[#This Row],[App]],Table2[],3,0),"open")</f>
        <v>open</v>
      </c>
      <c r="C4085" s="142" t="s">
        <v>369</v>
      </c>
      <c r="D4085" t="s">
        <v>5984</v>
      </c>
      <c r="E4085" t="s">
        <v>2416</v>
      </c>
      <c r="F4085" s="140" t="s">
        <v>2416</v>
      </c>
      <c r="G4085" s="142" t="s">
        <v>406</v>
      </c>
      <c r="H4085" s="140" t="str">
        <f ca="1">IF(Proc[[#This Row],[type]]="LFF (MDG-F)",MID(Proc[[#This Row],[Obj]],13,10),"")</f>
        <v>JP01GSQ013</v>
      </c>
      <c r="J4085" s="140" t="b">
        <f ca="1">Proc[[#This Row],[Requested]]=Proc[[#This Row],[CurrentParent]]</f>
        <v>1</v>
      </c>
      <c r="K4085" s="140" t="str">
        <f ca="1">IF(Proc[[#This Row],[Author]]="Marcela Urrego",VLOOKUP(LEFT(Proc[[#This Row],[Requested]],1),Table3[#All],2,0),VLOOKUP(Proc[[#This Row],[Author]],Table4[],2,0))</f>
        <v>EL</v>
      </c>
      <c r="L4085" s="140" t="s">
        <v>4896</v>
      </c>
      <c r="M4085" s="136">
        <v>45902</v>
      </c>
      <c r="N4085" s="137"/>
      <c r="O4085" s="137"/>
      <c r="P4085" s="136" t="str">
        <f ca="1">IF(Proc[[#This Row],[DaysAgeing]]&gt;5,"yep","on track")</f>
        <v>on track</v>
      </c>
      <c r="Q4085" s="3">
        <f ca="1">IF(Proc[[#This Row],[DateClosed]]="",ABS(NETWORKDAYS(Proc[[#This Row],[DateOpened]],TODAY()))-1,ABS(NETWORKDAYS(Proc[[#This Row],[DateOpened]],Proc[[#This Row],[DateClosed]]))-1)</f>
        <v>5</v>
      </c>
      <c r="R4085" s="136" t="s">
        <v>6090</v>
      </c>
      <c r="S4085" s="140"/>
    </row>
    <row r="4086" spans="1:19" hidden="1">
      <c r="A4086" s="142" t="s">
        <v>6204</v>
      </c>
      <c r="B4086" s="140" t="str">
        <f ca="1">IFERROR(VLOOKUP(Proc[[#This Row],[App]],Table2[],3,0),"open")</f>
        <v>open</v>
      </c>
      <c r="C4086" s="142" t="s">
        <v>369</v>
      </c>
      <c r="D4086" t="s">
        <v>6023</v>
      </c>
      <c r="E4086" t="s">
        <v>6187</v>
      </c>
      <c r="F4086" s="140" t="s">
        <v>6187</v>
      </c>
      <c r="G4086" s="142" t="s">
        <v>406</v>
      </c>
      <c r="H4086" s="140" t="str">
        <f ca="1">IF(Proc[[#This Row],[type]]="LFF (MDG-F)",MID(Proc[[#This Row],[Obj]],13,10),"")</f>
        <v>JP01TAOZ01</v>
      </c>
      <c r="J4086" s="140" t="b">
        <f ca="1">Proc[[#This Row],[Requested]]=Proc[[#This Row],[CurrentParent]]</f>
        <v>1</v>
      </c>
      <c r="K4086" s="140" t="str">
        <f ca="1">IF(Proc[[#This Row],[Author]]="Marcela Urrego",VLOOKUP(LEFT(Proc[[#This Row],[Requested]],1),Table3[#All],2,0),VLOOKUP(Proc[[#This Row],[Author]],Table4[],2,0))</f>
        <v>EL</v>
      </c>
      <c r="L4086" s="140" t="s">
        <v>4896</v>
      </c>
      <c r="M4086" s="136">
        <v>45902</v>
      </c>
      <c r="N4086" s="137"/>
      <c r="O4086" s="137"/>
      <c r="P4086" s="136" t="str">
        <f ca="1">IF(Proc[[#This Row],[DaysAgeing]]&gt;5,"yep","on track")</f>
        <v>on track</v>
      </c>
      <c r="Q4086" s="3">
        <f ca="1">IF(Proc[[#This Row],[DateClosed]]="",ABS(NETWORKDAYS(Proc[[#This Row],[DateOpened]],TODAY()))-1,ABS(NETWORKDAYS(Proc[[#This Row],[DateOpened]],Proc[[#This Row],[DateClosed]]))-1)</f>
        <v>5</v>
      </c>
      <c r="R4086" s="136" t="s">
        <v>6090</v>
      </c>
      <c r="S4086" s="140"/>
    </row>
    <row r="4087" spans="1:19" hidden="1">
      <c r="A4087" s="142" t="s">
        <v>6204</v>
      </c>
      <c r="B4087" s="140" t="str">
        <f ca="1">IFERROR(VLOOKUP(Proc[[#This Row],[App]],Table2[],3,0),"open")</f>
        <v>open</v>
      </c>
      <c r="C4087" s="142" t="s">
        <v>369</v>
      </c>
      <c r="D4087" t="s">
        <v>6043</v>
      </c>
      <c r="E4087" t="s">
        <v>6191</v>
      </c>
      <c r="F4087" s="140" t="s">
        <v>6191</v>
      </c>
      <c r="G4087" s="142" t="s">
        <v>406</v>
      </c>
      <c r="H4087" s="140" t="str">
        <f ca="1">IF(Proc[[#This Row],[type]]="LFF (MDG-F)",MID(Proc[[#This Row],[Obj]],13,10),"")</f>
        <v>JP01TLOZ01</v>
      </c>
      <c r="J4087" s="140" t="b">
        <f ca="1">Proc[[#This Row],[Requested]]=Proc[[#This Row],[CurrentParent]]</f>
        <v>1</v>
      </c>
      <c r="K4087" s="140" t="str">
        <f ca="1">IF(Proc[[#This Row],[Author]]="Marcela Urrego",VLOOKUP(LEFT(Proc[[#This Row],[Requested]],1),Table3[#All],2,0),VLOOKUP(Proc[[#This Row],[Author]],Table4[],2,0))</f>
        <v>EL</v>
      </c>
      <c r="L4087" s="140" t="s">
        <v>4896</v>
      </c>
      <c r="M4087" s="136">
        <v>45902</v>
      </c>
      <c r="N4087" s="137"/>
      <c r="O4087" s="137"/>
      <c r="P4087" s="136" t="str">
        <f ca="1">IF(Proc[[#This Row],[DaysAgeing]]&gt;5,"yep","on track")</f>
        <v>on track</v>
      </c>
      <c r="Q4087" s="3">
        <f ca="1">IF(Proc[[#This Row],[DateClosed]]="",ABS(NETWORKDAYS(Proc[[#This Row],[DateOpened]],TODAY()))-1,ABS(NETWORKDAYS(Proc[[#This Row],[DateOpened]],Proc[[#This Row],[DateClosed]]))-1)</f>
        <v>5</v>
      </c>
      <c r="R4087" s="136" t="s">
        <v>6090</v>
      </c>
      <c r="S4087" s="140"/>
    </row>
    <row r="4088" spans="1:19" hidden="1">
      <c r="A4088" s="142" t="s">
        <v>6204</v>
      </c>
      <c r="B4088" s="140" t="str">
        <f ca="1">IFERROR(VLOOKUP(Proc[[#This Row],[App]],Table2[],3,0),"open")</f>
        <v>open</v>
      </c>
      <c r="C4088" s="142" t="s">
        <v>369</v>
      </c>
      <c r="D4088" t="s">
        <v>6044</v>
      </c>
      <c r="E4088" t="s">
        <v>6192</v>
      </c>
      <c r="F4088" s="140" t="s">
        <v>6192</v>
      </c>
      <c r="G4088" s="142" t="s">
        <v>406</v>
      </c>
      <c r="H4088" s="140" t="str">
        <f ca="1">IF(Proc[[#This Row],[type]]="LFF (MDG-F)",MID(Proc[[#This Row],[Obj]],13,10),"")</f>
        <v>JP01TNMZ04</v>
      </c>
      <c r="J4088" s="140" t="b">
        <f ca="1">Proc[[#This Row],[Requested]]=Proc[[#This Row],[CurrentParent]]</f>
        <v>1</v>
      </c>
      <c r="K4088" s="140" t="str">
        <f ca="1">IF(Proc[[#This Row],[Author]]="Marcela Urrego",VLOOKUP(LEFT(Proc[[#This Row],[Requested]],1),Table3[#All],2,0),VLOOKUP(Proc[[#This Row],[Author]],Table4[],2,0))</f>
        <v>EL</v>
      </c>
      <c r="L4088" s="140" t="s">
        <v>4896</v>
      </c>
      <c r="M4088" s="136">
        <v>45902</v>
      </c>
      <c r="N4088" s="137"/>
      <c r="O4088" s="137"/>
      <c r="P4088" s="136" t="str">
        <f ca="1">IF(Proc[[#This Row],[DaysAgeing]]&gt;5,"yep","on track")</f>
        <v>on track</v>
      </c>
      <c r="Q4088" s="3">
        <f ca="1">IF(Proc[[#This Row],[DateClosed]]="",ABS(NETWORKDAYS(Proc[[#This Row],[DateOpened]],TODAY()))-1,ABS(NETWORKDAYS(Proc[[#This Row],[DateOpened]],Proc[[#This Row],[DateClosed]]))-1)</f>
        <v>5</v>
      </c>
      <c r="R4088" s="136" t="s">
        <v>6090</v>
      </c>
      <c r="S4088" s="140"/>
    </row>
    <row r="4089" spans="1:19" hidden="1">
      <c r="A4089" s="142" t="s">
        <v>6204</v>
      </c>
      <c r="B4089" s="140" t="str">
        <f ca="1">IFERROR(VLOOKUP(Proc[[#This Row],[App]],Table2[],3,0),"open")</f>
        <v>open</v>
      </c>
      <c r="C4089" s="142" t="s">
        <v>369</v>
      </c>
      <c r="D4089" t="s">
        <v>6026</v>
      </c>
      <c r="E4089" t="s">
        <v>6187</v>
      </c>
      <c r="F4089" s="140" t="s">
        <v>6187</v>
      </c>
      <c r="G4089" s="142" t="s">
        <v>406</v>
      </c>
      <c r="H4089" s="140" t="str">
        <f ca="1">IF(Proc[[#This Row],[type]]="LFF (MDG-F)",MID(Proc[[#This Row],[Obj]],13,10),"")</f>
        <v>JP01TAOZ04</v>
      </c>
      <c r="J4089" s="140" t="b">
        <f ca="1">Proc[[#This Row],[Requested]]=Proc[[#This Row],[CurrentParent]]</f>
        <v>1</v>
      </c>
      <c r="K4089" s="140" t="str">
        <f ca="1">IF(Proc[[#This Row],[Author]]="Marcela Urrego",VLOOKUP(LEFT(Proc[[#This Row],[Requested]],1),Table3[#All],2,0),VLOOKUP(Proc[[#This Row],[Author]],Table4[],2,0))</f>
        <v>EL</v>
      </c>
      <c r="L4089" s="140" t="s">
        <v>4896</v>
      </c>
      <c r="M4089" s="136">
        <v>45902</v>
      </c>
      <c r="N4089" s="137"/>
      <c r="O4089" s="137"/>
      <c r="P4089" s="136" t="str">
        <f ca="1">IF(Proc[[#This Row],[DaysAgeing]]&gt;5,"yep","on track")</f>
        <v>on track</v>
      </c>
      <c r="Q4089" s="3">
        <f ca="1">IF(Proc[[#This Row],[DateClosed]]="",ABS(NETWORKDAYS(Proc[[#This Row],[DateOpened]],TODAY()))-1,ABS(NETWORKDAYS(Proc[[#This Row],[DateOpened]],Proc[[#This Row],[DateClosed]]))-1)</f>
        <v>5</v>
      </c>
      <c r="R4089" s="136" t="s">
        <v>6090</v>
      </c>
      <c r="S4089" s="140"/>
    </row>
    <row r="4090" spans="1:19" hidden="1">
      <c r="A4090" s="142" t="s">
        <v>6204</v>
      </c>
      <c r="B4090" s="140" t="str">
        <f ca="1">IFERROR(VLOOKUP(Proc[[#This Row],[App]],Table2[],3,0),"open")</f>
        <v>open</v>
      </c>
      <c r="C4090" s="142" t="s">
        <v>369</v>
      </c>
      <c r="D4090" t="s">
        <v>6042</v>
      </c>
      <c r="E4090" t="s">
        <v>6193</v>
      </c>
      <c r="F4090" s="140" t="s">
        <v>6193</v>
      </c>
      <c r="G4090" s="142" t="s">
        <v>406</v>
      </c>
      <c r="H4090" s="140" t="str">
        <f ca="1">IF(Proc[[#This Row],[type]]="LFF (MDG-F)",MID(Proc[[#This Row],[Obj]],13,10),"")</f>
        <v>JP01TKOZ00</v>
      </c>
      <c r="J4090" s="140" t="b">
        <f ca="1">Proc[[#This Row],[Requested]]=Proc[[#This Row],[CurrentParent]]</f>
        <v>1</v>
      </c>
      <c r="K4090" s="140" t="str">
        <f ca="1">IF(Proc[[#This Row],[Author]]="Marcela Urrego",VLOOKUP(LEFT(Proc[[#This Row],[Requested]],1),Table3[#All],2,0),VLOOKUP(Proc[[#This Row],[Author]],Table4[],2,0))</f>
        <v>EL</v>
      </c>
      <c r="L4090" s="140" t="s">
        <v>4896</v>
      </c>
      <c r="M4090" s="136">
        <v>45902</v>
      </c>
      <c r="N4090" s="137"/>
      <c r="O4090" s="137"/>
      <c r="P4090" s="136" t="str">
        <f ca="1">IF(Proc[[#This Row],[DaysAgeing]]&gt;5,"yep","on track")</f>
        <v>on track</v>
      </c>
      <c r="Q4090" s="3">
        <f ca="1">IF(Proc[[#This Row],[DateClosed]]="",ABS(NETWORKDAYS(Proc[[#This Row],[DateOpened]],TODAY()))-1,ABS(NETWORKDAYS(Proc[[#This Row],[DateOpened]],Proc[[#This Row],[DateClosed]]))-1)</f>
        <v>5</v>
      </c>
      <c r="R4090" s="136" t="s">
        <v>6090</v>
      </c>
      <c r="S4090" s="140"/>
    </row>
    <row r="4091" spans="1:19" hidden="1">
      <c r="A4091" s="142" t="s">
        <v>6204</v>
      </c>
      <c r="B4091" s="140" t="str">
        <f ca="1">IFERROR(VLOOKUP(Proc[[#This Row],[App]],Table2[],3,0),"open")</f>
        <v>open</v>
      </c>
      <c r="C4091" s="142" t="s">
        <v>369</v>
      </c>
      <c r="D4091" t="s">
        <v>6029</v>
      </c>
      <c r="E4091" t="s">
        <v>6194</v>
      </c>
      <c r="F4091" s="140" t="s">
        <v>6194</v>
      </c>
      <c r="G4091" s="142" t="s">
        <v>406</v>
      </c>
      <c r="H4091" s="140" t="str">
        <f ca="1">IF(Proc[[#This Row],[type]]="LFF (MDG-F)",MID(Proc[[#This Row],[Obj]],13,10),"")</f>
        <v>JP01TBOZ01</v>
      </c>
      <c r="J4091" s="140" t="b">
        <f ca="1">Proc[[#This Row],[Requested]]=Proc[[#This Row],[CurrentParent]]</f>
        <v>1</v>
      </c>
      <c r="K4091" s="140" t="str">
        <f ca="1">IF(Proc[[#This Row],[Author]]="Marcela Urrego",VLOOKUP(LEFT(Proc[[#This Row],[Requested]],1),Table3[#All],2,0),VLOOKUP(Proc[[#This Row],[Author]],Table4[],2,0))</f>
        <v>EL</v>
      </c>
      <c r="L4091" s="140" t="s">
        <v>4896</v>
      </c>
      <c r="M4091" s="136">
        <v>45902</v>
      </c>
      <c r="N4091" s="137"/>
      <c r="O4091" s="137"/>
      <c r="P4091" s="136" t="str">
        <f ca="1">IF(Proc[[#This Row],[DaysAgeing]]&gt;5,"yep","on track")</f>
        <v>on track</v>
      </c>
      <c r="Q4091" s="3">
        <f ca="1">IF(Proc[[#This Row],[DateClosed]]="",ABS(NETWORKDAYS(Proc[[#This Row],[DateOpened]],TODAY()))-1,ABS(NETWORKDAYS(Proc[[#This Row],[DateOpened]],Proc[[#This Row],[DateClosed]]))-1)</f>
        <v>5</v>
      </c>
      <c r="R4091" s="136" t="s">
        <v>6090</v>
      </c>
      <c r="S4091" s="140"/>
    </row>
    <row r="4092" spans="1:19" hidden="1">
      <c r="A4092" s="142" t="s">
        <v>6204</v>
      </c>
      <c r="B4092" s="140" t="str">
        <f ca="1">IFERROR(VLOOKUP(Proc[[#This Row],[App]],Table2[],3,0),"open")</f>
        <v>open</v>
      </c>
      <c r="C4092" s="142" t="s">
        <v>369</v>
      </c>
      <c r="D4092" t="s">
        <v>6046</v>
      </c>
      <c r="E4092" t="s">
        <v>6166</v>
      </c>
      <c r="F4092" s="140" t="s">
        <v>6166</v>
      </c>
      <c r="G4092" s="142" t="s">
        <v>406</v>
      </c>
      <c r="H4092" s="140" t="str">
        <f ca="1">IF(Proc[[#This Row],[type]]="LFF (MDG-F)",MID(Proc[[#This Row],[Obj]],13,10),"")</f>
        <v>JP01TQOZ01</v>
      </c>
      <c r="J4092" s="140" t="b">
        <f ca="1">Proc[[#This Row],[Requested]]=Proc[[#This Row],[CurrentParent]]</f>
        <v>1</v>
      </c>
      <c r="K4092" s="140" t="str">
        <f ca="1">IF(Proc[[#This Row],[Author]]="Marcela Urrego",VLOOKUP(LEFT(Proc[[#This Row],[Requested]],1),Table3[#All],2,0),VLOOKUP(Proc[[#This Row],[Author]],Table4[],2,0))</f>
        <v>EL</v>
      </c>
      <c r="L4092" s="140" t="s">
        <v>4896</v>
      </c>
      <c r="M4092" s="136">
        <v>45902</v>
      </c>
      <c r="N4092" s="137"/>
      <c r="O4092" s="137"/>
      <c r="P4092" s="136" t="str">
        <f ca="1">IF(Proc[[#This Row],[DaysAgeing]]&gt;5,"yep","on track")</f>
        <v>on track</v>
      </c>
      <c r="Q4092" s="3">
        <f ca="1">IF(Proc[[#This Row],[DateClosed]]="",ABS(NETWORKDAYS(Proc[[#This Row],[DateOpened]],TODAY()))-1,ABS(NETWORKDAYS(Proc[[#This Row],[DateOpened]],Proc[[#This Row],[DateClosed]]))-1)</f>
        <v>5</v>
      </c>
      <c r="R4092" s="136" t="s">
        <v>6090</v>
      </c>
      <c r="S4092" s="140"/>
    </row>
    <row r="4093" spans="1:19" hidden="1">
      <c r="A4093" s="142" t="s">
        <v>6204</v>
      </c>
      <c r="B4093" s="140" t="str">
        <f ca="1">IFERROR(VLOOKUP(Proc[[#This Row],[App]],Table2[],3,0),"open")</f>
        <v>open</v>
      </c>
      <c r="C4093" s="142" t="s">
        <v>369</v>
      </c>
      <c r="D4093" t="s">
        <v>6030</v>
      </c>
      <c r="E4093" t="s">
        <v>6195</v>
      </c>
      <c r="F4093" s="140" t="s">
        <v>6195</v>
      </c>
      <c r="G4093" s="142" t="s">
        <v>406</v>
      </c>
      <c r="H4093" s="140" t="str">
        <f ca="1">IF(Proc[[#This Row],[type]]="LFF (MDG-F)",MID(Proc[[#This Row],[Obj]],13,10),"")</f>
        <v>JP01TBOZ05</v>
      </c>
      <c r="J4093" s="140" t="b">
        <f ca="1">Proc[[#This Row],[Requested]]=Proc[[#This Row],[CurrentParent]]</f>
        <v>1</v>
      </c>
      <c r="K4093" s="140" t="str">
        <f ca="1">IF(Proc[[#This Row],[Author]]="Marcela Urrego",VLOOKUP(LEFT(Proc[[#This Row],[Requested]],1),Table3[#All],2,0),VLOOKUP(Proc[[#This Row],[Author]],Table4[],2,0))</f>
        <v>EL</v>
      </c>
      <c r="L4093" s="140" t="s">
        <v>4896</v>
      </c>
      <c r="M4093" s="136">
        <v>45902</v>
      </c>
      <c r="N4093" s="137"/>
      <c r="O4093" s="137"/>
      <c r="P4093" s="136" t="str">
        <f ca="1">IF(Proc[[#This Row],[DaysAgeing]]&gt;5,"yep","on track")</f>
        <v>on track</v>
      </c>
      <c r="Q4093" s="3">
        <f ca="1">IF(Proc[[#This Row],[DateClosed]]="",ABS(NETWORKDAYS(Proc[[#This Row],[DateOpened]],TODAY()))-1,ABS(NETWORKDAYS(Proc[[#This Row],[DateOpened]],Proc[[#This Row],[DateClosed]]))-1)</f>
        <v>5</v>
      </c>
      <c r="R4093" s="136" t="s">
        <v>6090</v>
      </c>
      <c r="S4093" s="140"/>
    </row>
    <row r="4094" spans="1:19" hidden="1">
      <c r="A4094" s="142" t="s">
        <v>6204</v>
      </c>
      <c r="B4094" s="140" t="str">
        <f ca="1">IFERROR(VLOOKUP(Proc[[#This Row],[App]],Table2[],3,0),"open")</f>
        <v>open</v>
      </c>
      <c r="C4094" s="142" t="s">
        <v>369</v>
      </c>
      <c r="D4094" t="s">
        <v>6031</v>
      </c>
      <c r="E4094" t="s">
        <v>6196</v>
      </c>
      <c r="F4094" s="140" t="s">
        <v>6196</v>
      </c>
      <c r="G4094" s="142" t="s">
        <v>406</v>
      </c>
      <c r="H4094" s="140" t="str">
        <f ca="1">IF(Proc[[#This Row],[type]]="LFF (MDG-F)",MID(Proc[[#This Row],[Obj]],13,10),"")</f>
        <v>JP01TCOZ01</v>
      </c>
      <c r="J4094" s="140" t="b">
        <f ca="1">Proc[[#This Row],[Requested]]=Proc[[#This Row],[CurrentParent]]</f>
        <v>1</v>
      </c>
      <c r="K4094" s="140" t="str">
        <f ca="1">IF(Proc[[#This Row],[Author]]="Marcela Urrego",VLOOKUP(LEFT(Proc[[#This Row],[Requested]],1),Table3[#All],2,0),VLOOKUP(Proc[[#This Row],[Author]],Table4[],2,0))</f>
        <v>EL</v>
      </c>
      <c r="L4094" s="140" t="s">
        <v>4896</v>
      </c>
      <c r="M4094" s="136">
        <v>45902</v>
      </c>
      <c r="N4094" s="137"/>
      <c r="O4094" s="137"/>
      <c r="P4094" s="136" t="str">
        <f ca="1">IF(Proc[[#This Row],[DaysAgeing]]&gt;5,"yep","on track")</f>
        <v>on track</v>
      </c>
      <c r="Q4094" s="3">
        <f ca="1">IF(Proc[[#This Row],[DateClosed]]="",ABS(NETWORKDAYS(Proc[[#This Row],[DateOpened]],TODAY()))-1,ABS(NETWORKDAYS(Proc[[#This Row],[DateOpened]],Proc[[#This Row],[DateClosed]]))-1)</f>
        <v>5</v>
      </c>
      <c r="R4094" s="136" t="s">
        <v>6090</v>
      </c>
      <c r="S4094" s="140"/>
    </row>
    <row r="4095" spans="1:19" hidden="1">
      <c r="A4095" s="142" t="s">
        <v>6204</v>
      </c>
      <c r="B4095" s="140" t="str">
        <f ca="1">IFERROR(VLOOKUP(Proc[[#This Row],[App]],Table2[],3,0),"open")</f>
        <v>open</v>
      </c>
      <c r="C4095" s="142" t="s">
        <v>369</v>
      </c>
      <c r="D4095" t="s">
        <v>5954</v>
      </c>
      <c r="E4095" t="s">
        <v>6197</v>
      </c>
      <c r="F4095" s="140" t="s">
        <v>6197</v>
      </c>
      <c r="G4095" s="142" t="s">
        <v>406</v>
      </c>
      <c r="H4095" s="140" t="str">
        <f ca="1">IF(Proc[[#This Row],[type]]="LFF (MDG-F)",MID(Proc[[#This Row],[Obj]],13,10),"")</f>
        <v>JP01C0M821</v>
      </c>
      <c r="J4095" s="140" t="b">
        <f ca="1">Proc[[#This Row],[Requested]]=Proc[[#This Row],[CurrentParent]]</f>
        <v>1</v>
      </c>
      <c r="K4095" s="140" t="str">
        <f ca="1">IF(Proc[[#This Row],[Author]]="Marcela Urrego",VLOOKUP(LEFT(Proc[[#This Row],[Requested]],1),Table3[#All],2,0),VLOOKUP(Proc[[#This Row],[Author]],Table4[],2,0))</f>
        <v>EL</v>
      </c>
      <c r="L4095" s="140" t="s">
        <v>4896</v>
      </c>
      <c r="M4095" s="136">
        <v>45902</v>
      </c>
      <c r="N4095" s="137"/>
      <c r="O4095" s="137"/>
      <c r="P4095" s="136" t="str">
        <f ca="1">IF(Proc[[#This Row],[DaysAgeing]]&gt;5,"yep","on track")</f>
        <v>on track</v>
      </c>
      <c r="Q4095" s="3">
        <f ca="1">IF(Proc[[#This Row],[DateClosed]]="",ABS(NETWORKDAYS(Proc[[#This Row],[DateOpened]],TODAY()))-1,ABS(NETWORKDAYS(Proc[[#This Row],[DateOpened]],Proc[[#This Row],[DateClosed]]))-1)</f>
        <v>5</v>
      </c>
      <c r="R4095" s="136" t="s">
        <v>6090</v>
      </c>
      <c r="S4095" s="140"/>
    </row>
    <row r="4096" spans="1:19" hidden="1">
      <c r="A4096" s="142" t="s">
        <v>6204</v>
      </c>
      <c r="B4096" s="140" t="str">
        <f ca="1">IFERROR(VLOOKUP(Proc[[#This Row],[App]],Table2[],3,0),"open")</f>
        <v>open</v>
      </c>
      <c r="C4096" s="144" t="s">
        <v>369</v>
      </c>
      <c r="D4096" t="s">
        <v>5957</v>
      </c>
      <c r="E4096" t="s">
        <v>6198</v>
      </c>
      <c r="F4096" s="140" t="s">
        <v>6198</v>
      </c>
      <c r="G4096" s="142" t="s">
        <v>406</v>
      </c>
      <c r="H4096" s="140" t="str">
        <f ca="1">IF(Proc[[#This Row],[type]]="LFF (MDG-F)",MID(Proc[[#This Row],[Obj]],13,10),"")</f>
        <v>JP01C0M921</v>
      </c>
      <c r="J4096" s="140" t="b">
        <f ca="1">Proc[[#This Row],[Requested]]=Proc[[#This Row],[CurrentParent]]</f>
        <v>1</v>
      </c>
      <c r="K4096" s="140" t="str">
        <f ca="1">IF(Proc[[#This Row],[Author]]="Marcela Urrego",VLOOKUP(LEFT(Proc[[#This Row],[Requested]],1),Table3[#All],2,0),VLOOKUP(Proc[[#This Row],[Author]],Table4[],2,0))</f>
        <v>EL</v>
      </c>
      <c r="L4096" s="140" t="s">
        <v>4896</v>
      </c>
      <c r="M4096" s="136">
        <v>45902</v>
      </c>
      <c r="N4096" s="137"/>
      <c r="O4096" s="137"/>
      <c r="P4096" s="136" t="str">
        <f ca="1">IF(Proc[[#This Row],[DaysAgeing]]&gt;5,"yep","on track")</f>
        <v>on track</v>
      </c>
      <c r="Q4096" s="3">
        <f ca="1">IF(Proc[[#This Row],[DateClosed]]="",ABS(NETWORKDAYS(Proc[[#This Row],[DateOpened]],TODAY()))-1,ABS(NETWORKDAYS(Proc[[#This Row],[DateOpened]],Proc[[#This Row],[DateClosed]]))-1)</f>
        <v>5</v>
      </c>
      <c r="R4096" s="136" t="s">
        <v>6090</v>
      </c>
      <c r="S4096" s="140"/>
    </row>
    <row r="4097" spans="1:19" hidden="1">
      <c r="A4097" s="142" t="s">
        <v>6204</v>
      </c>
      <c r="B4097" s="140" t="str">
        <f ca="1">IFERROR(VLOOKUP(Proc[[#This Row],[App]],Table2[],3,0),"open")</f>
        <v>open</v>
      </c>
      <c r="C4097" s="142" t="s">
        <v>369</v>
      </c>
      <c r="D4097" t="s">
        <v>5955</v>
      </c>
      <c r="E4097" t="s">
        <v>6199</v>
      </c>
      <c r="F4097" s="140" t="s">
        <v>6199</v>
      </c>
      <c r="G4097" s="142" t="s">
        <v>406</v>
      </c>
      <c r="H4097" s="140" t="str">
        <f ca="1">IF(Proc[[#This Row],[type]]="LFF (MDG-F)",MID(Proc[[#This Row],[Obj]],13,10),"")</f>
        <v>JP01C0M822</v>
      </c>
      <c r="J4097" s="140" t="b">
        <f ca="1">Proc[[#This Row],[Requested]]=Proc[[#This Row],[CurrentParent]]</f>
        <v>1</v>
      </c>
      <c r="K4097" s="140" t="str">
        <f ca="1">IF(Proc[[#This Row],[Author]]="Marcela Urrego",VLOOKUP(LEFT(Proc[[#This Row],[Requested]],1),Table3[#All],2,0),VLOOKUP(Proc[[#This Row],[Author]],Table4[],2,0))</f>
        <v>EL</v>
      </c>
      <c r="L4097" s="140" t="s">
        <v>4896</v>
      </c>
      <c r="M4097" s="136">
        <v>45902</v>
      </c>
      <c r="N4097" s="137"/>
      <c r="O4097" s="137"/>
      <c r="P4097" s="136" t="str">
        <f ca="1">IF(Proc[[#This Row],[DaysAgeing]]&gt;5,"yep","on track")</f>
        <v>on track</v>
      </c>
      <c r="Q4097" s="3">
        <f ca="1">IF(Proc[[#This Row],[DateClosed]]="",ABS(NETWORKDAYS(Proc[[#This Row],[DateOpened]],TODAY()))-1,ABS(NETWORKDAYS(Proc[[#This Row],[DateOpened]],Proc[[#This Row],[DateClosed]]))-1)</f>
        <v>5</v>
      </c>
      <c r="R4097" s="136" t="s">
        <v>6090</v>
      </c>
      <c r="S4097" s="140"/>
    </row>
    <row r="4098" spans="1:19" hidden="1">
      <c r="A4098" s="142" t="s">
        <v>6204</v>
      </c>
      <c r="B4098" s="140" t="str">
        <f ca="1">IFERROR(VLOOKUP(Proc[[#This Row],[App]],Table2[],3,0),"open")</f>
        <v>open</v>
      </c>
      <c r="C4098" s="142" t="s">
        <v>369</v>
      </c>
      <c r="D4098" t="s">
        <v>5959</v>
      </c>
      <c r="E4098" t="s">
        <v>6200</v>
      </c>
      <c r="F4098" s="140" t="s">
        <v>6200</v>
      </c>
      <c r="G4098" s="142" t="s">
        <v>406</v>
      </c>
      <c r="H4098" s="140" t="str">
        <f ca="1">IF(Proc[[#This Row],[type]]="LFF (MDG-F)",MID(Proc[[#This Row],[Obj]],13,10),"")</f>
        <v>JP01C0O999</v>
      </c>
      <c r="J4098" s="140" t="b">
        <f ca="1">Proc[[#This Row],[Requested]]=Proc[[#This Row],[CurrentParent]]</f>
        <v>1</v>
      </c>
      <c r="K4098" s="140" t="str">
        <f ca="1">IF(Proc[[#This Row],[Author]]="Marcela Urrego",VLOOKUP(LEFT(Proc[[#This Row],[Requested]],1),Table3[#All],2,0),VLOOKUP(Proc[[#This Row],[Author]],Table4[],2,0))</f>
        <v>EL</v>
      </c>
      <c r="L4098" s="140" t="s">
        <v>4896</v>
      </c>
      <c r="M4098" s="136">
        <v>45902</v>
      </c>
      <c r="N4098" s="137"/>
      <c r="O4098" s="137"/>
      <c r="P4098" s="136" t="str">
        <f ca="1">IF(Proc[[#This Row],[DaysAgeing]]&gt;5,"yep","on track")</f>
        <v>on track</v>
      </c>
      <c r="Q4098" s="3">
        <f ca="1">IF(Proc[[#This Row],[DateClosed]]="",ABS(NETWORKDAYS(Proc[[#This Row],[DateOpened]],TODAY()))-1,ABS(NETWORKDAYS(Proc[[#This Row],[DateOpened]],Proc[[#This Row],[DateClosed]]))-1)</f>
        <v>5</v>
      </c>
      <c r="R4098" s="136" t="s">
        <v>6090</v>
      </c>
      <c r="S4098" s="140"/>
    </row>
    <row r="4099" spans="1:19" hidden="1">
      <c r="A4099" s="142" t="s">
        <v>6204</v>
      </c>
      <c r="B4099" s="140" t="str">
        <f ca="1">IFERROR(VLOOKUP(Proc[[#This Row],[App]],Table2[],3,0),"open")</f>
        <v>open</v>
      </c>
      <c r="C4099" s="142" t="s">
        <v>369</v>
      </c>
      <c r="D4099" t="s">
        <v>5985</v>
      </c>
      <c r="E4099" t="s">
        <v>6201</v>
      </c>
      <c r="F4099" s="140" t="s">
        <v>6201</v>
      </c>
      <c r="G4099" s="142" t="s">
        <v>406</v>
      </c>
      <c r="H4099" s="140" t="str">
        <f ca="1">IF(Proc[[#This Row],[type]]="LFF (MDG-F)",MID(Proc[[#This Row],[Obj]],13,10),"")</f>
        <v>JP01L1M001</v>
      </c>
      <c r="J4099" s="140" t="b">
        <f ca="1">Proc[[#This Row],[Requested]]=Proc[[#This Row],[CurrentParent]]</f>
        <v>1</v>
      </c>
      <c r="K4099" s="140" t="str">
        <f ca="1">IF(Proc[[#This Row],[Author]]="Marcela Urrego",VLOOKUP(LEFT(Proc[[#This Row],[Requested]],1),Table3[#All],2,0),VLOOKUP(Proc[[#This Row],[Author]],Table4[],2,0))</f>
        <v>EL</v>
      </c>
      <c r="L4099" s="140" t="s">
        <v>4896</v>
      </c>
      <c r="M4099" s="136">
        <v>45902</v>
      </c>
      <c r="N4099" s="137"/>
      <c r="O4099" s="137"/>
      <c r="P4099" s="136" t="str">
        <f ca="1">IF(Proc[[#This Row],[DaysAgeing]]&gt;5,"yep","on track")</f>
        <v>on track</v>
      </c>
      <c r="Q4099" s="3">
        <f ca="1">IF(Proc[[#This Row],[DateClosed]]="",ABS(NETWORKDAYS(Proc[[#This Row],[DateOpened]],TODAY()))-1,ABS(NETWORKDAYS(Proc[[#This Row],[DateOpened]],Proc[[#This Row],[DateClosed]]))-1)</f>
        <v>5</v>
      </c>
      <c r="R4099" s="136" t="s">
        <v>6090</v>
      </c>
      <c r="S4099" s="140"/>
    </row>
    <row r="4100" spans="1:19" hidden="1">
      <c r="A4100" s="142" t="s">
        <v>6204</v>
      </c>
      <c r="B4100" s="140" t="str">
        <f ca="1">IFERROR(VLOOKUP(Proc[[#This Row],[App]],Table2[],3,0),"open")</f>
        <v>open</v>
      </c>
      <c r="C4100" s="142" t="s">
        <v>369</v>
      </c>
      <c r="D4100" t="s">
        <v>5982</v>
      </c>
      <c r="E4100" t="s">
        <v>784</v>
      </c>
      <c r="F4100" s="140" t="s">
        <v>784</v>
      </c>
      <c r="G4100" s="142" t="s">
        <v>406</v>
      </c>
      <c r="H4100" s="140" t="str">
        <f ca="1">IF(Proc[[#This Row],[type]]="LFF (MDG-F)",MID(Proc[[#This Row],[Obj]],13,10),"")</f>
        <v>JP01GPO303</v>
      </c>
      <c r="J4100" s="140" t="b">
        <f ca="1">Proc[[#This Row],[Requested]]=Proc[[#This Row],[CurrentParent]]</f>
        <v>1</v>
      </c>
      <c r="K4100" s="140" t="str">
        <f ca="1">IF(Proc[[#This Row],[Author]]="Marcela Urrego",VLOOKUP(LEFT(Proc[[#This Row],[Requested]],1),Table3[#All],2,0),VLOOKUP(Proc[[#This Row],[Author]],Table4[],2,0))</f>
        <v>EL</v>
      </c>
      <c r="L4100" s="140" t="s">
        <v>4896</v>
      </c>
      <c r="M4100" s="136">
        <v>45902</v>
      </c>
      <c r="N4100" s="137"/>
      <c r="O4100" s="137"/>
      <c r="P4100" s="136" t="str">
        <f ca="1">IF(Proc[[#This Row],[DaysAgeing]]&gt;5,"yep","on track")</f>
        <v>on track</v>
      </c>
      <c r="Q4100" s="3">
        <f ca="1">IF(Proc[[#This Row],[DateClosed]]="",ABS(NETWORKDAYS(Proc[[#This Row],[DateOpened]],TODAY()))-1,ABS(NETWORKDAYS(Proc[[#This Row],[DateOpened]],Proc[[#This Row],[DateClosed]]))-1)</f>
        <v>5</v>
      </c>
      <c r="R4100" s="136" t="s">
        <v>6090</v>
      </c>
      <c r="S4100" s="140"/>
    </row>
    <row r="4101" spans="1:19" hidden="1">
      <c r="A4101" s="142" t="s">
        <v>6204</v>
      </c>
      <c r="B4101" s="140" t="str">
        <f ca="1">IFERROR(VLOOKUP(Proc[[#This Row],[App]],Table2[],3,0),"open")</f>
        <v>open</v>
      </c>
      <c r="C4101" s="142" t="s">
        <v>369</v>
      </c>
      <c r="D4101" t="s">
        <v>5986</v>
      </c>
      <c r="E4101" t="s">
        <v>784</v>
      </c>
      <c r="F4101" s="140" t="s">
        <v>784</v>
      </c>
      <c r="G4101" s="142" t="s">
        <v>406</v>
      </c>
      <c r="H4101" s="140" t="str">
        <f ca="1">IF(Proc[[#This Row],[type]]="LFF (MDG-F)",MID(Proc[[#This Row],[Obj]],13,10),"")</f>
        <v>JP01L3K302</v>
      </c>
      <c r="J4101" s="140" t="b">
        <f ca="1">Proc[[#This Row],[Requested]]=Proc[[#This Row],[CurrentParent]]</f>
        <v>1</v>
      </c>
      <c r="K4101" s="140" t="str">
        <f ca="1">IF(Proc[[#This Row],[Author]]="Marcela Urrego",VLOOKUP(LEFT(Proc[[#This Row],[Requested]],1),Table3[#All],2,0),VLOOKUP(Proc[[#This Row],[Author]],Table4[],2,0))</f>
        <v>EL</v>
      </c>
      <c r="L4101" s="140" t="s">
        <v>4896</v>
      </c>
      <c r="M4101" s="136">
        <v>45902</v>
      </c>
      <c r="N4101" s="137"/>
      <c r="O4101" s="137"/>
      <c r="P4101" s="136" t="str">
        <f ca="1">IF(Proc[[#This Row],[DaysAgeing]]&gt;5,"yep","on track")</f>
        <v>on track</v>
      </c>
      <c r="Q4101" s="3">
        <f ca="1">IF(Proc[[#This Row],[DateClosed]]="",ABS(NETWORKDAYS(Proc[[#This Row],[DateOpened]],TODAY()))-1,ABS(NETWORKDAYS(Proc[[#This Row],[DateOpened]],Proc[[#This Row],[DateClosed]]))-1)</f>
        <v>5</v>
      </c>
      <c r="R4101" s="136" t="s">
        <v>6090</v>
      </c>
      <c r="S4101" s="140"/>
    </row>
    <row r="4102" spans="1:19" hidden="1">
      <c r="A4102" s="142" t="s">
        <v>6204</v>
      </c>
      <c r="B4102" s="140" t="str">
        <f ca="1">IFERROR(VLOOKUP(Proc[[#This Row],[App]],Table2[],3,0),"open")</f>
        <v>open</v>
      </c>
      <c r="C4102" s="142" t="s">
        <v>369</v>
      </c>
      <c r="D4102" t="s">
        <v>5987</v>
      </c>
      <c r="E4102" t="s">
        <v>6174</v>
      </c>
      <c r="F4102" s="140" t="s">
        <v>6174</v>
      </c>
      <c r="G4102" s="142" t="s">
        <v>406</v>
      </c>
      <c r="H4102" s="140" t="str">
        <f ca="1">IF(Proc[[#This Row],[type]]="LFF (MDG-F)",MID(Proc[[#This Row],[Obj]],13,10),"")</f>
        <v>JP01L3K304</v>
      </c>
      <c r="J4102" s="140" t="b">
        <f ca="1">Proc[[#This Row],[Requested]]=Proc[[#This Row],[CurrentParent]]</f>
        <v>1</v>
      </c>
      <c r="K4102" s="140" t="str">
        <f ca="1">IF(Proc[[#This Row],[Author]]="Marcela Urrego",VLOOKUP(LEFT(Proc[[#This Row],[Requested]],1),Table3[#All],2,0),VLOOKUP(Proc[[#This Row],[Author]],Table4[],2,0))</f>
        <v>EL</v>
      </c>
      <c r="L4102" s="140" t="s">
        <v>4896</v>
      </c>
      <c r="M4102" s="136">
        <v>45902</v>
      </c>
      <c r="N4102" s="137"/>
      <c r="O4102" s="137"/>
      <c r="P4102" s="136" t="str">
        <f ca="1">IF(Proc[[#This Row],[DaysAgeing]]&gt;5,"yep","on track")</f>
        <v>on track</v>
      </c>
      <c r="Q4102" s="3">
        <f ca="1">IF(Proc[[#This Row],[DateClosed]]="",ABS(NETWORKDAYS(Proc[[#This Row],[DateOpened]],TODAY()))-1,ABS(NETWORKDAYS(Proc[[#This Row],[DateOpened]],Proc[[#This Row],[DateClosed]]))-1)</f>
        <v>5</v>
      </c>
      <c r="R4102" s="136" t="s">
        <v>6090</v>
      </c>
      <c r="S4102" s="140"/>
    </row>
    <row r="4103" spans="1:19" hidden="1">
      <c r="A4103" s="142" t="s">
        <v>6204</v>
      </c>
      <c r="B4103" s="140" t="str">
        <f ca="1">IFERROR(VLOOKUP(Proc[[#This Row],[App]],Table2[],3,0),"open")</f>
        <v>open</v>
      </c>
      <c r="C4103" s="142" t="s">
        <v>369</v>
      </c>
      <c r="D4103" t="s">
        <v>5988</v>
      </c>
      <c r="E4103" t="s">
        <v>784</v>
      </c>
      <c r="F4103" s="140" t="s">
        <v>784</v>
      </c>
      <c r="G4103" s="142" t="s">
        <v>406</v>
      </c>
      <c r="H4103" s="140" t="str">
        <f ca="1">IF(Proc[[#This Row],[type]]="LFF (MDG-F)",MID(Proc[[#This Row],[Obj]],13,10),"")</f>
        <v>JP01L3M301</v>
      </c>
      <c r="J4103" s="140" t="b">
        <f ca="1">Proc[[#This Row],[Requested]]=Proc[[#This Row],[CurrentParent]]</f>
        <v>1</v>
      </c>
      <c r="K4103" s="140" t="str">
        <f ca="1">IF(Proc[[#This Row],[Author]]="Marcela Urrego",VLOOKUP(LEFT(Proc[[#This Row],[Requested]],1),Table3[#All],2,0),VLOOKUP(Proc[[#This Row],[Author]],Table4[],2,0))</f>
        <v>EL</v>
      </c>
      <c r="L4103" s="140" t="s">
        <v>4896</v>
      </c>
      <c r="M4103" s="136">
        <v>45902</v>
      </c>
      <c r="N4103" s="137"/>
      <c r="O4103" s="137"/>
      <c r="P4103" s="136" t="str">
        <f ca="1">IF(Proc[[#This Row],[DaysAgeing]]&gt;5,"yep","on track")</f>
        <v>on track</v>
      </c>
      <c r="Q4103" s="3">
        <f ca="1">IF(Proc[[#This Row],[DateClosed]]="",ABS(NETWORKDAYS(Proc[[#This Row],[DateOpened]],TODAY()))-1,ABS(NETWORKDAYS(Proc[[#This Row],[DateOpened]],Proc[[#This Row],[DateClosed]]))-1)</f>
        <v>5</v>
      </c>
      <c r="R4103" s="136" t="s">
        <v>6090</v>
      </c>
      <c r="S4103" s="140"/>
    </row>
    <row r="4104" spans="1:19" hidden="1">
      <c r="A4104" s="142" t="s">
        <v>6204</v>
      </c>
      <c r="B4104" s="140" t="str">
        <f ca="1">IFERROR(VLOOKUP(Proc[[#This Row],[App]],Table2[],3,0),"open")</f>
        <v>open</v>
      </c>
      <c r="C4104" s="142" t="s">
        <v>369</v>
      </c>
      <c r="D4104" t="s">
        <v>5989</v>
      </c>
      <c r="E4104" t="s">
        <v>6174</v>
      </c>
      <c r="F4104" s="140" t="s">
        <v>6174</v>
      </c>
      <c r="G4104" s="142" t="s">
        <v>406</v>
      </c>
      <c r="H4104" s="140" t="str">
        <f ca="1">IF(Proc[[#This Row],[type]]="LFF (MDG-F)",MID(Proc[[#This Row],[Obj]],13,10),"")</f>
        <v>JP01L3M303</v>
      </c>
      <c r="J4104" s="140" t="b">
        <f ca="1">Proc[[#This Row],[Requested]]=Proc[[#This Row],[CurrentParent]]</f>
        <v>1</v>
      </c>
      <c r="K4104" s="140" t="str">
        <f ca="1">IF(Proc[[#This Row],[Author]]="Marcela Urrego",VLOOKUP(LEFT(Proc[[#This Row],[Requested]],1),Table3[#All],2,0),VLOOKUP(Proc[[#This Row],[Author]],Table4[],2,0))</f>
        <v>EL</v>
      </c>
      <c r="L4104" s="140" t="s">
        <v>4896</v>
      </c>
      <c r="M4104" s="136">
        <v>45902</v>
      </c>
      <c r="N4104" s="137"/>
      <c r="O4104" s="137"/>
      <c r="P4104" s="136" t="str">
        <f ca="1">IF(Proc[[#This Row],[DaysAgeing]]&gt;5,"yep","on track")</f>
        <v>on track</v>
      </c>
      <c r="Q4104" s="3">
        <f ca="1">IF(Proc[[#This Row],[DateClosed]]="",ABS(NETWORKDAYS(Proc[[#This Row],[DateOpened]],TODAY()))-1,ABS(NETWORKDAYS(Proc[[#This Row],[DateOpened]],Proc[[#This Row],[DateClosed]]))-1)</f>
        <v>5</v>
      </c>
      <c r="R4104" s="136" t="s">
        <v>6090</v>
      </c>
      <c r="S4104" s="140"/>
    </row>
    <row r="4105" spans="1:19" hidden="1">
      <c r="A4105" s="142" t="s">
        <v>6204</v>
      </c>
      <c r="B4105" s="140" t="str">
        <f ca="1">IFERROR(VLOOKUP(Proc[[#This Row],[App]],Table2[],3,0),"open")</f>
        <v>open</v>
      </c>
      <c r="C4105" s="142" t="s">
        <v>369</v>
      </c>
      <c r="D4105" t="s">
        <v>5990</v>
      </c>
      <c r="E4105" t="s">
        <v>6174</v>
      </c>
      <c r="F4105" s="140" t="s">
        <v>6174</v>
      </c>
      <c r="G4105" s="142" t="s">
        <v>406</v>
      </c>
      <c r="H4105" s="140" t="str">
        <f ca="1">IF(Proc[[#This Row],[type]]="LFF (MDG-F)",MID(Proc[[#This Row],[Obj]],13,10),"")</f>
        <v>JP01L4M301</v>
      </c>
      <c r="J4105" s="140" t="b">
        <f ca="1">Proc[[#This Row],[Requested]]=Proc[[#This Row],[CurrentParent]]</f>
        <v>1</v>
      </c>
      <c r="K4105" s="140" t="str">
        <f ca="1">IF(Proc[[#This Row],[Author]]="Marcela Urrego",VLOOKUP(LEFT(Proc[[#This Row],[Requested]],1),Table3[#All],2,0),VLOOKUP(Proc[[#This Row],[Author]],Table4[],2,0))</f>
        <v>EL</v>
      </c>
      <c r="L4105" s="140" t="s">
        <v>4896</v>
      </c>
      <c r="M4105" s="136">
        <v>45902</v>
      </c>
      <c r="N4105" s="137"/>
      <c r="O4105" s="137"/>
      <c r="P4105" s="136" t="str">
        <f ca="1">IF(Proc[[#This Row],[DaysAgeing]]&gt;5,"yep","on track")</f>
        <v>on track</v>
      </c>
      <c r="Q4105" s="3">
        <f ca="1">IF(Proc[[#This Row],[DateClosed]]="",ABS(NETWORKDAYS(Proc[[#This Row],[DateOpened]],TODAY()))-1,ABS(NETWORKDAYS(Proc[[#This Row],[DateOpened]],Proc[[#This Row],[DateClosed]]))-1)</f>
        <v>5</v>
      </c>
      <c r="R4105" s="136" t="s">
        <v>6090</v>
      </c>
      <c r="S4105" s="140"/>
    </row>
    <row r="4106" spans="1:19" hidden="1">
      <c r="A4106" s="142" t="s">
        <v>6204</v>
      </c>
      <c r="B4106" s="140" t="str">
        <f ca="1">IFERROR(VLOOKUP(Proc[[#This Row],[App]],Table2[],3,0),"open")</f>
        <v>open</v>
      </c>
      <c r="C4106" s="142" t="s">
        <v>369</v>
      </c>
      <c r="D4106" t="s">
        <v>5992</v>
      </c>
      <c r="E4106" t="s">
        <v>6172</v>
      </c>
      <c r="F4106" s="140" t="s">
        <v>6172</v>
      </c>
      <c r="G4106" s="142" t="s">
        <v>406</v>
      </c>
      <c r="H4106" s="140" t="str">
        <f ca="1">IF(Proc[[#This Row],[type]]="LFF (MDG-F)",MID(Proc[[#This Row],[Obj]],13,10),"")</f>
        <v>JP01L5M301</v>
      </c>
      <c r="J4106" s="140" t="b">
        <f ca="1">Proc[[#This Row],[Requested]]=Proc[[#This Row],[CurrentParent]]</f>
        <v>1</v>
      </c>
      <c r="K4106" s="140" t="str">
        <f ca="1">IF(Proc[[#This Row],[Author]]="Marcela Urrego",VLOOKUP(LEFT(Proc[[#This Row],[Requested]],1),Table3[#All],2,0),VLOOKUP(Proc[[#This Row],[Author]],Table4[],2,0))</f>
        <v>EL</v>
      </c>
      <c r="L4106" s="140" t="s">
        <v>4896</v>
      </c>
      <c r="M4106" s="136">
        <v>45902</v>
      </c>
      <c r="N4106" s="137"/>
      <c r="O4106" s="137"/>
      <c r="P4106" s="136" t="str">
        <f ca="1">IF(Proc[[#This Row],[DaysAgeing]]&gt;5,"yep","on track")</f>
        <v>on track</v>
      </c>
      <c r="Q4106" s="3">
        <f ca="1">IF(Proc[[#This Row],[DateClosed]]="",ABS(NETWORKDAYS(Proc[[#This Row],[DateOpened]],TODAY()))-1,ABS(NETWORKDAYS(Proc[[#This Row],[DateOpened]],Proc[[#This Row],[DateClosed]]))-1)</f>
        <v>5</v>
      </c>
      <c r="R4106" s="136" t="s">
        <v>6090</v>
      </c>
      <c r="S4106" s="140"/>
    </row>
    <row r="4107" spans="1:19" hidden="1">
      <c r="A4107" s="142" t="s">
        <v>6204</v>
      </c>
      <c r="B4107" s="140" t="str">
        <f ca="1">IFERROR(VLOOKUP(Proc[[#This Row],[App]],Table2[],3,0),"open")</f>
        <v>open</v>
      </c>
      <c r="C4107" s="142" t="s">
        <v>369</v>
      </c>
      <c r="D4107" t="s">
        <v>5994</v>
      </c>
      <c r="E4107" t="s">
        <v>6174</v>
      </c>
      <c r="F4107" s="140" t="s">
        <v>6174</v>
      </c>
      <c r="G4107" s="142" t="s">
        <v>406</v>
      </c>
      <c r="H4107" s="140" t="str">
        <f ca="1">IF(Proc[[#This Row],[type]]="LFF (MDG-F)",MID(Proc[[#This Row],[Obj]],13,10),"")</f>
        <v>JP01L7M301</v>
      </c>
      <c r="J4107" s="140" t="b">
        <f ca="1">Proc[[#This Row],[Requested]]=Proc[[#This Row],[CurrentParent]]</f>
        <v>1</v>
      </c>
      <c r="K4107" s="140" t="str">
        <f ca="1">IF(Proc[[#This Row],[Author]]="Marcela Urrego",VLOOKUP(LEFT(Proc[[#This Row],[Requested]],1),Table3[#All],2,0),VLOOKUP(Proc[[#This Row],[Author]],Table4[],2,0))</f>
        <v>EL</v>
      </c>
      <c r="L4107" s="140" t="s">
        <v>4896</v>
      </c>
      <c r="M4107" s="136">
        <v>45902</v>
      </c>
      <c r="N4107" s="137"/>
      <c r="O4107" s="137"/>
      <c r="P4107" s="136" t="str">
        <f ca="1">IF(Proc[[#This Row],[DaysAgeing]]&gt;5,"yep","on track")</f>
        <v>on track</v>
      </c>
      <c r="Q4107" s="3">
        <f ca="1">IF(Proc[[#This Row],[DateClosed]]="",ABS(NETWORKDAYS(Proc[[#This Row],[DateOpened]],TODAY()))-1,ABS(NETWORKDAYS(Proc[[#This Row],[DateOpened]],Proc[[#This Row],[DateClosed]]))-1)</f>
        <v>5</v>
      </c>
      <c r="R4107" s="136" t="s">
        <v>6090</v>
      </c>
      <c r="S4107" s="140"/>
    </row>
    <row r="4108" spans="1:19" hidden="1">
      <c r="A4108" s="142" t="s">
        <v>6204</v>
      </c>
      <c r="B4108" s="140" t="str">
        <f ca="1">IFERROR(VLOOKUP(Proc[[#This Row],[App]],Table2[],3,0),"open")</f>
        <v>open</v>
      </c>
      <c r="C4108" s="142" t="s">
        <v>369</v>
      </c>
      <c r="D4108" t="s">
        <v>5960</v>
      </c>
      <c r="E4108" t="s">
        <v>413</v>
      </c>
      <c r="F4108" s="140" t="s">
        <v>413</v>
      </c>
      <c r="G4108" s="142" t="s">
        <v>406</v>
      </c>
      <c r="H4108" s="140" t="str">
        <f ca="1">IF(Proc[[#This Row],[type]]="LFF (MDG-F)",MID(Proc[[#This Row],[Obj]],13,10),"")</f>
        <v>JP01GBT301</v>
      </c>
      <c r="J4108" s="140" t="b">
        <f ca="1">Proc[[#This Row],[Requested]]=Proc[[#This Row],[CurrentParent]]</f>
        <v>1</v>
      </c>
      <c r="K4108" s="140" t="str">
        <f ca="1">IF(Proc[[#This Row],[Author]]="Marcela Urrego",VLOOKUP(LEFT(Proc[[#This Row],[Requested]],1),Table3[#All],2,0),VLOOKUP(Proc[[#This Row],[Author]],Table4[],2,0))</f>
        <v>EL</v>
      </c>
      <c r="L4108" s="140" t="s">
        <v>4896</v>
      </c>
      <c r="M4108" s="136">
        <v>45902</v>
      </c>
      <c r="N4108" s="137"/>
      <c r="O4108" s="137"/>
      <c r="P4108" s="136" t="str">
        <f ca="1">IF(Proc[[#This Row],[DaysAgeing]]&gt;5,"yep","on track")</f>
        <v>on track</v>
      </c>
      <c r="Q4108" s="3">
        <f ca="1">IF(Proc[[#This Row],[DateClosed]]="",ABS(NETWORKDAYS(Proc[[#This Row],[DateOpened]],TODAY()))-1,ABS(NETWORKDAYS(Proc[[#This Row],[DateOpened]],Proc[[#This Row],[DateClosed]]))-1)</f>
        <v>5</v>
      </c>
      <c r="R4108" s="136" t="s">
        <v>6090</v>
      </c>
      <c r="S4108" s="140"/>
    </row>
    <row r="4109" spans="1:19" hidden="1">
      <c r="A4109" s="142" t="s">
        <v>6204</v>
      </c>
      <c r="B4109" s="140" t="str">
        <f ca="1">IFERROR(VLOOKUP(Proc[[#This Row],[App]],Table2[],3,0),"open")</f>
        <v>open</v>
      </c>
      <c r="C4109" s="142" t="s">
        <v>369</v>
      </c>
      <c r="D4109" t="s">
        <v>5961</v>
      </c>
      <c r="E4109" t="s">
        <v>413</v>
      </c>
      <c r="F4109" s="140" t="s">
        <v>413</v>
      </c>
      <c r="G4109" s="142" t="s">
        <v>406</v>
      </c>
      <c r="H4109" s="140" t="str">
        <f ca="1">IF(Proc[[#This Row],[type]]="LFF (MDG-F)",MID(Proc[[#This Row],[Obj]],13,10),"")</f>
        <v>JP01GBT303</v>
      </c>
      <c r="J4109" s="140" t="b">
        <f ca="1">Proc[[#This Row],[Requested]]=Proc[[#This Row],[CurrentParent]]</f>
        <v>1</v>
      </c>
      <c r="K4109" s="140" t="str">
        <f ca="1">IF(Proc[[#This Row],[Author]]="Marcela Urrego",VLOOKUP(LEFT(Proc[[#This Row],[Requested]],1),Table3[#All],2,0),VLOOKUP(Proc[[#This Row],[Author]],Table4[],2,0))</f>
        <v>EL</v>
      </c>
      <c r="L4109" s="140" t="s">
        <v>4896</v>
      </c>
      <c r="M4109" s="136">
        <v>45902</v>
      </c>
      <c r="N4109" s="137"/>
      <c r="O4109" s="137"/>
      <c r="P4109" s="136" t="str">
        <f ca="1">IF(Proc[[#This Row],[DaysAgeing]]&gt;5,"yep","on track")</f>
        <v>on track</v>
      </c>
      <c r="Q4109" s="3">
        <f ca="1">IF(Proc[[#This Row],[DateClosed]]="",ABS(NETWORKDAYS(Proc[[#This Row],[DateOpened]],TODAY()))-1,ABS(NETWORKDAYS(Proc[[#This Row],[DateOpened]],Proc[[#This Row],[DateClosed]]))-1)</f>
        <v>5</v>
      </c>
      <c r="R4109" s="136" t="s">
        <v>6090</v>
      </c>
      <c r="S4109" s="140"/>
    </row>
    <row r="4110" spans="1:19" hidden="1">
      <c r="A4110" s="142" t="s">
        <v>6204</v>
      </c>
      <c r="B4110" s="140" t="str">
        <f ca="1">IFERROR(VLOOKUP(Proc[[#This Row],[App]],Table2[],3,0),"open")</f>
        <v>open</v>
      </c>
      <c r="C4110" s="142" t="s">
        <v>369</v>
      </c>
      <c r="D4110" t="s">
        <v>5962</v>
      </c>
      <c r="E4110" t="s">
        <v>413</v>
      </c>
      <c r="F4110" s="140" t="s">
        <v>413</v>
      </c>
      <c r="G4110" s="142" t="s">
        <v>406</v>
      </c>
      <c r="H4110" s="140" t="str">
        <f ca="1">IF(Proc[[#This Row],[type]]="LFF (MDG-F)",MID(Proc[[#This Row],[Obj]],13,10),"")</f>
        <v>JP01GBT304</v>
      </c>
      <c r="J4110" s="140" t="b">
        <f ca="1">Proc[[#This Row],[Requested]]=Proc[[#This Row],[CurrentParent]]</f>
        <v>1</v>
      </c>
      <c r="K4110" s="140" t="str">
        <f ca="1">IF(Proc[[#This Row],[Author]]="Marcela Urrego",VLOOKUP(LEFT(Proc[[#This Row],[Requested]],1),Table3[#All],2,0),VLOOKUP(Proc[[#This Row],[Author]],Table4[],2,0))</f>
        <v>EL</v>
      </c>
      <c r="L4110" s="140" t="s">
        <v>4896</v>
      </c>
      <c r="M4110" s="136">
        <v>45902</v>
      </c>
      <c r="N4110" s="137"/>
      <c r="O4110" s="137"/>
      <c r="P4110" s="136" t="str">
        <f ca="1">IF(Proc[[#This Row],[DaysAgeing]]&gt;5,"yep","on track")</f>
        <v>on track</v>
      </c>
      <c r="Q4110" s="3">
        <f ca="1">IF(Proc[[#This Row],[DateClosed]]="",ABS(NETWORKDAYS(Proc[[#This Row],[DateOpened]],TODAY()))-1,ABS(NETWORKDAYS(Proc[[#This Row],[DateOpened]],Proc[[#This Row],[DateClosed]]))-1)</f>
        <v>5</v>
      </c>
      <c r="R4110" s="136" t="s">
        <v>6090</v>
      </c>
      <c r="S4110" s="140"/>
    </row>
    <row r="4111" spans="1:19" hidden="1">
      <c r="A4111" s="142" t="s">
        <v>6204</v>
      </c>
      <c r="B4111" s="140" t="str">
        <f ca="1">IFERROR(VLOOKUP(Proc[[#This Row],[App]],Table2[],3,0),"open")</f>
        <v>open</v>
      </c>
      <c r="C4111" s="142" t="s">
        <v>369</v>
      </c>
      <c r="D4111" t="s">
        <v>5966</v>
      </c>
      <c r="E4111" t="s">
        <v>413</v>
      </c>
      <c r="F4111" s="140" t="s">
        <v>413</v>
      </c>
      <c r="G4111" s="142" t="s">
        <v>406</v>
      </c>
      <c r="H4111" s="140" t="str">
        <f ca="1">IF(Proc[[#This Row],[type]]="LFF (MDG-F)",MID(Proc[[#This Row],[Obj]],13,10),"")</f>
        <v>JP01GFO300</v>
      </c>
      <c r="J4111" s="140" t="b">
        <f ca="1">Proc[[#This Row],[Requested]]=Proc[[#This Row],[CurrentParent]]</f>
        <v>1</v>
      </c>
      <c r="K4111" s="140" t="str">
        <f ca="1">IF(Proc[[#This Row],[Author]]="Marcela Urrego",VLOOKUP(LEFT(Proc[[#This Row],[Requested]],1),Table3[#All],2,0),VLOOKUP(Proc[[#This Row],[Author]],Table4[],2,0))</f>
        <v>EL</v>
      </c>
      <c r="L4111" s="140" t="s">
        <v>4896</v>
      </c>
      <c r="M4111" s="136">
        <v>45902</v>
      </c>
      <c r="N4111" s="137"/>
      <c r="O4111" s="137"/>
      <c r="P4111" s="136" t="str">
        <f ca="1">IF(Proc[[#This Row],[DaysAgeing]]&gt;5,"yep","on track")</f>
        <v>on track</v>
      </c>
      <c r="Q4111" s="3">
        <f ca="1">IF(Proc[[#This Row],[DateClosed]]="",ABS(NETWORKDAYS(Proc[[#This Row],[DateOpened]],TODAY()))-1,ABS(NETWORKDAYS(Proc[[#This Row],[DateOpened]],Proc[[#This Row],[DateClosed]]))-1)</f>
        <v>5</v>
      </c>
      <c r="R4111" s="136" t="s">
        <v>6090</v>
      </c>
      <c r="S4111" s="140"/>
    </row>
    <row r="4112" spans="1:19" hidden="1">
      <c r="A4112" s="142" t="s">
        <v>6204</v>
      </c>
      <c r="B4112" s="140" t="str">
        <f ca="1">IFERROR(VLOOKUP(Proc[[#This Row],[App]],Table2[],3,0),"open")</f>
        <v>open</v>
      </c>
      <c r="C4112" s="142" t="s">
        <v>369</v>
      </c>
      <c r="D4112" t="s">
        <v>5972</v>
      </c>
      <c r="E4112" t="s">
        <v>6202</v>
      </c>
      <c r="F4112" s="140" t="s">
        <v>6202</v>
      </c>
      <c r="G4112" s="142" t="s">
        <v>406</v>
      </c>
      <c r="H4112" s="140" t="str">
        <f ca="1">IF(Proc[[#This Row],[type]]="LFF (MDG-F)",MID(Proc[[#This Row],[Obj]],13,10),"")</f>
        <v>JP01GLE302</v>
      </c>
      <c r="J4112" s="140" t="b">
        <f ca="1">Proc[[#This Row],[Requested]]=Proc[[#This Row],[CurrentParent]]</f>
        <v>1</v>
      </c>
      <c r="K4112" s="140" t="str">
        <f ca="1">IF(Proc[[#This Row],[Author]]="Marcela Urrego",VLOOKUP(LEFT(Proc[[#This Row],[Requested]],1),Table3[#All],2,0),VLOOKUP(Proc[[#This Row],[Author]],Table4[],2,0))</f>
        <v>EL</v>
      </c>
      <c r="L4112" s="140" t="s">
        <v>4896</v>
      </c>
      <c r="M4112" s="136">
        <v>45902</v>
      </c>
      <c r="N4112" s="137"/>
      <c r="O4112" s="137"/>
      <c r="P4112" s="136" t="str">
        <f ca="1">IF(Proc[[#This Row],[DaysAgeing]]&gt;5,"yep","on track")</f>
        <v>on track</v>
      </c>
      <c r="Q4112" s="3">
        <f ca="1">IF(Proc[[#This Row],[DateClosed]]="",ABS(NETWORKDAYS(Proc[[#This Row],[DateOpened]],TODAY()))-1,ABS(NETWORKDAYS(Proc[[#This Row],[DateOpened]],Proc[[#This Row],[DateClosed]]))-1)</f>
        <v>5</v>
      </c>
      <c r="R4112" s="136" t="s">
        <v>6090</v>
      </c>
      <c r="S4112" s="140"/>
    </row>
    <row r="4113" spans="1:19" hidden="1">
      <c r="A4113" s="142" t="s">
        <v>6204</v>
      </c>
      <c r="B4113" s="140" t="str">
        <f ca="1">IFERROR(VLOOKUP(Proc[[#This Row],[App]],Table2[],3,0),"open")</f>
        <v>open</v>
      </c>
      <c r="C4113" s="144" t="s">
        <v>370</v>
      </c>
      <c r="D4113" t="s">
        <v>5973</v>
      </c>
      <c r="E4113" t="s">
        <v>2505</v>
      </c>
      <c r="F4113" s="140" t="s">
        <v>6062</v>
      </c>
      <c r="G4113" s="142" t="s">
        <v>406</v>
      </c>
      <c r="H4113" s="140" t="str">
        <f ca="1">IF(Proc[[#This Row],[type]]="LFF (MDG-F)",MID(Proc[[#This Row],[Obj]],13,10),"")</f>
        <v>JP01GM1002</v>
      </c>
      <c r="J4113" s="140" t="b">
        <f ca="1">Proc[[#This Row],[Requested]]=Proc[[#This Row],[CurrentParent]]</f>
        <v>0</v>
      </c>
      <c r="K4113" s="140" t="str">
        <f ca="1">IF(Proc[[#This Row],[Author]]="Marcela Urrego",VLOOKUP(LEFT(Proc[[#This Row],[Requested]],1),Table3[#All],2,0),VLOOKUP(Proc[[#This Row],[Author]],Table4[],2,0))</f>
        <v>EL</v>
      </c>
      <c r="L4113" s="140" t="s">
        <v>4896</v>
      </c>
      <c r="M4113" s="136">
        <v>45902</v>
      </c>
      <c r="N4113" s="137"/>
      <c r="O4113" s="137"/>
      <c r="P4113" s="136" t="str">
        <f ca="1">IF(Proc[[#This Row],[DaysAgeing]]&gt;5,"yep","on track")</f>
        <v>on track</v>
      </c>
      <c r="Q4113" s="3">
        <f ca="1">IF(Proc[[#This Row],[DateClosed]]="",ABS(NETWORKDAYS(Proc[[#This Row],[DateOpened]],TODAY()))-1,ABS(NETWORKDAYS(Proc[[#This Row],[DateOpened]],Proc[[#This Row],[DateClosed]]))-1)</f>
        <v>5</v>
      </c>
      <c r="R4113" s="136" t="s">
        <v>6090</v>
      </c>
      <c r="S4113" s="140"/>
    </row>
    <row r="4114" spans="1:19" hidden="1">
      <c r="A4114" s="142" t="s">
        <v>6204</v>
      </c>
      <c r="B4114" s="140" t="str">
        <f ca="1">IFERROR(VLOOKUP(Proc[[#This Row],[App]],Table2[],3,0),"open")</f>
        <v>open</v>
      </c>
      <c r="C4114" s="142" t="s">
        <v>369</v>
      </c>
      <c r="D4114" t="s">
        <v>5976</v>
      </c>
      <c r="E4114" t="s">
        <v>413</v>
      </c>
      <c r="F4114" s="140" t="s">
        <v>413</v>
      </c>
      <c r="G4114" s="142" t="s">
        <v>406</v>
      </c>
      <c r="H4114" s="140" t="str">
        <f ca="1">IF(Proc[[#This Row],[type]]="LFF (MDG-F)",MID(Proc[[#This Row],[Obj]],13,10),"")</f>
        <v>JP01GM8001</v>
      </c>
      <c r="J4114" s="140" t="b">
        <f ca="1">Proc[[#This Row],[Requested]]=Proc[[#This Row],[CurrentParent]]</f>
        <v>1</v>
      </c>
      <c r="K4114" s="140" t="str">
        <f ca="1">IF(Proc[[#This Row],[Author]]="Marcela Urrego",VLOOKUP(LEFT(Proc[[#This Row],[Requested]],1),Table3[#All],2,0),VLOOKUP(Proc[[#This Row],[Author]],Table4[],2,0))</f>
        <v>EL</v>
      </c>
      <c r="L4114" s="140" t="s">
        <v>4896</v>
      </c>
      <c r="M4114" s="136">
        <v>45902</v>
      </c>
      <c r="N4114" s="137"/>
      <c r="O4114" s="137"/>
      <c r="P4114" s="136" t="str">
        <f ca="1">IF(Proc[[#This Row],[DaysAgeing]]&gt;5,"yep","on track")</f>
        <v>on track</v>
      </c>
      <c r="Q4114" s="3">
        <f ca="1">IF(Proc[[#This Row],[DateClosed]]="",ABS(NETWORKDAYS(Proc[[#This Row],[DateOpened]],TODAY()))-1,ABS(NETWORKDAYS(Proc[[#This Row],[DateOpened]],Proc[[#This Row],[DateClosed]]))-1)</f>
        <v>5</v>
      </c>
      <c r="R4114" s="136" t="s">
        <v>6090</v>
      </c>
      <c r="S4114" s="140"/>
    </row>
    <row r="4115" spans="1:19" hidden="1">
      <c r="A4115" s="142" t="s">
        <v>6204</v>
      </c>
      <c r="B4115" s="140" t="str">
        <f ca="1">IFERROR(VLOOKUP(Proc[[#This Row],[App]],Table2[],3,0),"open")</f>
        <v>open</v>
      </c>
      <c r="C4115" s="142" t="s">
        <v>369</v>
      </c>
      <c r="D4115" t="s">
        <v>5978</v>
      </c>
      <c r="E4115" t="s">
        <v>1221</v>
      </c>
      <c r="F4115" s="140" t="s">
        <v>1221</v>
      </c>
      <c r="G4115" s="142" t="s">
        <v>406</v>
      </c>
      <c r="H4115" s="140" t="str">
        <f ca="1">IF(Proc[[#This Row],[type]]="LFF (MDG-F)",MID(Proc[[#This Row],[Obj]],13,10),"")</f>
        <v>JP01GMB040</v>
      </c>
      <c r="J4115" s="140" t="b">
        <f ca="1">Proc[[#This Row],[Requested]]=Proc[[#This Row],[CurrentParent]]</f>
        <v>1</v>
      </c>
      <c r="K4115" s="140" t="str">
        <f ca="1">IF(Proc[[#This Row],[Author]]="Marcela Urrego",VLOOKUP(LEFT(Proc[[#This Row],[Requested]],1),Table3[#All],2,0),VLOOKUP(Proc[[#This Row],[Author]],Table4[],2,0))</f>
        <v>EL</v>
      </c>
      <c r="L4115" s="140" t="s">
        <v>4896</v>
      </c>
      <c r="M4115" s="136">
        <v>45902</v>
      </c>
      <c r="N4115" s="137"/>
      <c r="O4115" s="137"/>
      <c r="P4115" s="136" t="str">
        <f ca="1">IF(Proc[[#This Row],[DaysAgeing]]&gt;5,"yep","on track")</f>
        <v>on track</v>
      </c>
      <c r="Q4115" s="3">
        <f ca="1">IF(Proc[[#This Row],[DateClosed]]="",ABS(NETWORKDAYS(Proc[[#This Row],[DateOpened]],TODAY()))-1,ABS(NETWORKDAYS(Proc[[#This Row],[DateOpened]],Proc[[#This Row],[DateClosed]]))-1)</f>
        <v>5</v>
      </c>
      <c r="R4115" s="136" t="s">
        <v>6090</v>
      </c>
      <c r="S4115" s="140"/>
    </row>
    <row r="4116" spans="1:19" hidden="1">
      <c r="A4116" s="142" t="s">
        <v>6204</v>
      </c>
      <c r="B4116" s="140" t="str">
        <f ca="1">IFERROR(VLOOKUP(Proc[[#This Row],[App]],Table2[],3,0),"open")</f>
        <v>open</v>
      </c>
      <c r="C4116" s="142" t="s">
        <v>369</v>
      </c>
      <c r="D4116" t="s">
        <v>5995</v>
      </c>
      <c r="E4116" t="s">
        <v>6174</v>
      </c>
      <c r="F4116" s="140" t="s">
        <v>6174</v>
      </c>
      <c r="G4116" s="142" t="s">
        <v>406</v>
      </c>
      <c r="H4116" s="140" t="str">
        <f ca="1">IF(Proc[[#This Row],[type]]="LFF (MDG-F)",MID(Proc[[#This Row],[Obj]],13,10),"")</f>
        <v>JP01L7M302</v>
      </c>
      <c r="J4116" s="140" t="b">
        <f ca="1">Proc[[#This Row],[Requested]]=Proc[[#This Row],[CurrentParent]]</f>
        <v>1</v>
      </c>
      <c r="K4116" s="140" t="str">
        <f ca="1">IF(Proc[[#This Row],[Author]]="Marcela Urrego",VLOOKUP(LEFT(Proc[[#This Row],[Requested]],1),Table3[#All],2,0),VLOOKUP(Proc[[#This Row],[Author]],Table4[],2,0))</f>
        <v>EL</v>
      </c>
      <c r="L4116" s="140" t="s">
        <v>4896</v>
      </c>
      <c r="M4116" s="136">
        <v>45902</v>
      </c>
      <c r="N4116" s="137"/>
      <c r="O4116" s="137"/>
      <c r="P4116" s="136" t="str">
        <f ca="1">IF(Proc[[#This Row],[DaysAgeing]]&gt;5,"yep","on track")</f>
        <v>on track</v>
      </c>
      <c r="Q4116" s="3">
        <f ca="1">IF(Proc[[#This Row],[DateClosed]]="",ABS(NETWORKDAYS(Proc[[#This Row],[DateOpened]],TODAY()))-1,ABS(NETWORKDAYS(Proc[[#This Row],[DateOpened]],Proc[[#This Row],[DateClosed]]))-1)</f>
        <v>5</v>
      </c>
      <c r="R4116" s="136" t="s">
        <v>6090</v>
      </c>
      <c r="S4116" s="140"/>
    </row>
    <row r="4117" spans="1:19" hidden="1">
      <c r="A4117" s="142" t="s">
        <v>6204</v>
      </c>
      <c r="B4117" s="140" t="str">
        <f ca="1">IFERROR(VLOOKUP(Proc[[#This Row],[App]],Table2[],3,0),"open")</f>
        <v>open</v>
      </c>
      <c r="C4117" s="142" t="s">
        <v>369</v>
      </c>
      <c r="D4117" t="s">
        <v>6002</v>
      </c>
      <c r="E4117" t="s">
        <v>6203</v>
      </c>
      <c r="F4117" s="140" t="s">
        <v>6203</v>
      </c>
      <c r="G4117" s="142" t="s">
        <v>406</v>
      </c>
      <c r="H4117" s="140" t="str">
        <f ca="1">IF(Proc[[#This Row],[type]]="LFF (MDG-F)",MID(Proc[[#This Row],[Obj]],13,10),"")</f>
        <v>JP01OF0203</v>
      </c>
      <c r="J4117" s="140" t="b">
        <f ca="1">Proc[[#This Row],[Requested]]=Proc[[#This Row],[CurrentParent]]</f>
        <v>1</v>
      </c>
      <c r="K4117" s="140" t="str">
        <f ca="1">IF(Proc[[#This Row],[Author]]="Marcela Urrego",VLOOKUP(LEFT(Proc[[#This Row],[Requested]],1),Table3[#All],2,0),VLOOKUP(Proc[[#This Row],[Author]],Table4[],2,0))</f>
        <v>EL</v>
      </c>
      <c r="L4117" s="140" t="s">
        <v>4896</v>
      </c>
      <c r="M4117" s="136">
        <v>45902</v>
      </c>
      <c r="N4117" s="137"/>
      <c r="O4117" s="137"/>
      <c r="P4117" s="136" t="str">
        <f ca="1">IF(Proc[[#This Row],[DaysAgeing]]&gt;5,"yep","on track")</f>
        <v>on track</v>
      </c>
      <c r="Q4117" s="3">
        <f ca="1">IF(Proc[[#This Row],[DateClosed]]="",ABS(NETWORKDAYS(Proc[[#This Row],[DateOpened]],TODAY()))-1,ABS(NETWORKDAYS(Proc[[#This Row],[DateOpened]],Proc[[#This Row],[DateClosed]]))-1)</f>
        <v>5</v>
      </c>
      <c r="R4117" s="136" t="s">
        <v>6090</v>
      </c>
      <c r="S4117" s="140"/>
    </row>
    <row r="4118" spans="1:19" hidden="1">
      <c r="A4118" s="142" t="s">
        <v>6204</v>
      </c>
      <c r="B4118" s="140" t="str">
        <f ca="1">IFERROR(VLOOKUP(Proc[[#This Row],[App]],Table2[],3,0),"open")</f>
        <v>open</v>
      </c>
      <c r="C4118" s="142" t="s">
        <v>369</v>
      </c>
      <c r="D4118" t="s">
        <v>6206</v>
      </c>
      <c r="E4118" t="s">
        <v>2041</v>
      </c>
      <c r="F4118" s="140" t="s">
        <v>2041</v>
      </c>
      <c r="G4118" s="142" t="s">
        <v>406</v>
      </c>
      <c r="H4118" s="140" t="str">
        <f ca="1">IF(Proc[[#This Row],[type]]="LFF (MDG-F)",MID(Proc[[#This Row],[Obj]],13,10),"")</f>
        <v>JP01R0S743</v>
      </c>
      <c r="J4118" s="140" t="b">
        <f ca="1">Proc[[#This Row],[Requested]]=Proc[[#This Row],[CurrentParent]]</f>
        <v>1</v>
      </c>
      <c r="K4118" s="140" t="str">
        <f ca="1">IF(Proc[[#This Row],[Author]]="Marcela Urrego",VLOOKUP(LEFT(Proc[[#This Row],[Requested]],1),Table3[#All],2,0),VLOOKUP(Proc[[#This Row],[Author]],Table4[],2,0))</f>
        <v>EL</v>
      </c>
      <c r="L4118" s="140" t="s">
        <v>4896</v>
      </c>
      <c r="M4118" s="136">
        <v>45902</v>
      </c>
      <c r="N4118" s="137"/>
      <c r="O4118" s="137"/>
      <c r="P4118" s="136" t="str">
        <f ca="1">IF(Proc[[#This Row],[DaysAgeing]]&gt;5,"yep","on track")</f>
        <v>on track</v>
      </c>
      <c r="Q4118" s="3">
        <f ca="1">IF(Proc[[#This Row],[DateClosed]]="",ABS(NETWORKDAYS(Proc[[#This Row],[DateOpened]],TODAY()))-1,ABS(NETWORKDAYS(Proc[[#This Row],[DateOpened]],Proc[[#This Row],[DateClosed]]))-1)</f>
        <v>5</v>
      </c>
      <c r="R4118" s="136" t="s">
        <v>6090</v>
      </c>
      <c r="S4118" s="140"/>
    </row>
    <row r="4119" spans="1:19" hidden="1">
      <c r="A4119" t="s">
        <v>6205</v>
      </c>
      <c r="B4119" s="140" t="str">
        <f ca="1">IFERROR(VLOOKUP(Proc[[#This Row],[App]],Table2[],3,0),"open")</f>
        <v>open</v>
      </c>
      <c r="C4119" s="144" t="s">
        <v>370</v>
      </c>
      <c r="D4119" t="s">
        <v>6207</v>
      </c>
      <c r="E4119" t="s">
        <v>3523</v>
      </c>
      <c r="F4119" s="140"/>
      <c r="G4119" t="s">
        <v>400</v>
      </c>
      <c r="H4119" s="140" t="str">
        <f ca="1">IF(Proc[[#This Row],[type]]="LFF (MDG-F)",MID(Proc[[#This Row],[Obj]],13,10),"")</f>
        <v/>
      </c>
      <c r="J4119" s="140" t="b">
        <f ca="1">Proc[[#This Row],[Requested]]=Proc[[#This Row],[CurrentParent]]</f>
        <v>0</v>
      </c>
      <c r="K4119" s="140" t="str">
        <f ca="1">IF(Proc[[#This Row],[Author]]="Marcela Urrego",VLOOKUP(LEFT(Proc[[#This Row],[Requested]],1),Table3[#All],2,0),VLOOKUP(Proc[[#This Row],[Author]],Table4[],2,0))</f>
        <v>LS</v>
      </c>
      <c r="L4119" s="140" t="s">
        <v>4896</v>
      </c>
      <c r="M4119" s="136">
        <v>45902</v>
      </c>
      <c r="N4119" s="137"/>
      <c r="O4119" s="137"/>
      <c r="P4119" s="136" t="str">
        <f ca="1">IF(Proc[[#This Row],[DaysAgeing]]&gt;5,"yep","on track")</f>
        <v>on track</v>
      </c>
      <c r="Q4119" s="3">
        <f ca="1">IF(Proc[[#This Row],[DateClosed]]="",ABS(NETWORKDAYS(Proc[[#This Row],[DateOpened]],TODAY()))-1,ABS(NETWORKDAYS(Proc[[#This Row],[DateOpened]],Proc[[#This Row],[DateClosed]]))-1)</f>
        <v>5</v>
      </c>
      <c r="R4119" s="136" t="s">
        <v>1262</v>
      </c>
      <c r="S4119" s="140"/>
    </row>
    <row r="4120" spans="1:19" hidden="1">
      <c r="A4120" t="s">
        <v>6220</v>
      </c>
      <c r="B4120" s="140" t="str">
        <f ca="1">IFERROR(VLOOKUP(Proc[[#This Row],[App]],Table2[],3,0),"open")</f>
        <v>open</v>
      </c>
      <c r="C4120" s="142" t="s">
        <v>369</v>
      </c>
      <c r="D4120" t="s">
        <v>6209</v>
      </c>
      <c r="E4120" t="s">
        <v>6208</v>
      </c>
      <c r="F4120" s="140" t="s">
        <v>6208</v>
      </c>
      <c r="G4120" t="s">
        <v>406</v>
      </c>
      <c r="H4120" s="140" t="str">
        <f ca="1">IF(Proc[[#This Row],[type]]="LFF (MDG-F)",MID(Proc[[#This Row],[Obj]],13,10),"")</f>
        <v>CNS1OF0144</v>
      </c>
      <c r="J4120" s="140" t="b">
        <f ca="1">Proc[[#This Row],[Requested]]=Proc[[#This Row],[CurrentParent]]</f>
        <v>1</v>
      </c>
      <c r="K4120" s="140" t="str">
        <f ca="1">IF(Proc[[#This Row],[Author]]="Marcela Urrego",VLOOKUP(LEFT(Proc[[#This Row],[Requested]],1),Table3[#All],2,0),VLOOKUP(Proc[[#This Row],[Author]],Table4[],2,0))</f>
        <v>EL</v>
      </c>
      <c r="L4120" s="140" t="s">
        <v>4896</v>
      </c>
      <c r="M4120" s="136">
        <v>45906</v>
      </c>
      <c r="N4120" s="137"/>
      <c r="O4120" s="137"/>
      <c r="P4120" s="136" t="str">
        <f ca="1">IF(Proc[[#This Row],[DaysAgeing]]&gt;5,"yep","on track")</f>
        <v>on track</v>
      </c>
      <c r="Q4120" s="3">
        <f ca="1">IF(Proc[[#This Row],[DateClosed]]="",ABS(NETWORKDAYS(Proc[[#This Row],[DateOpened]],TODAY()))-1,ABS(NETWORKDAYS(Proc[[#This Row],[DateOpened]],Proc[[#This Row],[DateClosed]]))-1)</f>
        <v>1</v>
      </c>
      <c r="R4120" s="136" t="s">
        <v>6090</v>
      </c>
      <c r="S4120" s="140"/>
    </row>
    <row r="4121" spans="1:19" hidden="1">
      <c r="A4121" s="142" t="s">
        <v>6220</v>
      </c>
      <c r="B4121" s="140" t="str">
        <f ca="1">IFERROR(VLOOKUP(Proc[[#This Row],[App]],Table2[],3,0),"open")</f>
        <v>open</v>
      </c>
      <c r="C4121" s="144" t="s">
        <v>370</v>
      </c>
      <c r="D4121" t="s">
        <v>6210</v>
      </c>
      <c r="E4121" t="s">
        <v>6072</v>
      </c>
      <c r="F4121" s="140" t="s">
        <v>6221</v>
      </c>
      <c r="G4121" s="142" t="s">
        <v>406</v>
      </c>
      <c r="H4121" s="140" t="str">
        <f ca="1">IF(Proc[[#This Row],[type]]="LFF (MDG-F)",MID(Proc[[#This Row],[Obj]],13,10),"")</f>
        <v>DES1OFCX20</v>
      </c>
      <c r="J4121" s="140" t="b">
        <f ca="1">Proc[[#This Row],[Requested]]=Proc[[#This Row],[CurrentParent]]</f>
        <v>0</v>
      </c>
      <c r="K4121" s="140" t="str">
        <f ca="1">IF(Proc[[#This Row],[Author]]="Marcela Urrego",VLOOKUP(LEFT(Proc[[#This Row],[Requested]],1),Table3[#All],2,0),VLOOKUP(Proc[[#This Row],[Author]],Table4[],2,0))</f>
        <v>EL</v>
      </c>
      <c r="L4121" s="140" t="s">
        <v>4896</v>
      </c>
      <c r="M4121" s="136">
        <v>45906</v>
      </c>
      <c r="N4121" s="137"/>
      <c r="O4121" s="137"/>
      <c r="P4121" s="136" t="str">
        <f ca="1">IF(Proc[[#This Row],[DaysAgeing]]&gt;5,"yep","on track")</f>
        <v>on track</v>
      </c>
      <c r="Q4121" s="3">
        <f ca="1">IF(Proc[[#This Row],[DateClosed]]="",ABS(NETWORKDAYS(Proc[[#This Row],[DateOpened]],TODAY()))-1,ABS(NETWORKDAYS(Proc[[#This Row],[DateOpened]],Proc[[#This Row],[DateClosed]]))-1)</f>
        <v>1</v>
      </c>
      <c r="R4121" s="136" t="s">
        <v>6090</v>
      </c>
      <c r="S4121" s="140"/>
    </row>
    <row r="4122" spans="1:19" hidden="1">
      <c r="A4122" s="142" t="s">
        <v>6220</v>
      </c>
      <c r="B4122" s="140" t="str">
        <f ca="1">IFERROR(VLOOKUP(Proc[[#This Row],[App]],Table2[],3,0),"open")</f>
        <v>open</v>
      </c>
      <c r="C4122" s="144" t="s">
        <v>370</v>
      </c>
      <c r="D4122" t="s">
        <v>6211</v>
      </c>
      <c r="E4122" t="s">
        <v>6072</v>
      </c>
      <c r="F4122" s="140" t="s">
        <v>6221</v>
      </c>
      <c r="G4122" s="142" t="s">
        <v>406</v>
      </c>
      <c r="H4122" s="140" t="str">
        <f ca="1">IF(Proc[[#This Row],[type]]="LFF (MDG-F)",MID(Proc[[#This Row],[Obj]],13,10),"")</f>
        <v>DES1OFCX21</v>
      </c>
      <c r="J4122" s="140" t="b">
        <f ca="1">Proc[[#This Row],[Requested]]=Proc[[#This Row],[CurrentParent]]</f>
        <v>0</v>
      </c>
      <c r="K4122" s="140" t="str">
        <f ca="1">IF(Proc[[#This Row],[Author]]="Marcela Urrego",VLOOKUP(LEFT(Proc[[#This Row],[Requested]],1),Table3[#All],2,0),VLOOKUP(Proc[[#This Row],[Author]],Table4[],2,0))</f>
        <v>EL</v>
      </c>
      <c r="L4122" s="140" t="s">
        <v>4896</v>
      </c>
      <c r="M4122" s="136">
        <v>45906</v>
      </c>
      <c r="N4122" s="137"/>
      <c r="O4122" s="137"/>
      <c r="P4122" s="136" t="str">
        <f ca="1">IF(Proc[[#This Row],[DaysAgeing]]&gt;5,"yep","on track")</f>
        <v>on track</v>
      </c>
      <c r="Q4122" s="3">
        <f ca="1">IF(Proc[[#This Row],[DateClosed]]="",ABS(NETWORKDAYS(Proc[[#This Row],[DateOpened]],TODAY()))-1,ABS(NETWORKDAYS(Proc[[#This Row],[DateOpened]],Proc[[#This Row],[DateClosed]]))-1)</f>
        <v>1</v>
      </c>
      <c r="R4122" s="136" t="s">
        <v>6090</v>
      </c>
      <c r="S4122" s="140"/>
    </row>
    <row r="4123" spans="1:19" hidden="1">
      <c r="A4123" s="142" t="s">
        <v>6220</v>
      </c>
      <c r="B4123" s="140" t="str">
        <f ca="1">IFERROR(VLOOKUP(Proc[[#This Row],[App]],Table2[],3,0),"open")</f>
        <v>open</v>
      </c>
      <c r="C4123" s="144" t="s">
        <v>370</v>
      </c>
      <c r="D4123" t="s">
        <v>6212</v>
      </c>
      <c r="E4123" t="s">
        <v>6062</v>
      </c>
      <c r="F4123" s="140" t="s">
        <v>735</v>
      </c>
      <c r="G4123" s="142" t="s">
        <v>406</v>
      </c>
      <c r="H4123" s="140" t="str">
        <f ca="1">IF(Proc[[#This Row],[type]]="LFF (MDG-F)",MID(Proc[[#This Row],[Obj]],13,10),"")</f>
        <v>DES1Z01000</v>
      </c>
      <c r="J4123" s="140" t="b">
        <f ca="1">Proc[[#This Row],[Requested]]=Proc[[#This Row],[CurrentParent]]</f>
        <v>0</v>
      </c>
      <c r="K4123" s="140" t="str">
        <f ca="1">IF(Proc[[#This Row],[Author]]="Marcela Urrego",VLOOKUP(LEFT(Proc[[#This Row],[Requested]],1),Table3[#All],2,0),VLOOKUP(Proc[[#This Row],[Author]],Table4[],2,0))</f>
        <v>EL</v>
      </c>
      <c r="L4123" s="140" t="s">
        <v>4896</v>
      </c>
      <c r="M4123" s="136">
        <v>45906</v>
      </c>
      <c r="N4123" s="137"/>
      <c r="O4123" s="137"/>
      <c r="P4123" s="136" t="str">
        <f ca="1">IF(Proc[[#This Row],[DaysAgeing]]&gt;5,"yep","on track")</f>
        <v>on track</v>
      </c>
      <c r="Q4123" s="3">
        <f ca="1">IF(Proc[[#This Row],[DateClosed]]="",ABS(NETWORKDAYS(Proc[[#This Row],[DateOpened]],TODAY()))-1,ABS(NETWORKDAYS(Proc[[#This Row],[DateOpened]],Proc[[#This Row],[DateClosed]]))-1)</f>
        <v>1</v>
      </c>
      <c r="R4123" s="136" t="s">
        <v>6090</v>
      </c>
      <c r="S4123" s="140"/>
    </row>
    <row r="4124" spans="1:19" hidden="1">
      <c r="A4124" s="142" t="s">
        <v>6220</v>
      </c>
      <c r="B4124" s="140" t="str">
        <f ca="1">IFERROR(VLOOKUP(Proc[[#This Row],[App]],Table2[],3,0),"open")</f>
        <v>open</v>
      </c>
      <c r="C4124" s="144" t="s">
        <v>370</v>
      </c>
      <c r="D4124" t="s">
        <v>6213</v>
      </c>
      <c r="E4124" t="s">
        <v>6062</v>
      </c>
      <c r="F4124" s="140" t="s">
        <v>735</v>
      </c>
      <c r="G4124" s="142" t="s">
        <v>406</v>
      </c>
      <c r="H4124" s="140" t="str">
        <f ca="1">IF(Proc[[#This Row],[type]]="LFF (MDG-F)",MID(Proc[[#This Row],[Obj]],13,10),"")</f>
        <v>KRS1Z01000</v>
      </c>
      <c r="J4124" s="140" t="b">
        <f ca="1">Proc[[#This Row],[Requested]]=Proc[[#This Row],[CurrentParent]]</f>
        <v>0</v>
      </c>
      <c r="K4124" s="140" t="str">
        <f ca="1">IF(Proc[[#This Row],[Author]]="Marcela Urrego",VLOOKUP(LEFT(Proc[[#This Row],[Requested]],1),Table3[#All],2,0),VLOOKUP(Proc[[#This Row],[Author]],Table4[],2,0))</f>
        <v>EL</v>
      </c>
      <c r="L4124" s="140" t="s">
        <v>4896</v>
      </c>
      <c r="M4124" s="136">
        <v>45906</v>
      </c>
      <c r="N4124" s="137"/>
      <c r="O4124" s="137"/>
      <c r="P4124" s="136" t="str">
        <f ca="1">IF(Proc[[#This Row],[DaysAgeing]]&gt;5,"yep","on track")</f>
        <v>on track</v>
      </c>
      <c r="Q4124" s="3">
        <f ca="1">IF(Proc[[#This Row],[DateClosed]]="",ABS(NETWORKDAYS(Proc[[#This Row],[DateOpened]],TODAY()))-1,ABS(NETWORKDAYS(Proc[[#This Row],[DateOpened]],Proc[[#This Row],[DateClosed]]))-1)</f>
        <v>1</v>
      </c>
      <c r="R4124" s="136" t="s">
        <v>6090</v>
      </c>
      <c r="S4124" s="140"/>
    </row>
    <row r="4125" spans="1:19" hidden="1">
      <c r="A4125" s="142" t="s">
        <v>6220</v>
      </c>
      <c r="B4125" s="140" t="str">
        <f ca="1">IFERROR(VLOOKUP(Proc[[#This Row],[App]],Table2[],3,0),"open")</f>
        <v>open</v>
      </c>
      <c r="C4125" s="142" t="s">
        <v>369</v>
      </c>
      <c r="D4125" t="s">
        <v>6214</v>
      </c>
      <c r="E4125" t="s">
        <v>6208</v>
      </c>
      <c r="F4125" s="140" t="s">
        <v>6208</v>
      </c>
      <c r="G4125" s="142" t="s">
        <v>406</v>
      </c>
      <c r="H4125" s="140" t="str">
        <f ca="1">IF(Proc[[#This Row],[type]]="LFF (MDG-F)",MID(Proc[[#This Row],[Obj]],13,10),"")</f>
        <v>MYS1OF0110</v>
      </c>
      <c r="J4125" s="140" t="b">
        <f ca="1">Proc[[#This Row],[Requested]]=Proc[[#This Row],[CurrentParent]]</f>
        <v>1</v>
      </c>
      <c r="K4125" s="140" t="str">
        <f ca="1">IF(Proc[[#This Row],[Author]]="Marcela Urrego",VLOOKUP(LEFT(Proc[[#This Row],[Requested]],1),Table3[#All],2,0),VLOOKUP(Proc[[#This Row],[Author]],Table4[],2,0))</f>
        <v>EL</v>
      </c>
      <c r="L4125" s="140" t="s">
        <v>4896</v>
      </c>
      <c r="M4125" s="136">
        <v>45906</v>
      </c>
      <c r="N4125" s="137"/>
      <c r="O4125" s="137"/>
      <c r="P4125" s="136" t="str">
        <f ca="1">IF(Proc[[#This Row],[DaysAgeing]]&gt;5,"yep","on track")</f>
        <v>on track</v>
      </c>
      <c r="Q4125" s="3">
        <f ca="1">IF(Proc[[#This Row],[DateClosed]]="",ABS(NETWORKDAYS(Proc[[#This Row],[DateOpened]],TODAY()))-1,ABS(NETWORKDAYS(Proc[[#This Row],[DateOpened]],Proc[[#This Row],[DateClosed]]))-1)</f>
        <v>1</v>
      </c>
      <c r="R4125" s="136" t="s">
        <v>6090</v>
      </c>
      <c r="S4125" s="140"/>
    </row>
    <row r="4126" spans="1:19" hidden="1">
      <c r="A4126" s="142" t="s">
        <v>6220</v>
      </c>
      <c r="B4126" s="140" t="str">
        <f ca="1">IFERROR(VLOOKUP(Proc[[#This Row],[App]],Table2[],3,0),"open")</f>
        <v>open</v>
      </c>
      <c r="C4126" s="144" t="s">
        <v>370</v>
      </c>
      <c r="D4126" t="s">
        <v>6215</v>
      </c>
      <c r="E4126" t="s">
        <v>6062</v>
      </c>
      <c r="F4126" s="140" t="s">
        <v>735</v>
      </c>
      <c r="G4126" s="142" t="s">
        <v>406</v>
      </c>
      <c r="H4126" s="140" t="str">
        <f ca="1">IF(Proc[[#This Row],[type]]="LFF (MDG-F)",MID(Proc[[#This Row],[Obj]],13,10),"")</f>
        <v>MYS1Z01000</v>
      </c>
      <c r="J4126" s="140" t="b">
        <f ca="1">Proc[[#This Row],[Requested]]=Proc[[#This Row],[CurrentParent]]</f>
        <v>0</v>
      </c>
      <c r="K4126" s="140" t="str">
        <f ca="1">IF(Proc[[#This Row],[Author]]="Marcela Urrego",VLOOKUP(LEFT(Proc[[#This Row],[Requested]],1),Table3[#All],2,0),VLOOKUP(Proc[[#This Row],[Author]],Table4[],2,0))</f>
        <v>EL</v>
      </c>
      <c r="L4126" s="140" t="s">
        <v>4896</v>
      </c>
      <c r="M4126" s="136">
        <v>45906</v>
      </c>
      <c r="N4126" s="137"/>
      <c r="O4126" s="137"/>
      <c r="P4126" s="136" t="str">
        <f ca="1">IF(Proc[[#This Row],[DaysAgeing]]&gt;5,"yep","on track")</f>
        <v>on track</v>
      </c>
      <c r="Q4126" s="3">
        <f ca="1">IF(Proc[[#This Row],[DateClosed]]="",ABS(NETWORKDAYS(Proc[[#This Row],[DateOpened]],TODAY()))-1,ABS(NETWORKDAYS(Proc[[#This Row],[DateOpened]],Proc[[#This Row],[DateClosed]]))-1)</f>
        <v>1</v>
      </c>
      <c r="R4126" s="136" t="s">
        <v>6090</v>
      </c>
      <c r="S4126" s="140"/>
    </row>
    <row r="4127" spans="1:19" hidden="1">
      <c r="A4127" s="142" t="s">
        <v>6220</v>
      </c>
      <c r="B4127" s="140" t="str">
        <f ca="1">IFERROR(VLOOKUP(Proc[[#This Row],[App]],Table2[],3,0),"open")</f>
        <v>open</v>
      </c>
      <c r="C4127" s="142" t="s">
        <v>369</v>
      </c>
      <c r="D4127" t="s">
        <v>6216</v>
      </c>
      <c r="E4127" t="s">
        <v>6208</v>
      </c>
      <c r="F4127" s="140" t="s">
        <v>6208</v>
      </c>
      <c r="G4127" s="142" t="s">
        <v>406</v>
      </c>
      <c r="H4127" s="140" t="str">
        <f ca="1">IF(Proc[[#This Row],[type]]="LFF (MDG-F)",MID(Proc[[#This Row],[Obj]],13,10),"")</f>
        <v>THS1OF0110</v>
      </c>
      <c r="J4127" s="140" t="b">
        <f ca="1">Proc[[#This Row],[Requested]]=Proc[[#This Row],[CurrentParent]]</f>
        <v>1</v>
      </c>
      <c r="K4127" s="140" t="str">
        <f ca="1">IF(Proc[[#This Row],[Author]]="Marcela Urrego",VLOOKUP(LEFT(Proc[[#This Row],[Requested]],1),Table3[#All],2,0),VLOOKUP(Proc[[#This Row],[Author]],Table4[],2,0))</f>
        <v>EL</v>
      </c>
      <c r="L4127" s="140" t="s">
        <v>4896</v>
      </c>
      <c r="M4127" s="136">
        <v>45906</v>
      </c>
      <c r="N4127" s="137"/>
      <c r="O4127" s="137"/>
      <c r="P4127" s="136" t="str">
        <f ca="1">IF(Proc[[#This Row],[DaysAgeing]]&gt;5,"yep","on track")</f>
        <v>on track</v>
      </c>
      <c r="Q4127" s="3">
        <f ca="1">IF(Proc[[#This Row],[DateClosed]]="",ABS(NETWORKDAYS(Proc[[#This Row],[DateOpened]],TODAY()))-1,ABS(NETWORKDAYS(Proc[[#This Row],[DateOpened]],Proc[[#This Row],[DateClosed]]))-1)</f>
        <v>1</v>
      </c>
      <c r="R4127" s="136" t="s">
        <v>6090</v>
      </c>
      <c r="S4127" s="140"/>
    </row>
    <row r="4128" spans="1:19" hidden="1">
      <c r="A4128" s="142" t="s">
        <v>6220</v>
      </c>
      <c r="B4128" s="140" t="str">
        <f ca="1">IFERROR(VLOOKUP(Proc[[#This Row],[App]],Table2[],3,0),"open")</f>
        <v>open</v>
      </c>
      <c r="C4128" s="144" t="s">
        <v>370</v>
      </c>
      <c r="D4128" t="s">
        <v>6217</v>
      </c>
      <c r="E4128" t="s">
        <v>6062</v>
      </c>
      <c r="F4128" s="140" t="s">
        <v>735</v>
      </c>
      <c r="G4128" s="142" t="s">
        <v>406</v>
      </c>
      <c r="H4128" s="140" t="str">
        <f ca="1">IF(Proc[[#This Row],[type]]="LFF (MDG-F)",MID(Proc[[#This Row],[Obj]],13,10),"")</f>
        <v>USS1Z01000</v>
      </c>
      <c r="J4128" s="140" t="b">
        <f ca="1">Proc[[#This Row],[Requested]]=Proc[[#This Row],[CurrentParent]]</f>
        <v>0</v>
      </c>
      <c r="K4128" s="140" t="str">
        <f ca="1">IF(Proc[[#This Row],[Author]]="Marcela Urrego",VLOOKUP(LEFT(Proc[[#This Row],[Requested]],1),Table3[#All],2,0),VLOOKUP(Proc[[#This Row],[Author]],Table4[],2,0))</f>
        <v>EL</v>
      </c>
      <c r="L4128" s="140" t="s">
        <v>4896</v>
      </c>
      <c r="M4128" s="136">
        <v>45906</v>
      </c>
      <c r="N4128" s="137"/>
      <c r="O4128" s="137"/>
      <c r="P4128" s="136" t="str">
        <f ca="1">IF(Proc[[#This Row],[DaysAgeing]]&gt;5,"yep","on track")</f>
        <v>on track</v>
      </c>
      <c r="Q4128" s="3">
        <f ca="1">IF(Proc[[#This Row],[DateClosed]]="",ABS(NETWORKDAYS(Proc[[#This Row],[DateOpened]],TODAY()))-1,ABS(NETWORKDAYS(Proc[[#This Row],[DateOpened]],Proc[[#This Row],[DateClosed]]))-1)</f>
        <v>1</v>
      </c>
      <c r="R4128" s="136" t="s">
        <v>6090</v>
      </c>
      <c r="S4128" s="140"/>
    </row>
    <row r="4129" spans="1:19" hidden="1">
      <c r="A4129" s="142" t="s">
        <v>6220</v>
      </c>
      <c r="B4129" s="140" t="str">
        <f ca="1">IFERROR(VLOOKUP(Proc[[#This Row],[App]],Table2[],3,0),"open")</f>
        <v>open</v>
      </c>
      <c r="C4129" s="144" t="s">
        <v>370</v>
      </c>
      <c r="D4129" t="s">
        <v>6218</v>
      </c>
      <c r="E4129" t="s">
        <v>6062</v>
      </c>
      <c r="F4129" s="140" t="s">
        <v>735</v>
      </c>
      <c r="G4129" s="142" t="s">
        <v>406</v>
      </c>
      <c r="H4129" s="140" t="str">
        <f ca="1">IF(Proc[[#This Row],[type]]="LFF (MDG-F)",MID(Proc[[#This Row],[Obj]],13,10),"")</f>
        <v>CNS1Z01000</v>
      </c>
      <c r="J4129" s="140" t="b">
        <f ca="1">Proc[[#This Row],[Requested]]=Proc[[#This Row],[CurrentParent]]</f>
        <v>0</v>
      </c>
      <c r="K4129" s="140" t="str">
        <f ca="1">IF(Proc[[#This Row],[Author]]="Marcela Urrego",VLOOKUP(LEFT(Proc[[#This Row],[Requested]],1),Table3[#All],2,0),VLOOKUP(Proc[[#This Row],[Author]],Table4[],2,0))</f>
        <v>EL</v>
      </c>
      <c r="L4129" s="140" t="s">
        <v>4896</v>
      </c>
      <c r="M4129" s="136">
        <v>45906</v>
      </c>
      <c r="N4129" s="137"/>
      <c r="O4129" s="137"/>
      <c r="P4129" s="136" t="str">
        <f ca="1">IF(Proc[[#This Row],[DaysAgeing]]&gt;5,"yep","on track")</f>
        <v>on track</v>
      </c>
      <c r="Q4129" s="3">
        <f ca="1">IF(Proc[[#This Row],[DateClosed]]="",ABS(NETWORKDAYS(Proc[[#This Row],[DateOpened]],TODAY()))-1,ABS(NETWORKDAYS(Proc[[#This Row],[DateOpened]],Proc[[#This Row],[DateClosed]]))-1)</f>
        <v>1</v>
      </c>
      <c r="R4129" s="136" t="s">
        <v>6090</v>
      </c>
      <c r="S4129" s="140"/>
    </row>
    <row r="4130" spans="1:19" hidden="1">
      <c r="A4130" s="142" t="s">
        <v>6220</v>
      </c>
      <c r="B4130" s="140" t="str">
        <f ca="1">IFERROR(VLOOKUP(Proc[[#This Row],[App]],Table2[],3,0),"open")</f>
        <v>open</v>
      </c>
      <c r="C4130" s="144" t="s">
        <v>370</v>
      </c>
      <c r="D4130" t="s">
        <v>6219</v>
      </c>
      <c r="E4130" t="s">
        <v>6062</v>
      </c>
      <c r="F4130" s="140" t="s">
        <v>735</v>
      </c>
      <c r="G4130" s="142" t="s">
        <v>406</v>
      </c>
      <c r="H4130" s="140" t="str">
        <f ca="1">IF(Proc[[#This Row],[type]]="LFF (MDG-F)",MID(Proc[[#This Row],[Obj]],13,10),"")</f>
        <v>THS1Z01000</v>
      </c>
      <c r="J4130" s="140" t="b">
        <f ca="1">Proc[[#This Row],[Requested]]=Proc[[#This Row],[CurrentParent]]</f>
        <v>0</v>
      </c>
      <c r="K4130" s="140" t="str">
        <f ca="1">IF(Proc[[#This Row],[Author]]="Marcela Urrego",VLOOKUP(LEFT(Proc[[#This Row],[Requested]],1),Table3[#All],2,0),VLOOKUP(Proc[[#This Row],[Author]],Table4[],2,0))</f>
        <v>EL</v>
      </c>
      <c r="L4130" s="140" t="s">
        <v>4896</v>
      </c>
      <c r="M4130" s="136">
        <v>45906</v>
      </c>
      <c r="N4130" s="137"/>
      <c r="O4130" s="137"/>
      <c r="P4130" s="136" t="str">
        <f ca="1">IF(Proc[[#This Row],[DaysAgeing]]&gt;5,"yep","on track")</f>
        <v>on track</v>
      </c>
      <c r="Q4130" s="3">
        <f ca="1">IF(Proc[[#This Row],[DateClosed]]="",ABS(NETWORKDAYS(Proc[[#This Row],[DateOpened]],TODAY()))-1,ABS(NETWORKDAYS(Proc[[#This Row],[DateOpened]],Proc[[#This Row],[DateClosed]]))-1)</f>
        <v>1</v>
      </c>
      <c r="R4130" s="136" t="s">
        <v>6090</v>
      </c>
      <c r="S4130" s="140"/>
    </row>
    <row r="4131" spans="1:19" hidden="1">
      <c r="A4131" t="s">
        <v>6222</v>
      </c>
      <c r="B4131" s="140" t="str">
        <f ca="1">IFERROR(VLOOKUP(Proc[[#This Row],[App]],Table2[],3,0),"open")</f>
        <v>open</v>
      </c>
      <c r="C4131" t="s">
        <v>370</v>
      </c>
      <c r="D4131" s="143" t="s">
        <v>6223</v>
      </c>
      <c r="E4131" s="144" t="s">
        <v>3250</v>
      </c>
      <c r="F4131" s="140"/>
      <c r="G4131" t="s">
        <v>400</v>
      </c>
      <c r="H4131" s="140" t="str">
        <f ca="1">IF(Proc[[#This Row],[type]]="LFF (MDG-F)",MID(Proc[[#This Row],[Obj]],13,10),"")</f>
        <v/>
      </c>
      <c r="J4131" s="140" t="b">
        <f ca="1">Proc[[#This Row],[Requested]]=Proc[[#This Row],[CurrentParent]]</f>
        <v>0</v>
      </c>
      <c r="K4131" s="140" t="str">
        <f ca="1">IF(Proc[[#This Row],[Author]]="Marcela Urrego",VLOOKUP(LEFT(Proc[[#This Row],[Requested]],1),Table3[#All],2,0),VLOOKUP(Proc[[#This Row],[Author]],Table4[],2,0))</f>
        <v>MGF</v>
      </c>
      <c r="L4131" s="140" t="s">
        <v>4896</v>
      </c>
      <c r="M4131" s="136">
        <v>45908</v>
      </c>
      <c r="N4131" s="137"/>
      <c r="O4131" s="137"/>
      <c r="P4131" s="136" t="str">
        <f ca="1">IF(Proc[[#This Row],[DaysAgeing]]&gt;5,"yep","on track")</f>
        <v>on track</v>
      </c>
      <c r="Q4131" s="3">
        <f ca="1">IF(Proc[[#This Row],[DateClosed]]="",ABS(NETWORKDAYS(Proc[[#This Row],[DateOpened]],TODAY()))-1,ABS(NETWORKDAYS(Proc[[#This Row],[DateOpened]],Proc[[#This Row],[DateClosed]]))-1)</f>
        <v>1</v>
      </c>
      <c r="R4131" s="136" t="s">
        <v>515</v>
      </c>
      <c r="S4131" s="140"/>
    </row>
    <row r="4132" spans="1:19" hidden="1">
      <c r="A4132" t="s">
        <v>6241</v>
      </c>
      <c r="B4132" s="140" t="str">
        <f ca="1">IFERROR(VLOOKUP(Proc[[#This Row],[App]],Table2[],3,0),"open")</f>
        <v>open</v>
      </c>
      <c r="C4132" t="s">
        <v>370</v>
      </c>
      <c r="D4132" t="s">
        <v>6224</v>
      </c>
      <c r="E4132" t="s">
        <v>4866</v>
      </c>
      <c r="F4132" s="140" t="s">
        <v>6202</v>
      </c>
      <c r="G4132" t="s">
        <v>400</v>
      </c>
      <c r="H4132" s="140" t="str">
        <f ca="1">IF(Proc[[#This Row],[type]]="LFF (MDG-F)",MID(Proc[[#This Row],[Obj]],13,10),"")</f>
        <v/>
      </c>
      <c r="J4132" s="140" t="b">
        <f ca="1">Proc[[#This Row],[Requested]]=Proc[[#This Row],[CurrentParent]]</f>
        <v>0</v>
      </c>
      <c r="K4132" s="140" t="str">
        <f ca="1">IF(Proc[[#This Row],[Author]]="Marcela Urrego",VLOOKUP(LEFT(Proc[[#This Row],[Requested]],1),Table3[#All],2,0),VLOOKUP(Proc[[#This Row],[Author]],Table4[],2,0))</f>
        <v>MGF</v>
      </c>
      <c r="L4132" s="140" t="s">
        <v>4896</v>
      </c>
      <c r="M4132" s="137">
        <v>45909</v>
      </c>
      <c r="N4132" s="137"/>
      <c r="O4132" s="137"/>
      <c r="P4132" s="145" t="str">
        <f ca="1">IF(Proc[[#This Row],[DaysAgeing]]&gt;5,"yep","on track")</f>
        <v>on track</v>
      </c>
      <c r="Q4132" s="3">
        <f ca="1">IF(Proc[[#This Row],[DateClosed]]="",ABS(NETWORKDAYS(Proc[[#This Row],[DateOpened]],TODAY()))-1,ABS(NETWORKDAYS(Proc[[#This Row],[DateOpened]],Proc[[#This Row],[DateClosed]]))-1)</f>
        <v>0</v>
      </c>
      <c r="R4132" s="137" t="s">
        <v>515</v>
      </c>
      <c r="S4132" s="140"/>
    </row>
    <row r="4133" spans="1:19" hidden="1">
      <c r="A4133" s="144" t="s">
        <v>6241</v>
      </c>
      <c r="B4133" s="140" t="str">
        <f ca="1">IFERROR(VLOOKUP(Proc[[#This Row],[App]],Table2[],3,0),"open")</f>
        <v>open</v>
      </c>
      <c r="C4133" s="144" t="s">
        <v>370</v>
      </c>
      <c r="D4133" t="s">
        <v>6225</v>
      </c>
      <c r="E4133" t="s">
        <v>4866</v>
      </c>
      <c r="F4133" s="140" t="s">
        <v>6202</v>
      </c>
      <c r="G4133" t="s">
        <v>400</v>
      </c>
      <c r="H4133" s="140" t="str">
        <f ca="1">IF(Proc[[#This Row],[type]]="LFF (MDG-F)",MID(Proc[[#This Row],[Obj]],13,10),"")</f>
        <v/>
      </c>
      <c r="J4133" s="140" t="b">
        <f ca="1">Proc[[#This Row],[Requested]]=Proc[[#This Row],[CurrentParent]]</f>
        <v>0</v>
      </c>
      <c r="K4133" s="140" t="str">
        <f ca="1">IF(Proc[[#This Row],[Author]]="Marcela Urrego",VLOOKUP(LEFT(Proc[[#This Row],[Requested]],1),Table3[#All],2,0),VLOOKUP(Proc[[#This Row],[Author]],Table4[],2,0))</f>
        <v>MGF</v>
      </c>
      <c r="L4133" s="140" t="s">
        <v>4896</v>
      </c>
      <c r="M4133" s="137">
        <v>45909</v>
      </c>
      <c r="N4133" s="137"/>
      <c r="O4133" s="137"/>
      <c r="P4133" s="145" t="str">
        <f ca="1">IF(Proc[[#This Row],[DaysAgeing]]&gt;5,"yep","on track")</f>
        <v>on track</v>
      </c>
      <c r="Q4133" s="3">
        <f ca="1">IF(Proc[[#This Row],[DateClosed]]="",ABS(NETWORKDAYS(Proc[[#This Row],[DateOpened]],TODAY()))-1,ABS(NETWORKDAYS(Proc[[#This Row],[DateOpened]],Proc[[#This Row],[DateClosed]]))-1)</f>
        <v>0</v>
      </c>
      <c r="R4133" s="137" t="s">
        <v>515</v>
      </c>
      <c r="S4133" s="140"/>
    </row>
    <row r="4134" spans="1:19" hidden="1">
      <c r="A4134" s="144" t="s">
        <v>6241</v>
      </c>
      <c r="B4134" s="140" t="str">
        <f ca="1">IFERROR(VLOOKUP(Proc[[#This Row],[App]],Table2[],3,0),"open")</f>
        <v>open</v>
      </c>
      <c r="C4134" s="144" t="s">
        <v>370</v>
      </c>
      <c r="D4134" t="s">
        <v>6226</v>
      </c>
      <c r="E4134" t="s">
        <v>4867</v>
      </c>
      <c r="F4134" s="140" t="s">
        <v>6202</v>
      </c>
      <c r="G4134" t="s">
        <v>400</v>
      </c>
      <c r="H4134" s="140" t="str">
        <f ca="1">IF(Proc[[#This Row],[type]]="LFF (MDG-F)",MID(Proc[[#This Row],[Obj]],13,10),"")</f>
        <v/>
      </c>
      <c r="J4134" s="140" t="b">
        <f ca="1">Proc[[#This Row],[Requested]]=Proc[[#This Row],[CurrentParent]]</f>
        <v>0</v>
      </c>
      <c r="K4134" s="140" t="str">
        <f ca="1">IF(Proc[[#This Row],[Author]]="Marcela Urrego",VLOOKUP(LEFT(Proc[[#This Row],[Requested]],1),Table3[#All],2,0),VLOOKUP(Proc[[#This Row],[Author]],Table4[],2,0))</f>
        <v>MGF</v>
      </c>
      <c r="L4134" s="140" t="s">
        <v>4896</v>
      </c>
      <c r="M4134" s="137">
        <v>45909</v>
      </c>
      <c r="N4134" s="137"/>
      <c r="O4134" s="137"/>
      <c r="P4134" s="145" t="str">
        <f ca="1">IF(Proc[[#This Row],[DaysAgeing]]&gt;5,"yep","on track")</f>
        <v>on track</v>
      </c>
      <c r="Q4134" s="3">
        <f ca="1">IF(Proc[[#This Row],[DateClosed]]="",ABS(NETWORKDAYS(Proc[[#This Row],[DateOpened]],TODAY()))-1,ABS(NETWORKDAYS(Proc[[#This Row],[DateOpened]],Proc[[#This Row],[DateClosed]]))-1)</f>
        <v>0</v>
      </c>
      <c r="R4134" s="137" t="s">
        <v>515</v>
      </c>
      <c r="S4134" s="140"/>
    </row>
    <row r="4135" spans="1:19">
      <c r="A4135" s="144" t="s">
        <v>6241</v>
      </c>
      <c r="B4135" s="140" t="str">
        <f ca="1">IFERROR(VLOOKUP(Proc[[#This Row],[App]],Table2[],3,0),"open")</f>
        <v>open</v>
      </c>
      <c r="C4135" s="144" t="s">
        <v>6249</v>
      </c>
      <c r="D4135" t="s">
        <v>6227</v>
      </c>
      <c r="E4135" t="s">
        <v>4867</v>
      </c>
      <c r="F4135" s="140" t="s">
        <v>6202</v>
      </c>
      <c r="G4135" t="s">
        <v>406</v>
      </c>
      <c r="H4135" s="140" t="str">
        <f ca="1">IF(Proc[[#This Row],[type]]="LFF (MDG-F)",MID(Proc[[#This Row],[Obj]],13,10),"")</f>
        <v>BE50GLE300</v>
      </c>
      <c r="J4135" s="140" t="b">
        <f ca="1">Proc[[#This Row],[Requested]]=Proc[[#This Row],[CurrentParent]]</f>
        <v>0</v>
      </c>
      <c r="K4135" s="140" t="str">
        <f ca="1">IF(Proc[[#This Row],[Author]]="Marcela Urrego",VLOOKUP(LEFT(Proc[[#This Row],[Requested]],1),Table3[#All],2,0),VLOOKUP(Proc[[#This Row],[Author]],Table4[],2,0))</f>
        <v>MGF</v>
      </c>
      <c r="L4135" s="140" t="s">
        <v>4896</v>
      </c>
      <c r="M4135" s="137">
        <v>45909</v>
      </c>
      <c r="N4135" s="137"/>
      <c r="O4135" s="137"/>
      <c r="P4135" s="145" t="str">
        <f ca="1">IF(Proc[[#This Row],[DaysAgeing]]&gt;5,"yep","on track")</f>
        <v>on track</v>
      </c>
      <c r="Q4135" s="3">
        <f ca="1">IF(Proc[[#This Row],[DateClosed]]="",ABS(NETWORKDAYS(Proc[[#This Row],[DateOpened]],TODAY()))-1,ABS(NETWORKDAYS(Proc[[#This Row],[DateOpened]],Proc[[#This Row],[DateClosed]]))-1)</f>
        <v>0</v>
      </c>
      <c r="R4135" s="137" t="s">
        <v>515</v>
      </c>
      <c r="S4135" s="140"/>
    </row>
    <row r="4136" spans="1:19">
      <c r="A4136" s="144" t="s">
        <v>6241</v>
      </c>
      <c r="B4136" s="140" t="str">
        <f ca="1">IFERROR(VLOOKUP(Proc[[#This Row],[App]],Table2[],3,0),"open")</f>
        <v>open</v>
      </c>
      <c r="C4136" s="144" t="s">
        <v>6249</v>
      </c>
      <c r="D4136" t="s">
        <v>6228</v>
      </c>
      <c r="E4136" t="s">
        <v>4866</v>
      </c>
      <c r="F4136" s="140" t="s">
        <v>6202</v>
      </c>
      <c r="G4136" s="144" t="s">
        <v>406</v>
      </c>
      <c r="H4136" s="140" t="str">
        <f ca="1">IF(Proc[[#This Row],[type]]="LFF (MDG-F)",MID(Proc[[#This Row],[Obj]],13,10),"")</f>
        <v>JP01GLE302</v>
      </c>
      <c r="J4136" s="140" t="b">
        <f ca="1">Proc[[#This Row],[Requested]]=Proc[[#This Row],[CurrentParent]]</f>
        <v>0</v>
      </c>
      <c r="K4136" s="140" t="str">
        <f ca="1">IF(Proc[[#This Row],[Author]]="Marcela Urrego",VLOOKUP(LEFT(Proc[[#This Row],[Requested]],1),Table3[#All],2,0),VLOOKUP(Proc[[#This Row],[Author]],Table4[],2,0))</f>
        <v>MGF</v>
      </c>
      <c r="L4136" s="140" t="s">
        <v>4896</v>
      </c>
      <c r="M4136" s="137">
        <v>45909</v>
      </c>
      <c r="N4136" s="137"/>
      <c r="O4136" s="137"/>
      <c r="P4136" s="145" t="str">
        <f ca="1">IF(Proc[[#This Row],[DaysAgeing]]&gt;5,"yep","on track")</f>
        <v>on track</v>
      </c>
      <c r="Q4136" s="3">
        <f ca="1">IF(Proc[[#This Row],[DateClosed]]="",ABS(NETWORKDAYS(Proc[[#This Row],[DateOpened]],TODAY()))-1,ABS(NETWORKDAYS(Proc[[#This Row],[DateOpened]],Proc[[#This Row],[DateClosed]]))-1)</f>
        <v>0</v>
      </c>
      <c r="R4136" s="137" t="s">
        <v>515</v>
      </c>
      <c r="S4136" s="140"/>
    </row>
    <row r="4137" spans="1:19">
      <c r="A4137" s="144" t="s">
        <v>6241</v>
      </c>
      <c r="B4137" s="140" t="str">
        <f ca="1">IFERROR(VLOOKUP(Proc[[#This Row],[App]],Table2[],3,0),"open")</f>
        <v>open</v>
      </c>
      <c r="C4137" s="144" t="s">
        <v>6249</v>
      </c>
      <c r="D4137" t="s">
        <v>6229</v>
      </c>
      <c r="E4137" t="s">
        <v>4866</v>
      </c>
      <c r="F4137" s="140" t="s">
        <v>6202</v>
      </c>
      <c r="G4137" s="144" t="s">
        <v>406</v>
      </c>
      <c r="H4137" s="140" t="str">
        <f ca="1">IF(Proc[[#This Row],[type]]="LFF (MDG-F)",MID(Proc[[#This Row],[Obj]],13,10),"")</f>
        <v>JP02GLE302</v>
      </c>
      <c r="J4137" s="140" t="b">
        <f ca="1">Proc[[#This Row],[Requested]]=Proc[[#This Row],[CurrentParent]]</f>
        <v>0</v>
      </c>
      <c r="K4137" s="140" t="str">
        <f ca="1">IF(Proc[[#This Row],[Author]]="Marcela Urrego",VLOOKUP(LEFT(Proc[[#This Row],[Requested]],1),Table3[#All],2,0),VLOOKUP(Proc[[#This Row],[Author]],Table4[],2,0))</f>
        <v>MGF</v>
      </c>
      <c r="L4137" s="140" t="s">
        <v>4896</v>
      </c>
      <c r="M4137" s="137">
        <v>45909</v>
      </c>
      <c r="N4137" s="137"/>
      <c r="O4137" s="137"/>
      <c r="P4137" s="145" t="str">
        <f ca="1">IF(Proc[[#This Row],[DaysAgeing]]&gt;5,"yep","on track")</f>
        <v>on track</v>
      </c>
      <c r="Q4137" s="3">
        <f ca="1">IF(Proc[[#This Row],[DateClosed]]="",ABS(NETWORKDAYS(Proc[[#This Row],[DateOpened]],TODAY()))-1,ABS(NETWORKDAYS(Proc[[#This Row],[DateOpened]],Proc[[#This Row],[DateClosed]]))-1)</f>
        <v>0</v>
      </c>
      <c r="R4137" s="137" t="s">
        <v>515</v>
      </c>
      <c r="S4137" s="140"/>
    </row>
    <row r="4138" spans="1:19">
      <c r="A4138" s="144" t="s">
        <v>6241</v>
      </c>
      <c r="B4138" s="140" t="str">
        <f ca="1">IFERROR(VLOOKUP(Proc[[#This Row],[App]],Table2[],3,0),"open")</f>
        <v>open</v>
      </c>
      <c r="C4138" s="144" t="s">
        <v>6249</v>
      </c>
      <c r="D4138" t="s">
        <v>6230</v>
      </c>
      <c r="E4138" t="s">
        <v>4866</v>
      </c>
      <c r="F4138" s="140" t="s">
        <v>6202</v>
      </c>
      <c r="G4138" s="144" t="s">
        <v>406</v>
      </c>
      <c r="H4138" s="140" t="str">
        <f ca="1">IF(Proc[[#This Row],[type]]="LFF (MDG-F)",MID(Proc[[#This Row],[Obj]],13,10),"")</f>
        <v>KR02GLE005</v>
      </c>
      <c r="J4138" s="140" t="b">
        <f ca="1">Proc[[#This Row],[Requested]]=Proc[[#This Row],[CurrentParent]]</f>
        <v>0</v>
      </c>
      <c r="K4138" s="140" t="str">
        <f ca="1">IF(Proc[[#This Row],[Author]]="Marcela Urrego",VLOOKUP(LEFT(Proc[[#This Row],[Requested]],1),Table3[#All],2,0),VLOOKUP(Proc[[#This Row],[Author]],Table4[],2,0))</f>
        <v>MGF</v>
      </c>
      <c r="L4138" s="140" t="s">
        <v>4896</v>
      </c>
      <c r="M4138" s="137">
        <v>45909</v>
      </c>
      <c r="N4138" s="137"/>
      <c r="O4138" s="137"/>
      <c r="P4138" s="145" t="str">
        <f ca="1">IF(Proc[[#This Row],[DaysAgeing]]&gt;5,"yep","on track")</f>
        <v>on track</v>
      </c>
      <c r="Q4138" s="3">
        <f ca="1">IF(Proc[[#This Row],[DateClosed]]="",ABS(NETWORKDAYS(Proc[[#This Row],[DateOpened]],TODAY()))-1,ABS(NETWORKDAYS(Proc[[#This Row],[DateOpened]],Proc[[#This Row],[DateClosed]]))-1)</f>
        <v>0</v>
      </c>
      <c r="R4138" s="137" t="s">
        <v>515</v>
      </c>
      <c r="S4138" s="140"/>
    </row>
    <row r="4139" spans="1:19">
      <c r="A4139" s="144" t="s">
        <v>6241</v>
      </c>
      <c r="B4139" s="140" t="str">
        <f ca="1">IFERROR(VLOOKUP(Proc[[#This Row],[App]],Table2[],3,0),"open")</f>
        <v>open</v>
      </c>
      <c r="C4139" s="144" t="s">
        <v>6249</v>
      </c>
      <c r="D4139" t="s">
        <v>6231</v>
      </c>
      <c r="E4139" t="s">
        <v>4866</v>
      </c>
      <c r="F4139" s="140" t="s">
        <v>6202</v>
      </c>
      <c r="G4139" s="144" t="s">
        <v>406</v>
      </c>
      <c r="H4139" s="140" t="str">
        <f ca="1">IF(Proc[[#This Row],[type]]="LFF (MDG-F)",MID(Proc[[#This Row],[Obj]],13,10),"")</f>
        <v>TW02GLE006</v>
      </c>
      <c r="J4139" s="140" t="b">
        <f ca="1">Proc[[#This Row],[Requested]]=Proc[[#This Row],[CurrentParent]]</f>
        <v>0</v>
      </c>
      <c r="K4139" s="140" t="str">
        <f ca="1">IF(Proc[[#This Row],[Author]]="Marcela Urrego",VLOOKUP(LEFT(Proc[[#This Row],[Requested]],1),Table3[#All],2,0),VLOOKUP(Proc[[#This Row],[Author]],Table4[],2,0))</f>
        <v>MGF</v>
      </c>
      <c r="L4139" s="140" t="s">
        <v>4896</v>
      </c>
      <c r="M4139" s="137">
        <v>45909</v>
      </c>
      <c r="N4139" s="137"/>
      <c r="O4139" s="137"/>
      <c r="P4139" s="145" t="str">
        <f ca="1">IF(Proc[[#This Row],[DaysAgeing]]&gt;5,"yep","on track")</f>
        <v>on track</v>
      </c>
      <c r="Q4139" s="3">
        <f ca="1">IF(Proc[[#This Row],[DateClosed]]="",ABS(NETWORKDAYS(Proc[[#This Row],[DateOpened]],TODAY()))-1,ABS(NETWORKDAYS(Proc[[#This Row],[DateOpened]],Proc[[#This Row],[DateClosed]]))-1)</f>
        <v>0</v>
      </c>
      <c r="R4139" s="137" t="s">
        <v>515</v>
      </c>
      <c r="S4139" s="140"/>
    </row>
    <row r="4140" spans="1:19">
      <c r="A4140" s="144" t="s">
        <v>6241</v>
      </c>
      <c r="B4140" s="140" t="str">
        <f ca="1">IFERROR(VLOOKUP(Proc[[#This Row],[App]],Table2[],3,0),"open")</f>
        <v>open</v>
      </c>
      <c r="C4140" s="144" t="s">
        <v>6249</v>
      </c>
      <c r="D4140" t="s">
        <v>6232</v>
      </c>
      <c r="E4140" t="s">
        <v>4866</v>
      </c>
      <c r="F4140" s="140" t="s">
        <v>6202</v>
      </c>
      <c r="G4140" s="144" t="s">
        <v>406</v>
      </c>
      <c r="H4140" s="140" t="str">
        <f ca="1">IF(Proc[[#This Row],[type]]="LFF (MDG-F)",MID(Proc[[#This Row],[Obj]],13,10),"")</f>
        <v>TW03GLE006</v>
      </c>
      <c r="J4140" s="140" t="b">
        <f ca="1">Proc[[#This Row],[Requested]]=Proc[[#This Row],[CurrentParent]]</f>
        <v>0</v>
      </c>
      <c r="K4140" s="140" t="str">
        <f ca="1">IF(Proc[[#This Row],[Author]]="Marcela Urrego",VLOOKUP(LEFT(Proc[[#This Row],[Requested]],1),Table3[#All],2,0),VLOOKUP(Proc[[#This Row],[Author]],Table4[],2,0))</f>
        <v>MGF</v>
      </c>
      <c r="L4140" s="140" t="s">
        <v>4896</v>
      </c>
      <c r="M4140" s="137">
        <v>45909</v>
      </c>
      <c r="N4140" s="137"/>
      <c r="O4140" s="137"/>
      <c r="P4140" s="145" t="str">
        <f ca="1">IF(Proc[[#This Row],[DaysAgeing]]&gt;5,"yep","on track")</f>
        <v>on track</v>
      </c>
      <c r="Q4140" s="3">
        <f ca="1">IF(Proc[[#This Row],[DateClosed]]="",ABS(NETWORKDAYS(Proc[[#This Row],[DateOpened]],TODAY()))-1,ABS(NETWORKDAYS(Proc[[#This Row],[DateOpened]],Proc[[#This Row],[DateClosed]]))-1)</f>
        <v>0</v>
      </c>
      <c r="R4140" s="137" t="s">
        <v>515</v>
      </c>
      <c r="S4140" s="140"/>
    </row>
    <row r="4141" spans="1:19">
      <c r="A4141" s="144" t="s">
        <v>6241</v>
      </c>
      <c r="B4141" s="140" t="str">
        <f ca="1">IFERROR(VLOOKUP(Proc[[#This Row],[App]],Table2[],3,0),"open")</f>
        <v>open</v>
      </c>
      <c r="C4141" s="144" t="s">
        <v>6249</v>
      </c>
      <c r="D4141" t="s">
        <v>6233</v>
      </c>
      <c r="E4141" t="s">
        <v>4867</v>
      </c>
      <c r="F4141" s="140" t="s">
        <v>6202</v>
      </c>
      <c r="G4141" s="144" t="s">
        <v>406</v>
      </c>
      <c r="H4141" s="140" t="str">
        <f ca="1">IF(Proc[[#This Row],[type]]="LFF (MDG-F)",MID(Proc[[#This Row],[Obj]],13,10),"")</f>
        <v>2057GLE006</v>
      </c>
      <c r="J4141" s="140" t="b">
        <f ca="1">Proc[[#This Row],[Requested]]=Proc[[#This Row],[CurrentParent]]</f>
        <v>0</v>
      </c>
      <c r="K4141" s="140" t="str">
        <f ca="1">IF(Proc[[#This Row],[Author]]="Marcela Urrego",VLOOKUP(LEFT(Proc[[#This Row],[Requested]],1),Table3[#All],2,0),VLOOKUP(Proc[[#This Row],[Author]],Table4[],2,0))</f>
        <v>MGF</v>
      </c>
      <c r="L4141" s="140" t="s">
        <v>4896</v>
      </c>
      <c r="M4141" s="137">
        <v>45909</v>
      </c>
      <c r="N4141" s="137"/>
      <c r="O4141" s="137"/>
      <c r="P4141" s="145" t="str">
        <f ca="1">IF(Proc[[#This Row],[DaysAgeing]]&gt;5,"yep","on track")</f>
        <v>on track</v>
      </c>
      <c r="Q4141" s="3">
        <f ca="1">IF(Proc[[#This Row],[DateClosed]]="",ABS(NETWORKDAYS(Proc[[#This Row],[DateOpened]],TODAY()))-1,ABS(NETWORKDAYS(Proc[[#This Row],[DateOpened]],Proc[[#This Row],[DateClosed]]))-1)</f>
        <v>0</v>
      </c>
      <c r="R4141" s="137" t="s">
        <v>515</v>
      </c>
      <c r="S4141" s="140"/>
    </row>
    <row r="4142" spans="1:19">
      <c r="A4142" s="144" t="s">
        <v>6241</v>
      </c>
      <c r="B4142" s="140" t="str">
        <f ca="1">IFERROR(VLOOKUP(Proc[[#This Row],[App]],Table2[],3,0),"open")</f>
        <v>open</v>
      </c>
      <c r="C4142" s="144" t="s">
        <v>6249</v>
      </c>
      <c r="D4142" t="s">
        <v>6234</v>
      </c>
      <c r="E4142" t="s">
        <v>4866</v>
      </c>
      <c r="F4142" s="140" t="s">
        <v>6202</v>
      </c>
      <c r="G4142" s="144" t="s">
        <v>406</v>
      </c>
      <c r="H4142" s="140" t="str">
        <f ca="1">IF(Proc[[#This Row],[type]]="LFF (MDG-F)",MID(Proc[[#This Row],[Obj]],13,10),"")</f>
        <v>KR03GLE005</v>
      </c>
      <c r="J4142" s="140" t="b">
        <f ca="1">Proc[[#This Row],[Requested]]=Proc[[#This Row],[CurrentParent]]</f>
        <v>0</v>
      </c>
      <c r="K4142" s="140" t="str">
        <f ca="1">IF(Proc[[#This Row],[Author]]="Marcela Urrego",VLOOKUP(LEFT(Proc[[#This Row],[Requested]],1),Table3[#All],2,0),VLOOKUP(Proc[[#This Row],[Author]],Table4[],2,0))</f>
        <v>MGF</v>
      </c>
      <c r="L4142" s="140" t="s">
        <v>4896</v>
      </c>
      <c r="M4142" s="137">
        <v>45909</v>
      </c>
      <c r="N4142" s="137"/>
      <c r="O4142" s="137"/>
      <c r="P4142" s="145" t="str">
        <f ca="1">IF(Proc[[#This Row],[DaysAgeing]]&gt;5,"yep","on track")</f>
        <v>on track</v>
      </c>
      <c r="Q4142" s="3">
        <f ca="1">IF(Proc[[#This Row],[DateClosed]]="",ABS(NETWORKDAYS(Proc[[#This Row],[DateOpened]],TODAY()))-1,ABS(NETWORKDAYS(Proc[[#This Row],[DateOpened]],Proc[[#This Row],[DateClosed]]))-1)</f>
        <v>0</v>
      </c>
      <c r="R4142" s="137" t="s">
        <v>515</v>
      </c>
      <c r="S4142" s="140"/>
    </row>
    <row r="4143" spans="1:19">
      <c r="A4143" s="144" t="s">
        <v>6241</v>
      </c>
      <c r="B4143" s="140" t="str">
        <f ca="1">IFERROR(VLOOKUP(Proc[[#This Row],[App]],Table2[],3,0),"open")</f>
        <v>open</v>
      </c>
      <c r="C4143" s="144" t="s">
        <v>6249</v>
      </c>
      <c r="D4143" t="s">
        <v>6235</v>
      </c>
      <c r="E4143" t="s">
        <v>4866</v>
      </c>
      <c r="F4143" s="140" t="s">
        <v>6202</v>
      </c>
      <c r="G4143" s="144" t="s">
        <v>406</v>
      </c>
      <c r="H4143" s="140" t="str">
        <f ca="1">IF(Proc[[#This Row],[type]]="LFF (MDG-F)",MID(Proc[[#This Row],[Obj]],13,10),"")</f>
        <v>TW10GLE106</v>
      </c>
      <c r="J4143" s="140" t="b">
        <f ca="1">Proc[[#This Row],[Requested]]=Proc[[#This Row],[CurrentParent]]</f>
        <v>0</v>
      </c>
      <c r="K4143" s="140" t="str">
        <f ca="1">IF(Proc[[#This Row],[Author]]="Marcela Urrego",VLOOKUP(LEFT(Proc[[#This Row],[Requested]],1),Table3[#All],2,0),VLOOKUP(Proc[[#This Row],[Author]],Table4[],2,0))</f>
        <v>MGF</v>
      </c>
      <c r="L4143" s="140" t="s">
        <v>4896</v>
      </c>
      <c r="M4143" s="137">
        <v>45909</v>
      </c>
      <c r="N4143" s="137"/>
      <c r="O4143" s="137"/>
      <c r="P4143" s="145" t="str">
        <f ca="1">IF(Proc[[#This Row],[DaysAgeing]]&gt;5,"yep","on track")</f>
        <v>on track</v>
      </c>
      <c r="Q4143" s="3">
        <f ca="1">IF(Proc[[#This Row],[DateClosed]]="",ABS(NETWORKDAYS(Proc[[#This Row],[DateOpened]],TODAY()))-1,ABS(NETWORKDAYS(Proc[[#This Row],[DateOpened]],Proc[[#This Row],[DateClosed]]))-1)</f>
        <v>0</v>
      </c>
      <c r="R4143" s="137" t="s">
        <v>515</v>
      </c>
      <c r="S4143" s="140"/>
    </row>
    <row r="4144" spans="1:19">
      <c r="A4144" s="144" t="s">
        <v>6241</v>
      </c>
      <c r="B4144" s="140" t="str">
        <f ca="1">IFERROR(VLOOKUP(Proc[[#This Row],[App]],Table2[],3,0),"open")</f>
        <v>open</v>
      </c>
      <c r="C4144" s="144" t="s">
        <v>6249</v>
      </c>
      <c r="D4144" t="s">
        <v>6236</v>
      </c>
      <c r="E4144" t="s">
        <v>4866</v>
      </c>
      <c r="F4144" s="140" t="s">
        <v>6202</v>
      </c>
      <c r="G4144" s="144" t="s">
        <v>406</v>
      </c>
      <c r="H4144" s="140" t="str">
        <f ca="1">IF(Proc[[#This Row],[type]]="LFF (MDG-F)",MID(Proc[[#This Row],[Obj]],13,10),"")</f>
        <v>TW91GLE106</v>
      </c>
      <c r="J4144" s="140" t="b">
        <f ca="1">Proc[[#This Row],[Requested]]=Proc[[#This Row],[CurrentParent]]</f>
        <v>0</v>
      </c>
      <c r="K4144" s="140" t="str">
        <f ca="1">IF(Proc[[#This Row],[Author]]="Marcela Urrego",VLOOKUP(LEFT(Proc[[#This Row],[Requested]],1),Table3[#All],2,0),VLOOKUP(Proc[[#This Row],[Author]],Table4[],2,0))</f>
        <v>MGF</v>
      </c>
      <c r="L4144" s="140" t="s">
        <v>4896</v>
      </c>
      <c r="M4144" s="137">
        <v>45909</v>
      </c>
      <c r="N4144" s="137"/>
      <c r="O4144" s="137"/>
      <c r="P4144" s="145" t="str">
        <f ca="1">IF(Proc[[#This Row],[DaysAgeing]]&gt;5,"yep","on track")</f>
        <v>on track</v>
      </c>
      <c r="Q4144" s="3">
        <f ca="1">IF(Proc[[#This Row],[DateClosed]]="",ABS(NETWORKDAYS(Proc[[#This Row],[DateOpened]],TODAY()))-1,ABS(NETWORKDAYS(Proc[[#This Row],[DateOpened]],Proc[[#This Row],[DateClosed]]))-1)</f>
        <v>0</v>
      </c>
      <c r="R4144" s="137" t="s">
        <v>515</v>
      </c>
      <c r="S4144" s="140"/>
    </row>
    <row r="4145" spans="1:19" hidden="1">
      <c r="A4145" s="144" t="s">
        <v>6241</v>
      </c>
      <c r="B4145" s="140" t="str">
        <f ca="1">IFERROR(VLOOKUP(Proc[[#This Row],[App]],Table2[],3,0),"open")</f>
        <v>open</v>
      </c>
      <c r="C4145" s="144" t="s">
        <v>370</v>
      </c>
      <c r="D4145" t="s">
        <v>6237</v>
      </c>
      <c r="E4145" t="s">
        <v>4866</v>
      </c>
      <c r="F4145" s="140" t="s">
        <v>6202</v>
      </c>
      <c r="G4145" t="s">
        <v>400</v>
      </c>
      <c r="H4145" s="140" t="str">
        <f ca="1">IF(Proc[[#This Row],[type]]="LFF (MDG-F)",MID(Proc[[#This Row],[Obj]],13,10),"")</f>
        <v/>
      </c>
      <c r="J4145" s="140" t="b">
        <f ca="1">Proc[[#This Row],[Requested]]=Proc[[#This Row],[CurrentParent]]</f>
        <v>0</v>
      </c>
      <c r="K4145" s="140" t="str">
        <f ca="1">IF(Proc[[#This Row],[Author]]="Marcela Urrego",VLOOKUP(LEFT(Proc[[#This Row],[Requested]],1),Table3[#All],2,0),VLOOKUP(Proc[[#This Row],[Author]],Table4[],2,0))</f>
        <v>MGF</v>
      </c>
      <c r="L4145" s="140" t="s">
        <v>4896</v>
      </c>
      <c r="M4145" s="137">
        <v>45909</v>
      </c>
      <c r="N4145" s="137"/>
      <c r="O4145" s="137"/>
      <c r="P4145" s="145" t="str">
        <f ca="1">IF(Proc[[#This Row],[DaysAgeing]]&gt;5,"yep","on track")</f>
        <v>on track</v>
      </c>
      <c r="Q4145" s="3">
        <f ca="1">IF(Proc[[#This Row],[DateClosed]]="",ABS(NETWORKDAYS(Proc[[#This Row],[DateOpened]],TODAY()))-1,ABS(NETWORKDAYS(Proc[[#This Row],[DateOpened]],Proc[[#This Row],[DateClosed]]))-1)</f>
        <v>0</v>
      </c>
      <c r="R4145" s="137" t="s">
        <v>515</v>
      </c>
      <c r="S4145" s="140"/>
    </row>
    <row r="4146" spans="1:19" hidden="1">
      <c r="A4146" s="144" t="s">
        <v>6241</v>
      </c>
      <c r="B4146" s="140" t="str">
        <f ca="1">IFERROR(VLOOKUP(Proc[[#This Row],[App]],Table2[],3,0),"open")</f>
        <v>open</v>
      </c>
      <c r="C4146" s="144" t="s">
        <v>370</v>
      </c>
      <c r="D4146" t="s">
        <v>6238</v>
      </c>
      <c r="E4146" t="s">
        <v>4866</v>
      </c>
      <c r="F4146" s="140" t="s">
        <v>6202</v>
      </c>
      <c r="G4146" t="s">
        <v>400</v>
      </c>
      <c r="H4146" s="140" t="str">
        <f ca="1">IF(Proc[[#This Row],[type]]="LFF (MDG-F)",MID(Proc[[#This Row],[Obj]],13,10),"")</f>
        <v/>
      </c>
      <c r="J4146" s="140" t="b">
        <f ca="1">Proc[[#This Row],[Requested]]=Proc[[#This Row],[CurrentParent]]</f>
        <v>0</v>
      </c>
      <c r="K4146" s="140" t="str">
        <f ca="1">IF(Proc[[#This Row],[Author]]="Marcela Urrego",VLOOKUP(LEFT(Proc[[#This Row],[Requested]],1),Table3[#All],2,0),VLOOKUP(Proc[[#This Row],[Author]],Table4[],2,0))</f>
        <v>MGF</v>
      </c>
      <c r="L4146" s="140" t="s">
        <v>4896</v>
      </c>
      <c r="M4146" s="137">
        <v>45909</v>
      </c>
      <c r="N4146" s="137"/>
      <c r="O4146" s="137"/>
      <c r="P4146" s="145" t="str">
        <f ca="1">IF(Proc[[#This Row],[DaysAgeing]]&gt;5,"yep","on track")</f>
        <v>on track</v>
      </c>
      <c r="Q4146" s="3">
        <f ca="1">IF(Proc[[#This Row],[DateClosed]]="",ABS(NETWORKDAYS(Proc[[#This Row],[DateOpened]],TODAY()))-1,ABS(NETWORKDAYS(Proc[[#This Row],[DateOpened]],Proc[[#This Row],[DateClosed]]))-1)</f>
        <v>0</v>
      </c>
      <c r="R4146" s="137" t="s">
        <v>515</v>
      </c>
      <c r="S4146" s="140"/>
    </row>
    <row r="4147" spans="1:19" hidden="1">
      <c r="A4147" s="144" t="s">
        <v>6241</v>
      </c>
      <c r="B4147" s="140" t="str">
        <f ca="1">IFERROR(VLOOKUP(Proc[[#This Row],[App]],Table2[],3,0),"open")</f>
        <v>open</v>
      </c>
      <c r="C4147" s="144" t="s">
        <v>370</v>
      </c>
      <c r="D4147" t="s">
        <v>6239</v>
      </c>
      <c r="E4147" t="s">
        <v>6242</v>
      </c>
      <c r="F4147" s="140" t="s">
        <v>6202</v>
      </c>
      <c r="G4147" t="s">
        <v>400</v>
      </c>
      <c r="H4147" s="140" t="str">
        <f ca="1">IF(Proc[[#This Row],[type]]="LFF (MDG-F)",MID(Proc[[#This Row],[Obj]],13,10),"")</f>
        <v/>
      </c>
      <c r="J4147" s="140" t="b">
        <f ca="1">Proc[[#This Row],[Requested]]=Proc[[#This Row],[CurrentParent]]</f>
        <v>0</v>
      </c>
      <c r="K4147" s="140" t="str">
        <f ca="1">IF(Proc[[#This Row],[Author]]="Marcela Urrego",VLOOKUP(LEFT(Proc[[#This Row],[Requested]],1),Table3[#All],2,0),VLOOKUP(Proc[[#This Row],[Author]],Table4[],2,0))</f>
        <v>MGF</v>
      </c>
      <c r="L4147" s="140" t="s">
        <v>4896</v>
      </c>
      <c r="M4147" s="137">
        <v>45909</v>
      </c>
      <c r="N4147" s="137"/>
      <c r="O4147" s="137"/>
      <c r="P4147" s="145" t="str">
        <f ca="1">IF(Proc[[#This Row],[DaysAgeing]]&gt;5,"yep","on track")</f>
        <v>on track</v>
      </c>
      <c r="Q4147" s="3">
        <f ca="1">IF(Proc[[#This Row],[DateClosed]]="",ABS(NETWORKDAYS(Proc[[#This Row],[DateOpened]],TODAY()))-1,ABS(NETWORKDAYS(Proc[[#This Row],[DateOpened]],Proc[[#This Row],[DateClosed]]))-1)</f>
        <v>0</v>
      </c>
      <c r="R4147" s="137" t="s">
        <v>515</v>
      </c>
      <c r="S4147" s="140"/>
    </row>
    <row r="4148" spans="1:19" hidden="1">
      <c r="A4148" s="144" t="s">
        <v>6241</v>
      </c>
      <c r="B4148" s="140" t="str">
        <f ca="1">IFERROR(VLOOKUP(Proc[[#This Row],[App]],Table2[],3,0),"open")</f>
        <v>open</v>
      </c>
      <c r="C4148" s="144" t="s">
        <v>370</v>
      </c>
      <c r="D4148" t="s">
        <v>6240</v>
      </c>
      <c r="E4148" t="s">
        <v>6242</v>
      </c>
      <c r="F4148" s="140" t="s">
        <v>6202</v>
      </c>
      <c r="G4148" s="144" t="s">
        <v>400</v>
      </c>
      <c r="H4148" s="140" t="str">
        <f ca="1">IF(Proc[[#This Row],[type]]="LFF (MDG-F)",MID(Proc[[#This Row],[Obj]],13,10),"")</f>
        <v/>
      </c>
      <c r="J4148" s="140" t="b">
        <f ca="1">Proc[[#This Row],[Requested]]=Proc[[#This Row],[CurrentParent]]</f>
        <v>0</v>
      </c>
      <c r="K4148" s="140" t="str">
        <f ca="1">IF(Proc[[#This Row],[Author]]="Marcela Urrego",VLOOKUP(LEFT(Proc[[#This Row],[Requested]],1),Table3[#All],2,0),VLOOKUP(Proc[[#This Row],[Author]],Table4[],2,0))</f>
        <v>MGF</v>
      </c>
      <c r="L4148" s="140" t="s">
        <v>4896</v>
      </c>
      <c r="M4148" s="137">
        <v>45909</v>
      </c>
      <c r="N4148" s="137"/>
      <c r="O4148" s="137"/>
      <c r="P4148" s="145" t="str">
        <f ca="1">IF(Proc[[#This Row],[DaysAgeing]]&gt;5,"yep","on track")</f>
        <v>on track</v>
      </c>
      <c r="Q4148" s="3">
        <f ca="1">IF(Proc[[#This Row],[DateClosed]]="",ABS(NETWORKDAYS(Proc[[#This Row],[DateOpened]],TODAY()))-1,ABS(NETWORKDAYS(Proc[[#This Row],[DateOpened]],Proc[[#This Row],[DateClosed]]))-1)</f>
        <v>0</v>
      </c>
      <c r="R4148" s="137" t="s">
        <v>515</v>
      </c>
      <c r="S4148" s="140"/>
    </row>
    <row r="4149" spans="1:19">
      <c r="A4149" t="s">
        <v>6245</v>
      </c>
      <c r="B4149" s="140" t="str">
        <f ca="1">IFERROR(VLOOKUP(Proc[[#This Row],[App]],Table2[],3,0),"open")</f>
        <v>open</v>
      </c>
      <c r="C4149" s="144" t="s">
        <v>6249</v>
      </c>
      <c r="D4149" t="s">
        <v>6252</v>
      </c>
      <c r="E4149" s="144" t="s">
        <v>6243</v>
      </c>
      <c r="F4149" s="144" t="s">
        <v>6244</v>
      </c>
      <c r="G4149" s="144" t="s">
        <v>406</v>
      </c>
      <c r="H4149" s="140" t="str">
        <f ca="1">IF(Proc[[#This Row],[type]]="LFF (MDG-F)",MID(Proc[[#This Row],[Obj]],13,10),"")</f>
        <v>DE10620801</v>
      </c>
      <c r="J4149" s="140" t="b">
        <f ca="1">Proc[[#This Row],[Requested]]=Proc[[#This Row],[CurrentParent]]</f>
        <v>0</v>
      </c>
      <c r="K4149" s="140" t="s">
        <v>567</v>
      </c>
      <c r="L4149" s="140" t="s">
        <v>4896</v>
      </c>
      <c r="M4149" s="137">
        <v>45909</v>
      </c>
      <c r="N4149" s="137"/>
      <c r="O4149" s="137"/>
      <c r="P4149" s="145" t="str">
        <f ca="1">IF(Proc[[#This Row],[DaysAgeing]]&gt;5,"yep","on track")</f>
        <v>on track</v>
      </c>
      <c r="Q4149" s="3">
        <f ca="1">IF(Proc[[#This Row],[DateClosed]]="",ABS(NETWORKDAYS(Proc[[#This Row],[DateOpened]],TODAY()))-1,ABS(NETWORKDAYS(Proc[[#This Row],[DateOpened]],Proc[[#This Row],[DateClosed]]))-1)</f>
        <v>0</v>
      </c>
      <c r="R4149" s="137" t="s">
        <v>452</v>
      </c>
      <c r="S4149" s="140"/>
    </row>
    <row r="4150" spans="1:19" hidden="1">
      <c r="A4150" t="s">
        <v>6248</v>
      </c>
      <c r="B4150" s="140" t="str">
        <f ca="1">IFERROR(VLOOKUP(Proc[[#This Row],[App]],Table2[],3,0),"open")</f>
        <v>open</v>
      </c>
      <c r="C4150" s="144" t="s">
        <v>405</v>
      </c>
      <c r="D4150" t="s">
        <v>6246</v>
      </c>
      <c r="E4150" t="s">
        <v>1458</v>
      </c>
      <c r="F4150" s="140" t="s">
        <v>6247</v>
      </c>
      <c r="G4150" s="144" t="s">
        <v>400</v>
      </c>
      <c r="H4150" s="140" t="str">
        <f ca="1">IF(Proc[[#This Row],[type]]="LFF (MDG-F)",MID(Proc[[#This Row],[Obj]],13,10),"")</f>
        <v/>
      </c>
      <c r="J4150" s="140" t="b">
        <f ca="1">Proc[[#This Row],[Requested]]=Proc[[#This Row],[CurrentParent]]</f>
        <v>0</v>
      </c>
      <c r="K4150" s="140" t="s">
        <v>567</v>
      </c>
      <c r="L4150" s="140" t="s">
        <v>4896</v>
      </c>
      <c r="M4150" s="137">
        <v>45909</v>
      </c>
      <c r="N4150" s="137"/>
      <c r="O4150" s="137"/>
      <c r="P4150" s="145" t="str">
        <f ca="1">IF(Proc[[#This Row],[DaysAgeing]]&gt;5,"yep","on track")</f>
        <v>on track</v>
      </c>
      <c r="Q4150" s="3">
        <f ca="1">IF(Proc[[#This Row],[DateClosed]]="",ABS(NETWORKDAYS(Proc[[#This Row],[DateOpened]],TODAY()))-1,ABS(NETWORKDAYS(Proc[[#This Row],[DateOpened]],Proc[[#This Row],[DateClosed]]))-1)</f>
        <v>0</v>
      </c>
      <c r="R4150" s="145" t="s">
        <v>1459</v>
      </c>
      <c r="S4150" s="140"/>
    </row>
    <row r="4151" spans="1:19">
      <c r="A4151" t="s">
        <v>6250</v>
      </c>
      <c r="B4151" s="140" t="str">
        <f ca="1">IFERROR(VLOOKUP(Proc[[#This Row],[App]],Table2[],3,0),"open")</f>
        <v>open</v>
      </c>
      <c r="C4151" s="144" t="s">
        <v>6249</v>
      </c>
      <c r="D4151" t="s">
        <v>6209</v>
      </c>
      <c r="E4151" t="s">
        <v>6251</v>
      </c>
      <c r="F4151" s="140"/>
      <c r="G4151" t="s">
        <v>406</v>
      </c>
      <c r="H4151" s="140" t="str">
        <f ca="1">IF(Proc[[#This Row],[type]]="LFF (MDG-F)",MID(Proc[[#This Row],[Obj]],13,10),"")</f>
        <v>CNS1OF0144</v>
      </c>
      <c r="J4151" s="140" t="b">
        <f ca="1">Proc[[#This Row],[Requested]]=Proc[[#This Row],[CurrentParent]]</f>
        <v>0</v>
      </c>
      <c r="K4151" s="140" t="s">
        <v>570</v>
      </c>
      <c r="L4151" s="140" t="s">
        <v>4896</v>
      </c>
      <c r="M4151" s="137">
        <v>45909</v>
      </c>
      <c r="N4151" s="137"/>
      <c r="O4151" s="137"/>
      <c r="P4151" s="145" t="str">
        <f ca="1">IF(Proc[[#This Row],[DaysAgeing]]&gt;5,"yep","on track")</f>
        <v>on track</v>
      </c>
      <c r="Q4151" s="3">
        <f ca="1">IF(Proc[[#This Row],[DateClosed]]="",ABS(NETWORKDAYS(Proc[[#This Row],[DateOpened]],TODAY()))-1,ABS(NETWORKDAYS(Proc[[#This Row],[DateOpened]],Proc[[#This Row],[DateClosed]]))-1)</f>
        <v>0</v>
      </c>
      <c r="R4151" s="145" t="s">
        <v>6090</v>
      </c>
      <c r="S4151" s="140"/>
    </row>
    <row r="4152" spans="1:19">
      <c r="A4152" s="144" t="s">
        <v>6250</v>
      </c>
      <c r="B4152" s="140" t="str">
        <f ca="1">IFERROR(VLOOKUP(Proc[[#This Row],[App]],Table2[],3,0),"open")</f>
        <v>open</v>
      </c>
      <c r="C4152" s="144" t="s">
        <v>6249</v>
      </c>
      <c r="D4152" t="s">
        <v>6214</v>
      </c>
      <c r="E4152" t="s">
        <v>6251</v>
      </c>
      <c r="F4152" s="140"/>
      <c r="G4152" s="144" t="s">
        <v>406</v>
      </c>
      <c r="H4152" s="140" t="str">
        <f ca="1">IF(Proc[[#This Row],[type]]="LFF (MDG-F)",MID(Proc[[#This Row],[Obj]],13,10),"")</f>
        <v>MYS1OF0110</v>
      </c>
      <c r="J4152" s="140" t="b">
        <f ca="1">Proc[[#This Row],[Requested]]=Proc[[#This Row],[CurrentParent]]</f>
        <v>0</v>
      </c>
      <c r="K4152" s="140" t="s">
        <v>570</v>
      </c>
      <c r="L4152" s="140" t="s">
        <v>4896</v>
      </c>
      <c r="M4152" s="137">
        <v>45909</v>
      </c>
      <c r="N4152" s="137"/>
      <c r="O4152" s="137"/>
      <c r="P4152" s="145" t="str">
        <f ca="1">IF(Proc[[#This Row],[DaysAgeing]]&gt;5,"yep","on track")</f>
        <v>on track</v>
      </c>
      <c r="Q4152" s="3">
        <f ca="1">IF(Proc[[#This Row],[DateClosed]]="",ABS(NETWORKDAYS(Proc[[#This Row],[DateOpened]],TODAY()))-1,ABS(NETWORKDAYS(Proc[[#This Row],[DateOpened]],Proc[[#This Row],[DateClosed]]))-1)</f>
        <v>0</v>
      </c>
      <c r="R4152" s="145" t="s">
        <v>6090</v>
      </c>
      <c r="S4152" s="140"/>
    </row>
    <row r="4153" spans="1:19">
      <c r="A4153" s="144" t="s">
        <v>6250</v>
      </c>
      <c r="B4153" s="140" t="str">
        <f ca="1">IFERROR(VLOOKUP(Proc[[#This Row],[App]],Table2[],3,0),"open")</f>
        <v>open</v>
      </c>
      <c r="C4153" s="144" t="s">
        <v>6249</v>
      </c>
      <c r="D4153" t="s">
        <v>6216</v>
      </c>
      <c r="E4153" t="s">
        <v>6251</v>
      </c>
      <c r="F4153" s="140"/>
      <c r="G4153" s="144" t="s">
        <v>406</v>
      </c>
      <c r="H4153" s="140" t="str">
        <f ca="1">IF(Proc[[#This Row],[type]]="LFF (MDG-F)",MID(Proc[[#This Row],[Obj]],13,10),"")</f>
        <v>THS1OF0110</v>
      </c>
      <c r="J4153" s="140" t="b">
        <f ca="1">Proc[[#This Row],[Requested]]=Proc[[#This Row],[CurrentParent]]</f>
        <v>0</v>
      </c>
      <c r="K4153" s="140" t="s">
        <v>570</v>
      </c>
      <c r="L4153" s="140" t="s">
        <v>4896</v>
      </c>
      <c r="M4153" s="137">
        <v>45909</v>
      </c>
      <c r="N4153" s="137"/>
      <c r="O4153" s="137"/>
      <c r="P4153" s="145" t="str">
        <f ca="1">IF(Proc[[#This Row],[DaysAgeing]]&gt;5,"yep","on track")</f>
        <v>on track</v>
      </c>
      <c r="Q4153" s="3">
        <f ca="1">IF(Proc[[#This Row],[DateClosed]]="",ABS(NETWORKDAYS(Proc[[#This Row],[DateOpened]],TODAY()))-1,ABS(NETWORKDAYS(Proc[[#This Row],[DateOpened]],Proc[[#This Row],[DateClosed]]))-1)</f>
        <v>0</v>
      </c>
      <c r="R4153" s="145" t="s">
        <v>6090</v>
      </c>
      <c r="S4153" s="140"/>
    </row>
    <row r="4154" spans="1:19">
      <c r="A4154" s="144" t="s">
        <v>6250</v>
      </c>
      <c r="B4154" s="140" t="str">
        <f ca="1">IFERROR(VLOOKUP(Proc[[#This Row],[App]],Table2[],3,0),"open")</f>
        <v>open</v>
      </c>
      <c r="C4154" s="144" t="s">
        <v>6249</v>
      </c>
      <c r="D4154" t="s">
        <v>6214</v>
      </c>
      <c r="E4154" t="s">
        <v>6251</v>
      </c>
      <c r="F4154" s="140"/>
      <c r="G4154" s="144" t="s">
        <v>406</v>
      </c>
      <c r="H4154" s="140" t="str">
        <f ca="1">IF(Proc[[#This Row],[type]]="LFF (MDG-F)",MID(Proc[[#This Row],[Obj]],13,10),"")</f>
        <v>MYS1OF0110</v>
      </c>
      <c r="J4154" s="140" t="b">
        <f ca="1">Proc[[#This Row],[Requested]]=Proc[[#This Row],[CurrentParent]]</f>
        <v>0</v>
      </c>
      <c r="K4154" s="140" t="str">
        <f ca="1">IF(Proc[[#This Row],[Author]]="Marcela Urrego",VLOOKUP(LEFT(Proc[[#This Row],[Requested]],1),Table3[#All],2,0),VLOOKUP(Proc[[#This Row],[Author]],Table4[],2,0))</f>
        <v>EL</v>
      </c>
      <c r="L4154" s="140" t="s">
        <v>4896</v>
      </c>
      <c r="M4154" s="137">
        <v>45909</v>
      </c>
      <c r="N4154" s="137"/>
      <c r="O4154" s="137"/>
      <c r="P4154" s="145" t="str">
        <f ca="1">IF(Proc[[#This Row],[DaysAgeing]]&gt;5,"yep","on track")</f>
        <v>on track</v>
      </c>
      <c r="Q4154" s="3">
        <f ca="1">IF(Proc[[#This Row],[DateClosed]]="",ABS(NETWORKDAYS(Proc[[#This Row],[DateOpened]],TODAY()))-1,ABS(NETWORKDAYS(Proc[[#This Row],[DateOpened]],Proc[[#This Row],[DateClosed]]))-1)</f>
        <v>0</v>
      </c>
      <c r="R4154" s="145" t="s">
        <v>6090</v>
      </c>
      <c r="S4154" s="140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G2:G4154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67" sqref="E67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 ca="1"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 ca="1"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 ca="1"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 ca="1"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 ca="1"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 ca="1"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 ca="1"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 ca="1"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 ca="1"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 ca="1"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 ca="1"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 ca="1"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 ca="1"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 ca="1"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 ca="1"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 ca="1"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 ca="1"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 ca="1"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 ca="1"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 ca="1"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 ca="1"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 ca="1"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 ca="1"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 ca="1"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 ca="1"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 ca="1"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 ca="1"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 ca="1"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 ca="1"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 ca="1"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 ca="1"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 ca="1"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 ca="1"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 ca="1"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 ca="1"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 ca="1"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 ca="1"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 ca="1"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 ca="1"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 ca="1"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 ca="1"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 ca="1"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 ca="1"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 ca="1"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 ca="1"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 ca="1"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 ca="1"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 ca="1"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 ca="1"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 ca="1"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 ca="1"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 ca="1"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 ca="1"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 ca="1"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 ca="1"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 ca="1"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 ca="1"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 ca="1"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 ca="1"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 ca="1"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 ca="1"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 ca="1"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 ca="1"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 ca="1"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 ca="1"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 ca="1"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 ca="1"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 ca="1"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 ca="1"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 ca="1"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 ca="1"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 ca="1"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 ca="1"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5"/>
  <sheetViews>
    <sheetView topLeftCell="A122" workbookViewId="0">
      <selection activeCell="D142" sqref="D142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5684</v>
      </c>
      <c r="B133" t="s">
        <v>569</v>
      </c>
    </row>
    <row r="134" spans="1:2">
      <c r="A134" s="130" t="s">
        <v>5711</v>
      </c>
      <c r="B134" t="s">
        <v>570</v>
      </c>
    </row>
    <row r="135" spans="1:2">
      <c r="A135" s="136" t="s">
        <v>6090</v>
      </c>
      <c r="B135" s="135" t="s">
        <v>570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2025-09-08T18:00:56Z</dcterms:modified>
  <cp:category/>
  <cp:contentStatus/>
</cp:coreProperties>
</file>