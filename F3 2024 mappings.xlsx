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F925D003-2D9B-4F25-9F77-DE26A458E5F2}" xr6:coauthVersionLast="47" xr6:coauthVersionMax="47" xr10:uidLastSave="{00000000-0000-0000-0000-000000000000}"/>
  <bookViews>
    <workbookView xWindow="3705" yWindow="1200" windowWidth="20910" windowHeight="11835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<sst xmlns="http://schemas.openxmlformats.org/spreadsheetml/2006/main" count="10144" uniqueCount="2779">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</sst>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19" formatCode="dd/mm/yyyy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4.642178587965" createdVersion="7" refreshedVersion="8" minRefreshableVersion="3" recordCount="936" xr:uid="{11839AE3-6158-4318-87AD-2C711D0BF451}">
  <cacheSource type="worksheet">
    <worksheetSource name="Proc"/>
  </cacheSource>
  <cacheFields count="19">
    <cacheField name="App" numFmtId="0">
      <sharedItems containsBlank="1" count="1309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6T12:57:27"/>
    </cacheField>
    <cacheField name="DateMapped" numFmtId="14">
      <sharedItems containsNonDate="0" containsDate="1" containsString="0" containsBlank="1" minDate="2023-09-01T00:00:00" maxDate="2025-03-29T00:00:00"/>
    </cacheField>
    <cacheField name="DateClosed" numFmtId="14">
      <sharedItems containsNonDate="0" containsDate="1" containsString="0" containsBlank="1" minDate="2023-09-06T00:00:00" maxDate="2025-03-29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7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70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5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1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8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8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8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8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8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8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8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8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8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8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8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8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8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8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8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8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8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8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8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8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8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8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8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8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8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8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8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8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8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8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8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8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8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8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8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8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8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8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8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8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8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7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7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7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7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7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9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8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9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9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3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3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3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8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8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8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8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4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8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9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8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9" firstHeaderRow="1" firstDataRow="1" firstDataCol="1" rowPageCount="1" colPageCount="1"/>
  <pivotFields count="19">
    <pivotField axis="axisRow" showAll="0" sortType="ascending">
      <items count="1310">
        <item m="1" x="694"/>
        <item x="0"/>
        <item m="1" x="764"/>
        <item m="1" x="1185"/>
        <item m="1" x="347"/>
        <item m="1" x="1202"/>
        <item m="1" x="724"/>
        <item m="1" x="814"/>
        <item m="1" x="1235"/>
        <item m="1" x="1029"/>
        <item m="1" x="717"/>
        <item m="1" x="1301"/>
        <item m="1" x="1047"/>
        <item m="1" x="1291"/>
        <item m="1" x="665"/>
        <item m="1" x="566"/>
        <item m="1" x="270"/>
        <item m="1" x="531"/>
        <item m="1" x="1255"/>
        <item m="1" x="323"/>
        <item m="1" x="631"/>
        <item m="1" x="999"/>
        <item m="1" x="714"/>
        <item m="1" x="807"/>
        <item m="1" x="1103"/>
        <item m="1" x="1288"/>
        <item m="1" x="749"/>
        <item m="1" x="771"/>
        <item m="1" x="536"/>
        <item m="1" x="937"/>
        <item m="1" x="696"/>
        <item m="1" x="1242"/>
        <item m="1" x="899"/>
        <item m="1" x="332"/>
        <item m="1" x="440"/>
        <item m="1" x="1227"/>
        <item m="1" x="991"/>
        <item m="1" x="245"/>
        <item m="1" x="1077"/>
        <item m="1" x="743"/>
        <item m="1" x="1038"/>
        <item m="1" x="624"/>
        <item m="1" x="976"/>
        <item m="1" x="235"/>
        <item m="1" x="265"/>
        <item m="1" x="1304"/>
        <item m="1" x="983"/>
        <item m="1" x="1051"/>
        <item m="1" x="1158"/>
        <item m="1" x="927"/>
        <item m="1" x="1025"/>
        <item m="1" x="864"/>
        <item m="1" x="319"/>
        <item m="1" x="510"/>
        <item m="1" x="1286"/>
        <item m="1" x="854"/>
        <item m="1" x="994"/>
        <item m="1" x="522"/>
        <item m="1" x="483"/>
        <item m="1" x="775"/>
        <item m="1" x="667"/>
        <item m="1" x="700"/>
        <item m="1" x="259"/>
        <item m="1" x="398"/>
        <item m="1" x="1060"/>
        <item m="1" x="1277"/>
        <item m="1" x="463"/>
        <item m="1" x="868"/>
        <item m="1" x="878"/>
        <item m="1" x="1055"/>
        <item m="1" x="1165"/>
        <item m="1" x="1043"/>
        <item m="1" x="338"/>
        <item m="1" x="1186"/>
        <item m="1" x="916"/>
        <item m="1" x="903"/>
        <item m="1" x="438"/>
        <item m="1" x="791"/>
        <item m="1" x="1138"/>
        <item m="1" x="256"/>
        <item m="1" x="835"/>
        <item m="1" x="1188"/>
        <item m="1" x="1026"/>
        <item m="1" x="761"/>
        <item m="1" x="803"/>
        <item m="1" x="684"/>
        <item m="1" x="919"/>
        <item m="1" x="731"/>
        <item m="1" x="963"/>
        <item m="1" x="447"/>
        <item m="1" x="1276"/>
        <item m="1" x="801"/>
        <item m="1" x="1087"/>
        <item m="1" x="164"/>
        <item m="1" x="1292"/>
        <item m="1" x="828"/>
        <item m="1" x="1117"/>
        <item m="1" x="1030"/>
        <item m="1" x="808"/>
        <item m="1" x="318"/>
        <item m="1" x="325"/>
        <item m="1" x="365"/>
        <item m="1" x="547"/>
        <item m="1" x="971"/>
        <item m="1" x="732"/>
        <item m="1" x="848"/>
        <item m="1" x="911"/>
        <item m="1" x="1058"/>
        <item m="1" x="1141"/>
        <item m="1" x="703"/>
        <item m="1" x="424"/>
        <item m="1" x="267"/>
        <item m="1" x="410"/>
        <item m="1" x="1285"/>
        <item m="1" x="442"/>
        <item m="1" x="1123"/>
        <item m="1" x="1052"/>
        <item m="1" x="670"/>
        <item m="1" x="742"/>
        <item m="1" x="608"/>
        <item m="1" x="865"/>
        <item m="1" x="1240"/>
        <item m="1" x="416"/>
        <item m="1" x="364"/>
        <item m="1" x="299"/>
        <item m="1" x="965"/>
        <item m="1" x="1225"/>
        <item m="1" x="1153"/>
        <item m="1" x="810"/>
        <item m="1" x="334"/>
        <item m="1" x="1059"/>
        <item m="1" x="511"/>
        <item m="1" x="765"/>
        <item m="1" x="940"/>
        <item m="1" x="1048"/>
        <item m="1" x="168"/>
        <item m="1" x="997"/>
        <item m="1" x="960"/>
        <item m="1" x="401"/>
        <item m="1" x="849"/>
        <item m="1" x="737"/>
        <item m="1" x="690"/>
        <item m="1" x="423"/>
        <item m="1" x="359"/>
        <item m="1" x="599"/>
        <item m="1" x="786"/>
        <item m="1" x="193"/>
        <item m="1" x="532"/>
        <item m="1" x="391"/>
        <item m="1" x="133"/>
        <item m="1" x="643"/>
        <item m="1" x="844"/>
        <item m="1" x="726"/>
        <item m="1" x="772"/>
        <item m="1" x="1091"/>
        <item m="1" x="673"/>
        <item m="1" x="1199"/>
        <item m="1" x="923"/>
        <item m="1" x="862"/>
        <item m="1" x="376"/>
        <item m="1" x="1009"/>
        <item m="1" x="1287"/>
        <item m="1" x="975"/>
        <item m="1" x="959"/>
        <item m="1" x="246"/>
        <item m="1" x="294"/>
        <item m="1" x="829"/>
        <item m="1" x="335"/>
        <item m="1" x="1272"/>
        <item m="1" x="938"/>
        <item m="1" x="863"/>
        <item m="1" x="815"/>
        <item m="1" x="616"/>
        <item m="1" x="244"/>
        <item m="1" x="344"/>
        <item m="1" x="450"/>
        <item m="1" x="1183"/>
        <item m="1" x="1215"/>
        <item m="1" x="914"/>
        <item m="1" x="641"/>
        <item m="1" x="729"/>
        <item m="1" x="239"/>
        <item m="1" x="279"/>
        <item m="1" x="618"/>
        <item m="1" x="843"/>
        <item m="1" x="756"/>
        <item m="1" x="414"/>
        <item m="1" x="647"/>
        <item m="1" x="361"/>
        <item m="1" x="556"/>
        <item m="1" x="478"/>
        <item m="1" x="313"/>
        <item m="1" x="449"/>
        <item m="1" x="819"/>
        <item m="1" x="229"/>
        <item m="1" x="468"/>
        <item m="1" x="260"/>
        <item m="1" x="953"/>
        <item m="1" x="1142"/>
        <item m="1" x="752"/>
        <item m="1" x="396"/>
        <item m="1" x="1046"/>
        <item m="1" x="891"/>
        <item m="1" x="408"/>
        <item m="1" x="409"/>
        <item m="1" x="594"/>
        <item m="1" x="284"/>
        <item m="1" x="473"/>
        <item m="1" x="268"/>
        <item m="1" x="454"/>
        <item m="1" x="1022"/>
        <item m="1" x="533"/>
        <item m="1" x="900"/>
        <item m="1" x="950"/>
        <item m="1" x="1084"/>
        <item m="1" x="1088"/>
        <item m="1" x="805"/>
        <item m="1" x="646"/>
        <item m="1" x="685"/>
        <item m="1" x="1252"/>
        <item m="1" x="545"/>
        <item m="1" x="357"/>
        <item m="1" x="735"/>
        <item m="1" x="192"/>
        <item m="1" x="1256"/>
        <item m="1" x="719"/>
        <item m="1" x="153"/>
        <item m="1" x="1174"/>
        <item m="1" x="1217"/>
        <item m="1" x="1054"/>
        <item m="1" x="431"/>
        <item m="1" x="170"/>
        <item m="1" x="1104"/>
        <item m="1" x="495"/>
        <item m="1" x="131"/>
        <item m="1" x="1275"/>
        <item m="1" x="519"/>
        <item m="1" x="674"/>
        <item m="1" x="1119"/>
        <item m="1" x="206"/>
        <item m="1" x="1031"/>
        <item m="1" x="839"/>
        <item m="1" x="704"/>
        <item m="1" x="574"/>
        <item m="1" x="321"/>
        <item m="1" x="822"/>
        <item m="1" x="524"/>
        <item m="1" x="1062"/>
        <item m="1" x="384"/>
        <item m="1" x="1132"/>
        <item m="1" x="1139"/>
        <item m="1" x="823"/>
        <item m="1" x="1013"/>
        <item m="1" x="430"/>
        <item m="1" x="727"/>
        <item m="1" x="1016"/>
        <item m="1" x="600"/>
        <item m="1" x="890"/>
        <item m="1" x="529"/>
        <item m="1" x="314"/>
        <item m="1" x="518"/>
        <item m="1" x="1284"/>
        <item m="1" x="1226"/>
        <item m="1" x="371"/>
        <item m="1" x="1172"/>
        <item m="1" x="178"/>
        <item m="1" x="1194"/>
        <item m="1" x="213"/>
        <item m="1" x="515"/>
        <item m="1" x="613"/>
        <item m="1" x="560"/>
        <item m="1" x="1167"/>
        <item m="1" x="1070"/>
        <item m="1" x="311"/>
        <item m="1" x="881"/>
        <item m="1" x="1089"/>
        <item m="1" x="1223"/>
        <item m="1" x="1130"/>
        <item m="1" x="216"/>
        <item m="1" x="1296"/>
        <item m="1" x="367"/>
        <item m="1" x="648"/>
        <item m="1" x="1092"/>
        <item m="1" x="215"/>
        <item m="1" x="1151"/>
        <item m="1" x="380"/>
        <item m="1" x="1024"/>
        <item m="1" x="888"/>
        <item m="1" x="866"/>
        <item m="1" x="445"/>
        <item m="1" x="407"/>
        <item m="1" x="1219"/>
        <item m="1" x="160"/>
        <item m="1" x="342"/>
        <item m="1" x="1001"/>
        <item m="1" x="1112"/>
        <item m="1" x="1039"/>
        <item m="1" x="1243"/>
        <item m="1" x="747"/>
        <item m="1" x="374"/>
        <item m="1" x="494"/>
        <item m="1" x="813"/>
        <item m="1" x="555"/>
        <item m="1" x="883"/>
        <item m="1" x="496"/>
        <item m="1" x="298"/>
        <item m="1" x="951"/>
        <item m="1" x="353"/>
        <item m="1" x="233"/>
        <item m="1" x="1085"/>
        <item m="1" x="1232"/>
        <item m="1" x="933"/>
        <item m="1" x="198"/>
        <item m="1" x="1124"/>
        <item m="1" x="922"/>
        <item m="1" x="1032"/>
        <item m="1" x="1171"/>
        <item m="1" x="399"/>
        <item m="1" x="591"/>
        <item m="1" x="429"/>
        <item m="1" x="697"/>
        <item m="1" x="621"/>
        <item m="1" x="651"/>
        <item m="1" x="1187"/>
        <item m="1" x="633"/>
        <item m="1" x="836"/>
        <item m="1" x="368"/>
        <item m="1" x="567"/>
        <item m="1" x="541"/>
        <item m="1" x="884"/>
        <item m="1" x="787"/>
        <item m="1" x="1015"/>
        <item m="1" x="537"/>
        <item m="1" x="1173"/>
        <item m="1" x="375"/>
        <item m="1" x="301"/>
        <item m="1" x="557"/>
        <item m="1" x="1098"/>
        <item m="1" x="208"/>
        <item m="1" x="209"/>
        <item m="1" x="505"/>
        <item m="1" x="1178"/>
        <item m="1" x="572"/>
        <item m="1" x="217"/>
        <item m="1" x="377"/>
        <item m="1" x="619"/>
        <item m="1" x="930"/>
        <item m="1" x="902"/>
        <item m="1" x="573"/>
        <item m="1" x="154"/>
        <item m="1" x="292"/>
        <item m="1" x="504"/>
        <item m="1" x="392"/>
        <item m="1" x="149"/>
        <item m="1" x="1102"/>
        <item m="1" x="1231"/>
        <item m="1" x="701"/>
        <item m="1" x="1131"/>
        <item m="1" x="1191"/>
        <item m="1" x="214"/>
        <item m="1" x="1229"/>
        <item m="1" x="967"/>
        <item m="1" x="390"/>
        <item m="1" x="576"/>
        <item m="1" x="480"/>
        <item m="1" x="842"/>
        <item m="1" x="413"/>
        <item m="1" x="629"/>
        <item m="1" x="924"/>
        <item m="1" x="1049"/>
        <item m="1" x="552"/>
        <item m="1" x="680"/>
        <item m="1" x="492"/>
        <item m="1" x="418"/>
        <item m="1" x="929"/>
        <item m="1" x="1044"/>
        <item m="1" x="1206"/>
        <item m="1" x="248"/>
        <item m="1" x="452"/>
        <item m="1" x="892"/>
        <item m="1" x="293"/>
        <item m="1" x="580"/>
        <item m="1" x="961"/>
        <item m="1" x="226"/>
        <item m="1" x="436"/>
        <item m="1" x="546"/>
        <item m="1" x="1152"/>
        <item m="1" x="385"/>
        <item m="1" x="655"/>
        <item m="1" x="1208"/>
        <item m="1" x="336"/>
        <item m="1" x="525"/>
        <item m="1" x="713"/>
        <item m="1" x="1050"/>
        <item m="1" x="348"/>
        <item m="1" x="604"/>
        <item m="1" x="446"/>
        <item m="1" x="942"/>
        <item m="1" x="1128"/>
        <item m="1" x="254"/>
        <item m="1" x="474"/>
        <item m="1" x="1210"/>
        <item m="1" x="1175"/>
        <item m="1" x="275"/>
        <item m="1" x="592"/>
        <item m="1" x="1116"/>
        <item m="1" x="1247"/>
        <item m="1" x="1118"/>
        <item m="1" x="1093"/>
        <item m="1" x="224"/>
        <item m="1" x="400"/>
        <item m="1" x="482"/>
        <item m="1" x="471"/>
        <item m="1" x="698"/>
        <item m="1" x="186"/>
        <item m="1" x="885"/>
        <item m="1" x="956"/>
        <item m="1" x="138"/>
        <item m="1" x="1216"/>
        <item m="1" x="1078"/>
        <item m="1" x="1207"/>
        <item m="1" x="1237"/>
        <item m="1" x="1273"/>
        <item m="1" x="1211"/>
        <item m="1" x="575"/>
        <item m="1" x="935"/>
        <item m="1" x="542"/>
        <item m="1" x="948"/>
        <item m="1" x="913"/>
        <item m="1" x="351"/>
        <item m="1" x="389"/>
        <item m="1" x="527"/>
        <item m="1" x="992"/>
        <item m="1" x="512"/>
        <item m="1" x="258"/>
        <item m="1" x="1257"/>
        <item m="1" x="1007"/>
        <item m="1" x="840"/>
        <item m="1" x="872"/>
        <item m="1" x="921"/>
        <item m="1" x="346"/>
        <item m="1" x="688"/>
        <item m="1" x="1033"/>
        <item m="1" x="184"/>
        <item m="1" x="427"/>
        <item m="1" x="327"/>
        <item m="1" x="324"/>
        <item m="1" x="328"/>
        <item m="1" x="129"/>
        <item m="1" x="350"/>
        <item m="1" x="1147"/>
        <item m="1" x="151"/>
        <item m="1" x="797"/>
        <item m="1" x="1234"/>
        <item m="1" x="1045"/>
        <item m="1" x="305"/>
        <item m="1" x="1305"/>
        <item m="1" x="234"/>
        <item m="1" x="601"/>
        <item m="1" x="824"/>
        <item m="1" x="280"/>
        <item m="1" x="733"/>
        <item m="1" x="893"/>
        <item m="1" x="1161"/>
        <item m="1" x="1063"/>
        <item m="1" x="142"/>
        <item m="1" x="825"/>
        <item m="1" x="225"/>
        <item m="1" x="461"/>
        <item m="1" x="433"/>
        <item m="1" x="195"/>
        <item m="1" x="788"/>
        <item m="1" x="795"/>
        <item m="1" x="895"/>
        <item m="1" x="644"/>
        <item m="1" x="1144"/>
        <item m="1" x="553"/>
        <item m="1" x="1263"/>
        <item m="1" x="898"/>
        <item m="1" x="789"/>
        <item m="1" x="453"/>
        <item m="1" x="861"/>
        <item m="1" x="1159"/>
        <item m="1" x="1224"/>
        <item m="1" x="1203"/>
        <item m="1" x="1133"/>
        <item m="1" x="882"/>
        <item m="1" x="995"/>
        <item m="1" x="508"/>
        <item m="1" x="957"/>
        <item m="1" x="782"/>
        <item m="1" x="741"/>
        <item m="1" x="739"/>
        <item m="1" x="740"/>
        <item m="1" x="437"/>
        <item m="1" x="481"/>
        <item m="1" x="1094"/>
        <item m="1" x="659"/>
        <item m="1" x="501"/>
        <item m="1" x="543"/>
        <item m="1" x="589"/>
        <item m="1" x="841"/>
        <item m="1" x="1179"/>
        <item m="1" x="1268"/>
        <item m="1" x="386"/>
        <item m="1" x="337"/>
        <item m="1" x="174"/>
        <item m="1" x="196"/>
        <item m="1" x="493"/>
        <item m="1" x="281"/>
        <item m="1" x="609"/>
        <item m="1" x="1145"/>
        <item m="1" x="486"/>
        <item m="1" x="278"/>
        <item m="1" x="1037"/>
        <item m="1" x="155"/>
        <item m="1" x="1163"/>
        <item m="1" x="1238"/>
        <item m="1" x="1302"/>
        <item m="1" x="1177"/>
        <item m="1" x="420"/>
        <item m="1" x="197"/>
        <item m="1" x="661"/>
        <item m="1" x="745"/>
        <item m="1" x="941"/>
        <item m="1" x="909"/>
        <item m="1" x="945"/>
        <item m="1" x="722"/>
        <item m="1" x="760"/>
        <item m="1" x="1201"/>
        <item m="1" x="964"/>
        <item m="1" x="934"/>
        <item m="1" x="873"/>
        <item m="1" x="946"/>
        <item m="1" x="147"/>
        <item m="1" x="152"/>
        <item m="1" x="755"/>
        <item m="1" x="1140"/>
        <item m="1" x="710"/>
        <item m="1" x="1280"/>
        <item m="1" x="679"/>
        <item m="1" x="855"/>
        <item m="1" x="926"/>
        <item m="1" x="540"/>
        <item m="1" x="372"/>
        <item m="1" x="748"/>
        <item m="1" x="434"/>
        <item m="1" x="1289"/>
        <item m="1" x="1204"/>
        <item m="1" x="1017"/>
        <item m="1" x="274"/>
        <item m="1" x="201"/>
        <item m="1" x="774"/>
        <item m="1" x="1018"/>
        <item m="1" x="1307"/>
        <item m="1" x="653"/>
        <item m="1" x="1254"/>
        <item m="1" x="188"/>
        <item m="1" x="302"/>
        <item m="1" x="614"/>
        <item m="1" x="705"/>
        <item m="1" x="1134"/>
        <item m="1" x="458"/>
        <item m="1" x="1137"/>
        <item m="1" x="554"/>
        <item m="1" x="1126"/>
        <item m="1" x="1290"/>
        <item m="1" x="218"/>
        <item m="1" x="1274"/>
        <item m="1" x="165"/>
        <item m="1" x="1027"/>
        <item m="1" x="645"/>
        <item m="1" x="476"/>
        <item m="1" x="439"/>
        <item m="1" x="583"/>
        <item m="1" x="182"/>
        <item m="1" x="1267"/>
        <item m="1" x="266"/>
        <item m="1" x="287"/>
        <item m="1" x="1160"/>
        <item m="1" x="1239"/>
        <item m="1" x="753"/>
        <item m="1" x="894"/>
        <item m="1" x="595"/>
        <item m="1" x="708"/>
        <item m="1" x="857"/>
        <item m="1" x="974"/>
        <item m="1" x="561"/>
        <item m="1" x="837"/>
        <item m="1" x="656"/>
        <item m="1" x="1293"/>
        <item m="1" x="146"/>
        <item m="1" x="585"/>
        <item m="1" x="526"/>
        <item m="1" x="487"/>
        <item m="1" x="1281"/>
        <item m="1" x="1099"/>
        <item m="1" x="1230"/>
        <item m="1" x="243"/>
        <item m="1" x="1241"/>
        <item m="1" x="1228"/>
        <item m="1" x="1105"/>
        <item m="1" x="340"/>
        <item m="1" x="709"/>
        <item m="1" x="802"/>
        <item m="1" x="548"/>
        <item m="1" x="1146"/>
        <item m="1" x="932"/>
        <item m="1" x="952"/>
        <item m="1" x="846"/>
        <item m="1" x="189"/>
        <item m="1" x="1019"/>
        <item m="1" x="1181"/>
        <item m="1" x="586"/>
        <item m="1" x="1300"/>
        <item m="1" x="794"/>
        <item m="1" x="381"/>
        <item m="1" x="514"/>
        <item m="1" x="550"/>
        <item m="1" x="1209"/>
        <item m="1" x="1193"/>
        <item m="1" x="253"/>
        <item m="1" x="255"/>
        <item m="1" x="169"/>
        <item m="1" x="1129"/>
        <item m="1" x="171"/>
        <item m="1" x="588"/>
        <item m="1" x="488"/>
        <item m="1" x="944"/>
        <item m="1" x="887"/>
        <item m="1" x="1236"/>
        <item m="1" x="1168"/>
        <item m="1" x="660"/>
        <item m="1" x="874"/>
        <item m="1" x="1109"/>
        <item m="1" x="222"/>
        <item m="1" x="654"/>
        <item m="1" x="584"/>
        <item m="1" x="1278"/>
        <item m="1" x="1245"/>
        <item m="1" x="676"/>
        <item m="1" x="282"/>
        <item m="1" x="577"/>
        <item m="1" x="750"/>
        <item m="1" x="204"/>
        <item m="1" x="1040"/>
        <item m="1" x="634"/>
        <item m="1" x="444"/>
        <item m="1" x="538"/>
        <item m="1" x="984"/>
        <item m="1" x="1283"/>
        <item m="1" x="362"/>
        <item m="1" x="1135"/>
        <item m="1" x="356"/>
        <item m="1" x="920"/>
        <item m="1" x="692"/>
        <item m="1" x="623"/>
        <item m="1" x="345"/>
        <item m="1" x="412"/>
        <item m="1" x="200"/>
        <item m="1" x="1000"/>
        <item m="1" x="513"/>
        <item m="1" x="237"/>
        <item m="1" x="851"/>
        <item m="1" x="1166"/>
        <item m="1" x="706"/>
        <item m="1" x="664"/>
        <item m="1" x="135"/>
        <item m="1" x="1271"/>
        <item m="1" x="521"/>
        <item m="1" x="581"/>
        <item m="1" x="988"/>
        <item m="1" x="1265"/>
        <item m="1" x="1190"/>
        <item m="1" x="1041"/>
        <item m="1" x="1156"/>
        <item m="1" x="317"/>
        <item m="1" x="516"/>
        <item m="1" x="349"/>
        <item m="1" x="141"/>
        <item m="1" x="754"/>
        <item m="1" x="203"/>
        <item m="1" x="425"/>
        <item m="1" x="369"/>
        <item m="1" x="315"/>
        <item m="1" x="1270"/>
        <item m="1" x="366"/>
        <item m="1" x="968"/>
        <item m="1" x="1180"/>
        <item m="1" x="306"/>
        <item m="1" x="210"/>
        <item m="1" x="1003"/>
        <item m="1" x="979"/>
        <item m="1" x="1020"/>
        <item m="1" x="939"/>
        <item m="1" x="283"/>
        <item m="1" x="639"/>
        <item m="1" x="907"/>
        <item m="1" x="1157"/>
        <item m="1" x="751"/>
        <item m="1" x="869"/>
        <item m="1" x="1213"/>
        <item m="1" x="625"/>
        <item m="1" x="469"/>
        <item m="1" x="702"/>
        <item m="1" x="649"/>
        <item m="1" x="579"/>
        <item m="1" x="1096"/>
        <item m="1" x="783"/>
        <item m="1" x="879"/>
        <item m="1" x="130"/>
        <item m="1" x="675"/>
        <item m="1" x="277"/>
        <item m="1" x="544"/>
        <item m="1" x="682"/>
        <item m="1" x="212"/>
        <item m="1" x="329"/>
        <item m="1" x="784"/>
        <item m="1" x="981"/>
        <item m="1" x="1251"/>
        <item m="1" x="1294"/>
        <item m="1" x="904"/>
        <item m="1" x="252"/>
        <item m="1" x="180"/>
        <item m="1" x="766"/>
        <item m="1" x="388"/>
        <item m="1" x="662"/>
        <item m="1" x="290"/>
        <item m="1" x="393"/>
        <item m="1" x="820"/>
        <item m="1" x="1176"/>
        <item m="1" x="1107"/>
        <item m="1" x="523"/>
        <item m="1" x="558"/>
        <item m="1" x="834"/>
        <item m="1" x="1264"/>
        <item m="1" x="990"/>
        <item m="1" x="156"/>
        <item m="1" x="1218"/>
        <item m="1" x="264"/>
        <item m="1" x="910"/>
        <item m="1" x="955"/>
        <item m="1" x="958"/>
        <item m="1" x="1298"/>
        <item m="1" x="191"/>
        <item m="1" x="969"/>
        <item m="1" x="1066"/>
        <item m="1" x="838"/>
        <item m="1" x="1008"/>
        <item m="1" x="250"/>
        <item m="1" x="642"/>
        <item m="1" x="489"/>
        <item m="1" x="1101"/>
        <item m="1" x="1196"/>
        <item m="1" x="725"/>
        <item m="1" x="1164"/>
        <item m="1" x="1212"/>
        <item m="1" x="565"/>
        <item m="1" x="1068"/>
        <item m="1" x="931"/>
        <item m="1" x="1214"/>
        <item m="1" x="1258"/>
        <item m="1" x="996"/>
        <item m="1" x="606"/>
        <item m="1" x="411"/>
        <item m="1" x="1246"/>
        <item m="1" x="793"/>
        <item m="1" x="767"/>
        <item m="1" x="776"/>
        <item m="1" x="1297"/>
        <item m="1" x="1021"/>
        <item m="1" x="716"/>
        <item m="1" x="985"/>
        <item m="1" x="962"/>
        <item m="1" x="578"/>
        <item m="1" x="479"/>
        <item m="1" x="978"/>
        <item m="1" x="373"/>
        <item m="1" x="330"/>
        <item m="1" x="272"/>
        <item m="1" x="1259"/>
        <item m="1" x="875"/>
        <item m="1" x="610"/>
        <item m="1" x="691"/>
        <item m="1" x="172"/>
        <item m="1" x="1248"/>
        <item m="1" x="799"/>
        <item m="1" x="947"/>
        <item m="1" x="395"/>
        <item m="1" x="1079"/>
        <item m="1" x="582"/>
        <item m="1" x="475"/>
        <item m="1" x="1303"/>
        <item m="1" x="605"/>
        <item m="1" x="1244"/>
        <item m="1" x="830"/>
        <item m="1" x="506"/>
        <item m="1" x="297"/>
        <item m="1" x="240"/>
        <item m="1" x="534"/>
        <item m="1" x="231"/>
        <item m="1" x="202"/>
        <item m="1" x="219"/>
        <item m="1" x="498"/>
        <item m="1" x="343"/>
        <item m="1" x="650"/>
        <item m="1" x="707"/>
        <item m="1" x="806"/>
        <item m="1" x="677"/>
        <item m="1" x="1010"/>
        <item m="1" x="1074"/>
        <item m="1" x="286"/>
        <item m="1" x="296"/>
        <item m="1" x="485"/>
        <item m="1" x="627"/>
        <item m="1" x="417"/>
        <item m="1" x="970"/>
        <item m="1" x="720"/>
        <item m="1" x="637"/>
        <item m="1" x="770"/>
        <item m="1" x="1076"/>
        <item m="1" x="1014"/>
        <item m="1" x="1100"/>
        <item m="1" x="856"/>
        <item m="1" x="276"/>
        <item m="1" x="1282"/>
        <item m="1" x="695"/>
        <item m="1" x="310"/>
        <item m="1" x="134"/>
        <item m="1" x="1279"/>
        <item m="1" x="763"/>
        <item m="1" x="730"/>
        <item m="1" x="502"/>
        <item m="1" x="382"/>
        <item m="1" x="466"/>
        <item m="1" x="620"/>
        <item m="1" x="1195"/>
        <item m="1" x="1114"/>
        <item m="1" x="490"/>
        <item m="1" x="563"/>
        <item m="1" x="570"/>
        <item m="1" x="1108"/>
        <item m="1" x="711"/>
        <item m="1" x="183"/>
        <item m="1" x="744"/>
        <item m="1" x="1023"/>
        <item m="1" x="1149"/>
        <item m="1" x="1042"/>
        <item m="1" x="850"/>
        <item m="1" x="1148"/>
        <item m="1" x="162"/>
        <item m="1" x="1065"/>
        <item m="1" x="144"/>
        <item m="1" x="484"/>
        <item m="1" x="148"/>
        <item m="1" x="307"/>
        <item m="1" x="397"/>
        <item m="1" x="403"/>
        <item m="1" x="821"/>
        <item m="1" x="1075"/>
        <item m="1" x="602"/>
        <item m="1" x="173"/>
        <item m="1" x="379"/>
        <item m="1" x="167"/>
        <item m="1" x="1162"/>
        <item m="1" x="387"/>
        <item m="1" x="723"/>
        <item m="1" x="1182"/>
        <item m="1" x="509"/>
        <item m="1" x="451"/>
        <item m="1" x="847"/>
        <item m="1" x="404"/>
        <item m="1" x="712"/>
        <item m="1" x="1006"/>
        <item m="1" x="145"/>
        <item m="1" x="658"/>
        <item m="1" x="777"/>
        <item m="1" x="269"/>
        <item m="1" x="611"/>
        <item m="1" x="746"/>
        <item m="1" x="497"/>
        <item m="1" x="535"/>
        <item m="1" x="262"/>
        <item m="1" x="668"/>
        <item m="1" x="132"/>
        <item m="1" x="804"/>
        <item m="1" x="1197"/>
        <item m="1" x="918"/>
        <item m="1" x="912"/>
        <item m="1" x="811"/>
        <item m="1" x="137"/>
        <item m="1" x="943"/>
        <item m="1" x="986"/>
        <item m="1" x="792"/>
        <item m="1" x="136"/>
        <item m="1" x="1143"/>
        <item m="1" x="1110"/>
        <item m="1" x="140"/>
        <item m="1" x="419"/>
        <item m="1" x="809"/>
        <item m="1" x="1064"/>
        <item m="1" x="261"/>
        <item m="1" x="157"/>
        <item m="1" x="316"/>
        <item m="1" x="207"/>
        <item m="1" x="615"/>
        <item m="1" x="428"/>
        <item m="1" x="426"/>
        <item m="1" x="597"/>
        <item m="1" x="699"/>
        <item m="1" x="603"/>
        <item m="1" x="800"/>
        <item m="1" x="652"/>
        <item m="1" x="517"/>
        <item m="1" x="632"/>
        <item m="1" x="1125"/>
        <item m="1" x="1220"/>
        <item m="1" x="477"/>
        <item m="1" x="1200"/>
        <item m="1" x="242"/>
        <item m="1" x="1189"/>
        <item m="1" x="886"/>
        <item m="1" x="1057"/>
        <item m="1" x="1136"/>
        <item m="1" x="816"/>
        <item m="1" x="1028"/>
        <item m="1" x="320"/>
        <item m="1" x="303"/>
        <item m="1" x="925"/>
        <item m="1" x="897"/>
        <item m="1" x="459"/>
        <item m="1" x="1295"/>
        <item m="1" x="867"/>
        <item m="1" x="607"/>
        <item m="1" x="681"/>
        <item m="1" x="640"/>
        <item m="1" x="1150"/>
        <item m="1" x="1154"/>
        <item m="1" x="150"/>
        <item m="1" x="1034"/>
        <item m="1" x="1080"/>
        <item m="1" x="199"/>
        <item m="1" x="571"/>
        <item m="1" x="562"/>
        <item m="1" x="1069"/>
        <item m="1" x="768"/>
        <item m="1" x="972"/>
        <item m="1" x="638"/>
        <item m="1" x="989"/>
        <item m="1" x="177"/>
        <item m="1" x="300"/>
        <item m="1" x="1269"/>
        <item m="1" x="889"/>
        <item m="1" x="1261"/>
        <item m="1" x="181"/>
        <item m="1" x="441"/>
        <item m="1" x="257"/>
        <item m="1" x="190"/>
        <item m="1" x="205"/>
        <item m="1" x="757"/>
        <item m="1" x="790"/>
        <item m="1" x="462"/>
        <item m="1" x="880"/>
        <item m="1" x="1198"/>
        <item m="1" x="549"/>
        <item m="1" x="628"/>
        <item m="1" x="778"/>
        <item m="1" x="1266"/>
        <item m="1" x="443"/>
        <item m="1" x="455"/>
        <item m="1" x="465"/>
        <item m="1" x="1086"/>
        <item m="1" x="1222"/>
        <item m="1" x="139"/>
        <item m="1" x="966"/>
        <item m="1" x="1262"/>
        <item m="1" x="363"/>
        <item m="1" x="678"/>
        <item m="1" x="1299"/>
        <item m="1" x="1205"/>
        <item m="1" x="352"/>
        <item m="1" x="464"/>
        <item m="1" x="551"/>
        <item m="1" x="876"/>
        <item m="1" x="1073"/>
        <item m="1" x="308"/>
        <item m="1" x="779"/>
        <item m="1" x="304"/>
        <item m="1" x="273"/>
        <item m="1" x="221"/>
        <item m="1" x="1192"/>
        <item m="1" x="785"/>
        <item m="1" x="1233"/>
        <item m="1" x="626"/>
        <item m="1" x="1250"/>
        <item m="1" x="1002"/>
        <item m="1" x="291"/>
        <item m="1" x="1106"/>
        <item m="1" x="1120"/>
        <item m="1" x="780"/>
        <item m="1" x="1155"/>
        <item m="1" x="993"/>
        <item m="1" x="858"/>
        <item m="1" x="175"/>
        <item m="1" x="1004"/>
        <item m="1" x="736"/>
        <item m="1" x="669"/>
        <item m="1" x="1012"/>
        <item m="1" x="596"/>
        <item m="1" x="230"/>
        <item m="1" x="402"/>
        <item m="1" x="179"/>
        <item m="1" x="528"/>
        <item m="1" x="906"/>
        <item m="1" x="491"/>
        <item m="1" x="354"/>
        <item m="1" x="569"/>
        <item m="1" x="247"/>
        <item m="1" x="499"/>
        <item m="1" x="370"/>
        <item m="1" x="721"/>
        <item m="1" x="1308"/>
        <item m="1" x="762"/>
        <item m="1" x="358"/>
        <item m="1" x="635"/>
        <item m="1" x="341"/>
        <item m="1" x="394"/>
        <item m="1" x="686"/>
        <item m="1" x="954"/>
        <item m="1" x="671"/>
        <item m="1" x="1121"/>
        <item m="1" x="683"/>
        <item m="1" x="917"/>
        <item m="1" x="232"/>
        <item m="1" x="715"/>
        <item m="1" x="355"/>
        <item m="1" x="285"/>
        <item m="1" x="1011"/>
        <item m="1" x="326"/>
        <item m="1" x="1035"/>
        <item m="1" x="227"/>
        <item m="1" x="852"/>
        <item m="1" x="859"/>
        <item m="1" x="263"/>
        <item m="1" x="781"/>
        <item m="1" x="159"/>
        <item m="1" x="982"/>
        <item m="1" x="687"/>
        <item m="1" x="908"/>
        <item m="1" x="877"/>
        <item m="1" x="1097"/>
        <item m="1" x="870"/>
        <item m="1" x="448"/>
        <item m="1" x="949"/>
        <item m="1" x="1083"/>
        <item m="1" x="773"/>
        <item m="1" x="905"/>
        <item m="1" x="238"/>
        <item m="1" x="1071"/>
        <item m="1" x="728"/>
        <item m="1" x="593"/>
        <item m="1" x="977"/>
        <item m="1" x="503"/>
        <item m="1" x="826"/>
        <item m="1" x="360"/>
        <item m="1" x="456"/>
        <item m="1" x="853"/>
        <item m="1" x="622"/>
        <item m="1" x="166"/>
        <item m="1" x="500"/>
        <item m="1" x="980"/>
        <item m="1" x="1082"/>
        <item m="1" x="185"/>
        <item m="1" x="470"/>
        <item m="1" x="405"/>
        <item m="1" x="738"/>
        <item m="1" x="831"/>
        <item m="1" x="271"/>
        <item m="1" x="1253"/>
        <item m="1" x="236"/>
        <item m="1" x="309"/>
        <item m="1" x="1090"/>
        <item m="1" x="598"/>
        <item m="1" x="612"/>
        <item m="1" x="666"/>
        <item m="1" x="241"/>
        <item m="1" x="520"/>
        <item m="1" x="915"/>
        <item m="1" x="827"/>
        <item m="1" x="617"/>
        <item m="1" x="564"/>
        <item m="1" x="194"/>
        <item m="1" x="432"/>
        <item m="1" x="896"/>
        <item m="1" x="530"/>
        <item m="1" x="693"/>
        <item m="1" x="630"/>
        <item m="1" x="812"/>
        <item m="1" x="176"/>
        <item m="1" x="657"/>
        <item m="1" x="331"/>
        <item m="1" x="734"/>
        <item m="1" x="860"/>
        <item m="1" x="936"/>
        <item m="1" x="871"/>
        <item m="1" x="832"/>
        <item m="1" x="758"/>
        <item m="1" x="1169"/>
        <item m="1" x="1061"/>
        <item m="1" x="312"/>
        <item m="1" x="1053"/>
        <item m="1" x="507"/>
        <item m="1" x="817"/>
        <item m="1" x="223"/>
        <item m="1" x="796"/>
        <item m="1" x="663"/>
        <item m="1" x="1095"/>
        <item m="1" x="249"/>
        <item m="1" x="1306"/>
        <item m="1" x="288"/>
        <item m="1" x="228"/>
        <item m="1" x="798"/>
        <item m="1" x="998"/>
        <item m="1" x="901"/>
        <item m="1" x="187"/>
        <item m="1" x="339"/>
        <item m="1" x="1127"/>
        <item m="1" x="1067"/>
        <item m="1" x="322"/>
        <item m="1" x="295"/>
        <item m="1" x="590"/>
        <item m="1" x="211"/>
        <item m="1" x="818"/>
        <item m="1" x="251"/>
        <item m="1" x="421"/>
        <item m="1" x="718"/>
        <item m="1" x="1249"/>
        <item m="1" x="289"/>
        <item m="1" x="559"/>
        <item m="1" x="406"/>
        <item m="1" x="568"/>
        <item m="1" x="1122"/>
        <item m="1" x="1005"/>
        <item m="1" x="467"/>
        <item m="1" x="220"/>
        <item m="1" x="1170"/>
        <item m="1" x="333"/>
        <item m="1" x="1115"/>
        <item m="1" x="672"/>
        <item m="1" x="1056"/>
        <item m="1" x="415"/>
        <item m="1" x="587"/>
        <item m="1" x="1072"/>
        <item m="1" x="1260"/>
        <item m="1" x="1036"/>
        <item m="1" x="435"/>
        <item m="1" x="378"/>
        <item m="1" x="1081"/>
        <item m="1" x="845"/>
        <item m="1" x="689"/>
        <item m="1" x="1113"/>
        <item m="1" x="161"/>
        <item m="1" x="158"/>
        <item m="1" x="833"/>
        <item m="1" x="973"/>
        <item m="1" x="928"/>
        <item m="1" x="1111"/>
        <item m="1" x="636"/>
        <item m="1" x="383"/>
        <item m="1" x="457"/>
        <item m="1" x="987"/>
        <item m="1" x="539"/>
        <item m="1" x="769"/>
        <item m="1" x="1184"/>
        <item m="1" x="422"/>
        <item m="1" x="759"/>
        <item m="1" x="143"/>
        <item m="1" x="472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m="1" x="460"/>
        <item m="1" x="1221"/>
        <item m="1" x="163"/>
        <item m="1" x="12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5"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51" totalsRowShown="0" totalsRowDxfId="23">
  <autoFilter ref="A1:C1051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37" totalsRowShown="0">
  <autoFilter ref="A1:S937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"/>
    <tableColumn id="16" xr3:uid="{37F76675-DAA7-497A-B0C3-D5ADC87396FC}" name="DateClosed" dataDxfId="0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5" sqref="A5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2668</v>
      </c>
      <c r="B5" s="73">
        <v>19</v>
      </c>
      <c r="C5"/>
      <c r="D5"/>
      <c r="E5"/>
    </row>
    <row r="6" spans="1:6">
      <c r="A6" s="67" t="s">
        <v>2586</v>
      </c>
      <c r="B6" s="73">
        <v>19</v>
      </c>
      <c r="C6"/>
      <c r="D6"/>
      <c r="E6"/>
    </row>
    <row r="7" spans="1:6">
      <c r="A7" s="68" t="s">
        <v>369</v>
      </c>
      <c r="B7" s="73">
        <v>18</v>
      </c>
      <c r="C7"/>
      <c r="D7"/>
      <c r="E7"/>
    </row>
    <row r="8" spans="1:6">
      <c r="A8" s="68" t="s">
        <v>370</v>
      </c>
      <c r="B8" s="73">
        <v>1</v>
      </c>
      <c r="C8" s="56"/>
      <c r="D8"/>
      <c r="E8"/>
    </row>
    <row r="9" spans="1:6">
      <c r="A9" s="17" t="s">
        <v>381</v>
      </c>
      <c r="B9" s="73">
        <v>19</v>
      </c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51"/>
  <sheetViews>
    <sheetView topLeftCell="A1033" workbookViewId="0">
      <selection activeCell="C1051" sqref="C105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2" t="s">
        <v>4</v>
      </c>
    </row>
    <row r="982" spans="1:3">
      <c r="A982" t="s">
        <v>1934</v>
      </c>
      <c r="B982">
        <v>1</v>
      </c>
      <c r="C982" s="72" t="s">
        <v>4</v>
      </c>
    </row>
    <row r="983" spans="1:3">
      <c r="A983" t="s">
        <v>1930</v>
      </c>
      <c r="B983">
        <v>2</v>
      </c>
      <c r="C983" s="72" t="s">
        <v>4</v>
      </c>
    </row>
    <row r="984" spans="1:3">
      <c r="A984" t="s">
        <v>1937</v>
      </c>
      <c r="B984">
        <v>2</v>
      </c>
      <c r="C984" s="72" t="s">
        <v>4</v>
      </c>
    </row>
    <row r="985" spans="1:3">
      <c r="A985" t="s">
        <v>1951</v>
      </c>
      <c r="B985">
        <v>1</v>
      </c>
      <c r="C985" s="72" t="s">
        <v>4</v>
      </c>
    </row>
    <row r="986" spans="1:3">
      <c r="A986" t="s">
        <v>1760</v>
      </c>
      <c r="B986">
        <v>1</v>
      </c>
      <c r="C986" s="72" t="s">
        <v>4</v>
      </c>
    </row>
    <row r="987" spans="1:3">
      <c r="A987" t="s">
        <v>1972</v>
      </c>
      <c r="B987">
        <v>4</v>
      </c>
      <c r="C987" s="72" t="s">
        <v>4</v>
      </c>
    </row>
    <row r="988" spans="1:3">
      <c r="A988" t="s">
        <v>1974</v>
      </c>
      <c r="B988">
        <v>1</v>
      </c>
      <c r="C988" s="72" t="s">
        <v>4</v>
      </c>
    </row>
    <row r="989" spans="1:3">
      <c r="A989" t="s">
        <v>1958</v>
      </c>
      <c r="B989">
        <v>9</v>
      </c>
      <c r="C989" s="72" t="s">
        <v>4</v>
      </c>
    </row>
    <row r="990" spans="1:3">
      <c r="A990" t="s">
        <v>2198</v>
      </c>
      <c r="B990">
        <v>2</v>
      </c>
      <c r="C990" s="72" t="s">
        <v>4</v>
      </c>
    </row>
    <row r="991" spans="1:3">
      <c r="A991" t="s">
        <v>2165</v>
      </c>
      <c r="B991">
        <v>11</v>
      </c>
      <c r="C991" s="72" t="s">
        <v>4</v>
      </c>
    </row>
    <row r="992" spans="1:3">
      <c r="A992" t="s">
        <v>2179</v>
      </c>
      <c r="B992">
        <v>10</v>
      </c>
      <c r="C992" s="72" t="s">
        <v>4</v>
      </c>
    </row>
    <row r="993" spans="1:3">
      <c r="A993" t="s">
        <v>2173</v>
      </c>
      <c r="B993">
        <v>5</v>
      </c>
      <c r="C993" s="72" t="s">
        <v>4</v>
      </c>
    </row>
    <row r="994" spans="1:3">
      <c r="A994" t="s">
        <v>2199</v>
      </c>
      <c r="B994">
        <v>2</v>
      </c>
      <c r="C994" s="72" t="s">
        <v>4</v>
      </c>
    </row>
    <row r="995" spans="1:3">
      <c r="A995" t="s">
        <v>2205</v>
      </c>
      <c r="B995">
        <v>1</v>
      </c>
      <c r="C995" s="72" t="s">
        <v>4</v>
      </c>
    </row>
    <row r="996" spans="1:3">
      <c r="A996" t="s">
        <v>2226</v>
      </c>
      <c r="B996">
        <v>1</v>
      </c>
      <c r="C996" s="72" t="s">
        <v>4</v>
      </c>
    </row>
    <row r="997" spans="1:3">
      <c r="A997" t="s">
        <v>2223</v>
      </c>
      <c r="B997">
        <v>7</v>
      </c>
      <c r="C997" s="72" t="s">
        <v>4</v>
      </c>
    </row>
    <row r="998" spans="1:3">
      <c r="A998" t="s">
        <v>1818</v>
      </c>
      <c r="B998">
        <v>17</v>
      </c>
      <c r="C998" s="72" t="s">
        <v>4</v>
      </c>
    </row>
    <row r="999" spans="1:3">
      <c r="A999" t="s">
        <v>1957</v>
      </c>
      <c r="B999">
        <v>1</v>
      </c>
      <c r="C999" s="72" t="s">
        <v>4</v>
      </c>
    </row>
    <row r="1000" spans="1:3">
      <c r="A1000" t="s">
        <v>1977</v>
      </c>
      <c r="B1000">
        <v>98</v>
      </c>
      <c r="C1000" s="72" t="s">
        <v>4</v>
      </c>
    </row>
    <row r="1001" spans="1:3">
      <c r="A1001" t="s">
        <v>2208</v>
      </c>
      <c r="B1001">
        <v>1</v>
      </c>
      <c r="C1001" s="72" t="s">
        <v>4</v>
      </c>
    </row>
    <row r="1002" spans="1:3">
      <c r="A1002" t="s">
        <v>2230</v>
      </c>
      <c r="B1002">
        <v>1</v>
      </c>
      <c r="C1002" s="72" t="s">
        <v>4</v>
      </c>
    </row>
    <row r="1003" spans="1:3">
      <c r="A1003" t="s">
        <v>2241</v>
      </c>
      <c r="B1003">
        <v>9</v>
      </c>
      <c r="C1003" s="72" t="s">
        <v>4</v>
      </c>
    </row>
    <row r="1004" spans="1:3">
      <c r="A1004" t="s">
        <v>2261</v>
      </c>
      <c r="B1004">
        <v>4</v>
      </c>
      <c r="C1004" s="72" t="s">
        <v>4</v>
      </c>
    </row>
    <row r="1005" spans="1:3">
      <c r="A1005" t="s">
        <v>2271</v>
      </c>
      <c r="B1005">
        <v>3</v>
      </c>
      <c r="C1005" s="72" t="s">
        <v>4</v>
      </c>
    </row>
    <row r="1006" spans="1:3">
      <c r="A1006" t="s">
        <v>2390</v>
      </c>
      <c r="B1006">
        <v>14</v>
      </c>
      <c r="C1006" s="72" t="s">
        <v>4</v>
      </c>
    </row>
    <row r="1007" spans="1:3">
      <c r="A1007" t="s">
        <v>2282</v>
      </c>
      <c r="B1007">
        <v>46</v>
      </c>
      <c r="C1007" s="72" t="s">
        <v>4</v>
      </c>
    </row>
    <row r="1008" spans="1:3">
      <c r="A1008" t="s">
        <v>2411</v>
      </c>
      <c r="B1008">
        <v>15</v>
      </c>
      <c r="C1008" s="72" t="s">
        <v>4</v>
      </c>
    </row>
    <row r="1009" spans="1:3">
      <c r="A1009" t="s">
        <v>2244</v>
      </c>
      <c r="B1009">
        <v>1</v>
      </c>
      <c r="C1009" s="72" t="s">
        <v>4</v>
      </c>
    </row>
    <row r="1010" spans="1:3">
      <c r="A1010" t="s">
        <v>2418</v>
      </c>
      <c r="B1010">
        <v>1</v>
      </c>
      <c r="C1010" s="72" t="s">
        <v>4</v>
      </c>
    </row>
    <row r="1011" spans="1:3">
      <c r="A1011" t="s">
        <v>2421</v>
      </c>
      <c r="B1011">
        <v>4</v>
      </c>
      <c r="C1011" s="72" t="s">
        <v>4</v>
      </c>
    </row>
    <row r="1012" spans="1:3">
      <c r="A1012" t="s">
        <v>2432</v>
      </c>
      <c r="B1012">
        <v>1</v>
      </c>
      <c r="C1012" s="72" t="s">
        <v>4</v>
      </c>
    </row>
    <row r="1013" spans="1:3">
      <c r="A1013" t="s">
        <v>2433</v>
      </c>
      <c r="B1013">
        <v>1</v>
      </c>
      <c r="C1013" s="72" t="s">
        <v>4</v>
      </c>
    </row>
    <row r="1014" spans="1:3">
      <c r="A1014" t="s">
        <v>2441</v>
      </c>
      <c r="B1014">
        <v>2</v>
      </c>
      <c r="C1014" s="72" t="s">
        <v>4</v>
      </c>
    </row>
    <row r="1015" spans="1:3">
      <c r="A1015" t="s">
        <v>2442</v>
      </c>
      <c r="B1015">
        <v>1</v>
      </c>
      <c r="C1015" s="72" t="s">
        <v>4</v>
      </c>
    </row>
    <row r="1016" spans="1:3">
      <c r="A1016" t="s">
        <v>2526</v>
      </c>
      <c r="B1016">
        <v>8</v>
      </c>
      <c r="C1016" s="72" t="s">
        <v>4</v>
      </c>
    </row>
    <row r="1017" spans="1:3">
      <c r="A1017" t="s">
        <v>2508</v>
      </c>
      <c r="B1017">
        <v>2</v>
      </c>
      <c r="C1017" s="72" t="s">
        <v>4</v>
      </c>
    </row>
    <row r="1018" spans="1:3">
      <c r="A1018" t="s">
        <v>2506</v>
      </c>
      <c r="B1018">
        <v>1</v>
      </c>
      <c r="C1018" s="72" t="s">
        <v>4</v>
      </c>
    </row>
    <row r="1019" spans="1:3">
      <c r="A1019" t="s">
        <v>2503</v>
      </c>
      <c r="B1019">
        <v>11</v>
      </c>
      <c r="C1019" s="72" t="s">
        <v>4</v>
      </c>
    </row>
    <row r="1020" spans="1:3">
      <c r="A1020" t="s">
        <v>2470</v>
      </c>
      <c r="B1020">
        <v>22</v>
      </c>
      <c r="C1020" s="72" t="s">
        <v>4</v>
      </c>
    </row>
    <row r="1021" spans="1:3">
      <c r="A1021" t="s">
        <v>2556</v>
      </c>
      <c r="B1021">
        <v>5</v>
      </c>
      <c r="C1021" s="72" t="s">
        <v>4</v>
      </c>
    </row>
    <row r="1022" spans="1:3">
      <c r="A1022" t="s">
        <v>2563</v>
      </c>
      <c r="B1022">
        <v>1</v>
      </c>
      <c r="C1022" s="72" t="s">
        <v>4</v>
      </c>
    </row>
    <row r="1023" spans="1:3">
      <c r="A1023" t="s">
        <v>2528</v>
      </c>
      <c r="B1023">
        <v>18</v>
      </c>
      <c r="C1023" s="72" t="s">
        <v>4</v>
      </c>
    </row>
    <row r="1024" spans="1:3">
      <c r="A1024" t="s">
        <v>2641</v>
      </c>
      <c r="B1024">
        <v>18</v>
      </c>
      <c r="C1024" s="72" t="s">
        <v>4</v>
      </c>
    </row>
    <row r="1025" spans="1:3">
      <c r="A1025" t="s">
        <v>2598</v>
      </c>
      <c r="B1025">
        <v>6</v>
      </c>
      <c r="C1025" s="72" t="s">
        <v>4</v>
      </c>
    </row>
    <row r="1026" spans="1:3">
      <c r="A1026" t="s">
        <v>2603</v>
      </c>
      <c r="B1026">
        <v>3</v>
      </c>
      <c r="C1026" s="72" t="s">
        <v>4</v>
      </c>
    </row>
    <row r="1027" spans="1:3">
      <c r="A1027" t="s">
        <v>2566</v>
      </c>
      <c r="B1027">
        <v>1</v>
      </c>
      <c r="C1027" s="72" t="s">
        <v>4</v>
      </c>
    </row>
    <row r="1028" spans="1:3">
      <c r="A1028" t="s">
        <v>2642</v>
      </c>
      <c r="B1028">
        <v>2</v>
      </c>
      <c r="C1028" s="72" t="s">
        <v>4</v>
      </c>
    </row>
    <row r="1029" spans="1:3">
      <c r="A1029" t="s">
        <v>2647</v>
      </c>
      <c r="B1029">
        <v>2</v>
      </c>
      <c r="C1029" s="72" t="s">
        <v>4</v>
      </c>
    </row>
    <row r="1030" spans="1:3">
      <c r="A1030" t="s">
        <v>2654</v>
      </c>
      <c r="B1030">
        <v>1</v>
      </c>
      <c r="C1030" s="72" t="s">
        <v>4</v>
      </c>
    </row>
    <row r="1031" spans="1:3">
      <c r="A1031" t="s">
        <v>2653</v>
      </c>
      <c r="B1031">
        <v>1</v>
      </c>
      <c r="C1031" s="72" t="s">
        <v>4</v>
      </c>
    </row>
    <row r="1032" spans="1:3">
      <c r="A1032" t="s">
        <v>2686</v>
      </c>
      <c r="B1032">
        <v>4</v>
      </c>
      <c r="C1032" s="72" t="s">
        <v>4</v>
      </c>
    </row>
    <row r="1033" spans="1:3">
      <c r="A1033" t="s">
        <v>2672</v>
      </c>
      <c r="B1033">
        <v>1</v>
      </c>
      <c r="C1033" s="72" t="s">
        <v>4</v>
      </c>
    </row>
    <row r="1034" spans="1:3">
      <c r="A1034" t="s">
        <v>2669</v>
      </c>
      <c r="B1034">
        <v>1</v>
      </c>
      <c r="C1034" s="72" t="s">
        <v>4</v>
      </c>
    </row>
    <row r="1035" spans="1:3">
      <c r="A1035" t="s">
        <v>2692</v>
      </c>
      <c r="B1035">
        <v>9</v>
      </c>
      <c r="C1035" s="72" t="s">
        <v>4</v>
      </c>
    </row>
    <row r="1036" spans="1:3">
      <c r="A1036" t="s">
        <v>2708</v>
      </c>
      <c r="B1036">
        <v>1</v>
      </c>
      <c r="C1036" s="72" t="s">
        <v>4</v>
      </c>
    </row>
    <row r="1037" spans="1:3">
      <c r="A1037" s="76" t="s">
        <v>2719</v>
      </c>
      <c r="B1037" s="76">
        <v>1</v>
      </c>
      <c r="C1037" s="76" t="s">
        <v>4</v>
      </c>
    </row>
    <row r="1038" spans="1:3">
      <c r="A1038" t="s">
        <v>2712</v>
      </c>
      <c r="B1038">
        <v>1</v>
      </c>
      <c r="C1038" s="76" t="s">
        <v>4</v>
      </c>
    </row>
    <row r="1039" spans="1:3">
      <c r="A1039" t="s">
        <v>2662</v>
      </c>
      <c r="B1039">
        <v>4</v>
      </c>
      <c r="C1039" s="76" t="s">
        <v>4</v>
      </c>
    </row>
    <row r="1040" spans="1:3">
      <c r="A1040" t="s">
        <v>2737</v>
      </c>
      <c r="B1040">
        <v>1</v>
      </c>
      <c r="C1040" s="76" t="s">
        <v>4</v>
      </c>
    </row>
    <row r="1041" spans="1:3">
      <c r="A1041" t="s">
        <v>2738</v>
      </c>
      <c r="B1041">
        <v>1</v>
      </c>
      <c r="C1041" s="76" t="s">
        <v>4</v>
      </c>
    </row>
    <row r="1042" spans="1:3">
      <c r="A1042" t="s">
        <v>2742</v>
      </c>
      <c r="B1042">
        <v>1</v>
      </c>
      <c r="C1042" s="76" t="s">
        <v>4</v>
      </c>
    </row>
    <row r="1043" spans="1:3">
      <c r="A1043" t="s">
        <v>2744</v>
      </c>
      <c r="B1043">
        <v>1</v>
      </c>
      <c r="C1043" s="76" t="s">
        <v>4</v>
      </c>
    </row>
    <row r="1044" spans="1:3">
      <c r="A1044" t="s">
        <v>2558</v>
      </c>
      <c r="B1044">
        <v>1</v>
      </c>
      <c r="C1044" s="76" t="s">
        <v>4</v>
      </c>
    </row>
    <row r="1045" spans="1:3">
      <c r="A1045" t="s">
        <v>2732</v>
      </c>
      <c r="B1045">
        <v>11</v>
      </c>
      <c r="C1045" s="76" t="s">
        <v>4</v>
      </c>
    </row>
    <row r="1046" spans="1:3">
      <c r="A1046" t="s">
        <v>2733</v>
      </c>
      <c r="B1046">
        <v>2</v>
      </c>
      <c r="C1046" s="76" t="s">
        <v>4</v>
      </c>
    </row>
    <row r="1047" spans="1:3">
      <c r="A1047" t="s">
        <v>2748</v>
      </c>
      <c r="B1047">
        <v>1</v>
      </c>
      <c r="C1047" s="76" t="s">
        <v>4</v>
      </c>
    </row>
    <row r="1048" spans="1:3">
      <c r="A1048" t="s">
        <v>2714</v>
      </c>
      <c r="B1048">
        <v>1</v>
      </c>
      <c r="C1048" s="76" t="s">
        <v>4</v>
      </c>
    </row>
    <row r="1049" spans="1:3">
      <c r="A1049" t="s">
        <v>2765</v>
      </c>
      <c r="B1049">
        <v>3</v>
      </c>
      <c r="C1049" s="76" t="s">
        <v>4</v>
      </c>
    </row>
    <row r="1050" spans="1:3">
      <c r="A1050" t="s">
        <v>2751</v>
      </c>
      <c r="B1050">
        <v>4</v>
      </c>
      <c r="C1050" s="76" t="s">
        <v>4</v>
      </c>
    </row>
    <row r="1051" spans="1:3">
      <c r="A1051" t="s">
        <v>2778</v>
      </c>
      <c r="B1051">
        <v>4</v>
      </c>
      <c r="C1051" s="76" t="s">
        <v>4</v>
      </c>
    </row>
  </sheetData>
  <conditionalFormatting sqref="A2:A545 A548:A568 A570:A1036 A1038:A1048576">
    <cfRule type="duplicateValues" dxfId="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37"/>
  <sheetViews>
    <sheetView zoomScale="85" zoomScaleNormal="85" workbookViewId="0">
      <selection activeCell="C952" sqref="C95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75" customWidth="1" outlineLevel="1"/>
    <col min="15" max="15" width="13.42578125" style="75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75" t="s">
        <v>392</v>
      </c>
      <c r="O1" s="75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75">
        <v>45170</v>
      </c>
      <c r="O2" s="75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75">
        <v>45170</v>
      </c>
      <c r="O3" s="75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75">
        <v>45170</v>
      </c>
      <c r="O4" s="75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75">
        <v>45170</v>
      </c>
      <c r="O5" s="75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75">
        <v>45170</v>
      </c>
      <c r="O6" s="75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75">
        <v>45170</v>
      </c>
      <c r="O7" s="75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75">
        <v>45170</v>
      </c>
      <c r="O8" s="75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75">
        <v>45170</v>
      </c>
      <c r="O9" s="75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75">
        <v>45170</v>
      </c>
      <c r="O10" s="75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1351</v>
      </c>
      <c r="B11" s="60" t="str">
        <f>IFERROR(VLOOKUP(Proc[[#This Row],[App]],Table2[],3,0),"open")</f>
        <v>ok</v>
      </c>
      <c r="C11" s="62" t="s">
        <v>369</v>
      </c>
      <c r="D11" t="s">
        <v>1345</v>
      </c>
      <c r="E11" t="s">
        <v>2688</v>
      </c>
      <c r="F11" s="60" t="s">
        <v>1350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75">
        <v>45646</v>
      </c>
      <c r="O11" s="75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1346</v>
      </c>
      <c r="E12" t="s">
        <v>812</v>
      </c>
      <c r="F12" s="60" t="s">
        <v>1193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75">
        <v>45646</v>
      </c>
      <c r="O12" s="75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1347</v>
      </c>
      <c r="E13" t="s">
        <v>414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75">
        <v>45646</v>
      </c>
      <c r="O13" s="75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1348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75">
        <v>45646</v>
      </c>
      <c r="O14" s="75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1349</v>
      </c>
      <c r="E15" t="s">
        <v>414</v>
      </c>
      <c r="F15" s="60" t="s">
        <v>1194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75">
        <v>45646</v>
      </c>
      <c r="O15" s="75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1353</v>
      </c>
      <c r="B16" s="60" t="str">
        <f>IFERROR(VLOOKUP(Proc[[#This Row],[App]],Table2[],3,0),"open")</f>
        <v>ok</v>
      </c>
      <c r="C16" s="62" t="s">
        <v>369</v>
      </c>
      <c r="D16" t="s">
        <v>1352</v>
      </c>
      <c r="E16" s="62" t="s">
        <v>1308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75">
        <v>45646</v>
      </c>
      <c r="O16" s="75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1354</v>
      </c>
      <c r="B17" s="60" t="str">
        <f>IFERROR(VLOOKUP(Proc[[#This Row],[App]],Table2[],3,0),"open")</f>
        <v>ok</v>
      </c>
      <c r="C17" s="62" t="s">
        <v>369</v>
      </c>
      <c r="D17" t="s">
        <v>1355</v>
      </c>
      <c r="E17" t="s">
        <v>2688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75">
        <v>45649</v>
      </c>
      <c r="O17" s="75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1354</v>
      </c>
      <c r="B18" s="60" t="str">
        <f>IFERROR(VLOOKUP(Proc[[#This Row],[App]],Table2[],3,0),"open")</f>
        <v>ok</v>
      </c>
      <c r="C18" s="62" t="s">
        <v>369</v>
      </c>
      <c r="D18" t="s">
        <v>1356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75">
        <v>45649</v>
      </c>
      <c r="O18" s="75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1354</v>
      </c>
      <c r="B19" s="60" t="str">
        <f>IFERROR(VLOOKUP(Proc[[#This Row],[App]],Table2[],3,0),"open")</f>
        <v>ok</v>
      </c>
      <c r="C19" s="62" t="s">
        <v>369</v>
      </c>
      <c r="D19" s="62" t="s">
        <v>1357</v>
      </c>
      <c r="E19" s="62" t="s">
        <v>1274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75">
        <v>45649</v>
      </c>
      <c r="O19" s="75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1358</v>
      </c>
      <c r="E20" t="s">
        <v>525</v>
      </c>
      <c r="F20" s="60" t="s">
        <v>1362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75">
        <v>45649</v>
      </c>
      <c r="O20" s="75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1366</v>
      </c>
      <c r="B21" s="60" t="str">
        <f>IFERROR(VLOOKUP(Proc[[#This Row],[App]],Table2[],3,0),"open")</f>
        <v>ok</v>
      </c>
      <c r="C21" s="62" t="s">
        <v>369</v>
      </c>
      <c r="D21" t="s">
        <v>1359</v>
      </c>
      <c r="E21" t="s">
        <v>525</v>
      </c>
      <c r="F21" s="60" t="s">
        <v>1363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75">
        <v>45649</v>
      </c>
      <c r="O21" s="75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1044</v>
      </c>
      <c r="S21" s="60"/>
    </row>
    <row r="22" spans="1:19" hidden="1">
      <c r="A22" s="62" t="s">
        <v>1366</v>
      </c>
      <c r="B22" s="60" t="str">
        <f>IFERROR(VLOOKUP(Proc[[#This Row],[App]],Table2[],3,0),"open")</f>
        <v>ok</v>
      </c>
      <c r="C22" s="62" t="s">
        <v>369</v>
      </c>
      <c r="D22" t="s">
        <v>1360</v>
      </c>
      <c r="E22" t="s">
        <v>525</v>
      </c>
      <c r="F22" s="60" t="s">
        <v>1364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75">
        <v>45649</v>
      </c>
      <c r="O22" s="75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1044</v>
      </c>
      <c r="S22" s="60"/>
    </row>
    <row r="23" spans="1:19" hidden="1">
      <c r="A23" s="62" t="s">
        <v>1366</v>
      </c>
      <c r="B23" s="60" t="str">
        <f>IFERROR(VLOOKUP(Proc[[#This Row],[App]],Table2[],3,0),"open")</f>
        <v>ok</v>
      </c>
      <c r="C23" s="62" t="s">
        <v>369</v>
      </c>
      <c r="D23" t="s">
        <v>1361</v>
      </c>
      <c r="E23" t="s">
        <v>525</v>
      </c>
      <c r="F23" s="60" t="s">
        <v>1365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75">
        <v>45649</v>
      </c>
      <c r="O23" s="75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1044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75">
        <v>45652</v>
      </c>
      <c r="O24" s="75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75">
        <v>45652</v>
      </c>
      <c r="O25" s="75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75">
        <v>45652</v>
      </c>
      <c r="O26" s="75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75">
        <v>45652</v>
      </c>
      <c r="O27" s="75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75">
        <v>45652</v>
      </c>
      <c r="O28" s="75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75">
        <v>45652</v>
      </c>
      <c r="O29" s="75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75">
        <v>45652</v>
      </c>
      <c r="O30" s="75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75">
        <v>45652</v>
      </c>
      <c r="O31" s="75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75">
        <v>45652</v>
      </c>
      <c r="O32" s="75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75">
        <v>45652</v>
      </c>
      <c r="O33" s="75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75">
        <v>45652</v>
      </c>
      <c r="O34" s="75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75">
        <v>45652</v>
      </c>
      <c r="O35" s="75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75">
        <v>45652</v>
      </c>
      <c r="O36" s="75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75">
        <v>45652</v>
      </c>
      <c r="O37" s="75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75">
        <v>45652</v>
      </c>
      <c r="O38" s="75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75">
        <v>45652</v>
      </c>
      <c r="O39" s="75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75">
        <v>45652</v>
      </c>
      <c r="O40" s="75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75">
        <v>45652</v>
      </c>
      <c r="O41" s="75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75">
        <v>45652</v>
      </c>
      <c r="O42" s="75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75">
        <v>45652</v>
      </c>
      <c r="O43" s="75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75">
        <v>45652</v>
      </c>
      <c r="O44" s="75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75">
        <v>45652</v>
      </c>
      <c r="O45" s="75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75">
        <v>45652</v>
      </c>
      <c r="O46" s="75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75">
        <v>45652</v>
      </c>
      <c r="O47" s="75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75">
        <v>45652</v>
      </c>
      <c r="O48" s="75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75">
        <v>45652</v>
      </c>
      <c r="O49" s="75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75">
        <v>45652</v>
      </c>
      <c r="O50" s="75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75">
        <v>45652</v>
      </c>
      <c r="O51" s="75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75">
        <v>45652</v>
      </c>
      <c r="O52" s="75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75">
        <v>45652</v>
      </c>
      <c r="O53" s="75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75">
        <v>45652</v>
      </c>
      <c r="O54" s="75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75">
        <v>45652</v>
      </c>
      <c r="O55" s="75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75">
        <v>45652</v>
      </c>
      <c r="O56" s="75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75">
        <v>45652</v>
      </c>
      <c r="O57" s="75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75">
        <v>45652</v>
      </c>
      <c r="O58" s="75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75">
        <v>45652</v>
      </c>
      <c r="O59" s="75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75">
        <v>45652</v>
      </c>
      <c r="O60" s="75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75">
        <v>45652</v>
      </c>
      <c r="O61" s="75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75">
        <v>45652</v>
      </c>
      <c r="O62" s="75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75">
        <v>45652</v>
      </c>
      <c r="O63" s="75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75">
        <v>45652</v>
      </c>
      <c r="O64" s="75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75">
        <v>45652</v>
      </c>
      <c r="O65" s="75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75">
        <v>45652</v>
      </c>
      <c r="O66" s="75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75">
        <v>45652</v>
      </c>
      <c r="O67" s="75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75">
        <v>45652</v>
      </c>
      <c r="O68" s="75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75">
        <v>45652</v>
      </c>
      <c r="O69" s="75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75">
        <v>45652</v>
      </c>
      <c r="O70" s="75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75">
        <v>45652</v>
      </c>
      <c r="O71" s="75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75">
        <v>45652</v>
      </c>
      <c r="O72" s="75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75">
        <v>45652</v>
      </c>
      <c r="O73" s="75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75">
        <v>45652</v>
      </c>
      <c r="O74" s="75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75">
        <v>45652</v>
      </c>
      <c r="O75" s="75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75">
        <v>45652</v>
      </c>
      <c r="O76" s="75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75">
        <v>45652</v>
      </c>
      <c r="O77" s="75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75">
        <v>45652</v>
      </c>
      <c r="O78" s="75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75">
        <v>45652</v>
      </c>
      <c r="O79" s="75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75">
        <v>45652</v>
      </c>
      <c r="O80" s="75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75">
        <v>45652</v>
      </c>
      <c r="O81" s="75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75">
        <v>45652</v>
      </c>
      <c r="O82" s="75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75">
        <v>45652</v>
      </c>
      <c r="O83" s="75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75">
        <v>45652</v>
      </c>
      <c r="O84" s="75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75">
        <v>45652</v>
      </c>
      <c r="O85" s="75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1434</v>
      </c>
      <c r="B86" s="60" t="str">
        <f>IFERROR(VLOOKUP(Proc[[#This Row],[App]],Table2[],3,0),"open")</f>
        <v>ok</v>
      </c>
      <c r="C86" t="s">
        <v>369</v>
      </c>
      <c r="D86" t="s">
        <v>1435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75">
        <v>45652</v>
      </c>
      <c r="O86" s="75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1434</v>
      </c>
      <c r="B87" s="60" t="str">
        <f>IFERROR(VLOOKUP(Proc[[#This Row],[App]],Table2[],3,0),"open")</f>
        <v>ok</v>
      </c>
      <c r="C87" s="62" t="s">
        <v>369</v>
      </c>
      <c r="D87" t="s">
        <v>1436</v>
      </c>
      <c r="E87" t="s">
        <v>1075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75">
        <v>45652</v>
      </c>
      <c r="O87" s="75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1434</v>
      </c>
      <c r="B88" s="60" t="str">
        <f>IFERROR(VLOOKUP(Proc[[#This Row],[App]],Table2[],3,0),"open")</f>
        <v>ok</v>
      </c>
      <c r="C88" s="62" t="s">
        <v>369</v>
      </c>
      <c r="D88" t="s">
        <v>1437</v>
      </c>
      <c r="E88" t="s">
        <v>1075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75">
        <v>45652</v>
      </c>
      <c r="O88" s="75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1438</v>
      </c>
      <c r="E89" t="s">
        <v>1075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75">
        <v>45652</v>
      </c>
      <c r="O89" s="75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1439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75">
        <v>45652</v>
      </c>
      <c r="O90" s="75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1440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75">
        <v>45652</v>
      </c>
      <c r="O91" s="75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1441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75">
        <v>45652</v>
      </c>
      <c r="O92" s="75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1442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75">
        <v>45652</v>
      </c>
      <c r="O93" s="75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1443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75">
        <v>45652</v>
      </c>
      <c r="O94" s="75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1444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75">
        <v>45652</v>
      </c>
      <c r="O95" s="75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1445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75">
        <v>45652</v>
      </c>
      <c r="O96" s="75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1446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75">
        <v>45652</v>
      </c>
      <c r="O97" s="75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1447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75">
        <v>45652</v>
      </c>
      <c r="O98" s="75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1448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75">
        <v>45652</v>
      </c>
      <c r="O99" s="75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1449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75">
        <v>45652</v>
      </c>
      <c r="O100" s="75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1450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75">
        <v>45652</v>
      </c>
      <c r="O101" s="75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1451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75">
        <v>45652</v>
      </c>
      <c r="O102" s="75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1452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75">
        <v>45652</v>
      </c>
      <c r="O103" s="75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1453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75">
        <v>45652</v>
      </c>
      <c r="O104" s="75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1454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75">
        <v>45652</v>
      </c>
      <c r="O105" s="75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1457</v>
      </c>
      <c r="B106" s="60" t="str">
        <f>IFERROR(VLOOKUP(Proc[[#This Row],[App]],Table2[],3,0),"open")</f>
        <v>ok</v>
      </c>
      <c r="C106" s="62" t="s">
        <v>369</v>
      </c>
      <c r="D106" t="s">
        <v>1455</v>
      </c>
      <c r="E106" t="s">
        <v>1309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1488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75">
        <v>45652</v>
      </c>
      <c r="O106" s="75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1112</v>
      </c>
      <c r="S106" s="60"/>
    </row>
    <row r="107" spans="1:19" hidden="1">
      <c r="A107" s="62" t="s">
        <v>1457</v>
      </c>
      <c r="B107" s="60" t="str">
        <f>IFERROR(VLOOKUP(Proc[[#This Row],[App]],Table2[],3,0),"open")</f>
        <v>ok</v>
      </c>
      <c r="C107" s="62" t="s">
        <v>369</v>
      </c>
      <c r="D107" t="s">
        <v>1456</v>
      </c>
      <c r="E107" t="s">
        <v>1310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1250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70</v>
      </c>
      <c r="R107" s="64" t="s">
        <v>1112</v>
      </c>
      <c r="S107" s="60"/>
    </row>
    <row r="108" spans="1:19" hidden="1">
      <c r="A108" s="62" t="s">
        <v>1457</v>
      </c>
      <c r="B108" s="60" t="str">
        <f>IFERROR(VLOOKUP(Proc[[#This Row],[App]],Table2[],3,0),"open")</f>
        <v>ok</v>
      </c>
      <c r="C108" s="62" t="s">
        <v>369</v>
      </c>
      <c r="D108" t="s">
        <v>1455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1488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75">
        <v>45652</v>
      </c>
      <c r="O108" s="75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1112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75">
        <v>45652</v>
      </c>
      <c r="O109" s="75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75">
        <v>45652</v>
      </c>
      <c r="O110" s="75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75">
        <v>45652</v>
      </c>
      <c r="O111" s="75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75">
        <v>45652</v>
      </c>
      <c r="O112" s="75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75">
        <v>45652</v>
      </c>
      <c r="O113" s="75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75">
        <v>45652</v>
      </c>
      <c r="O114" s="75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75">
        <v>45652</v>
      </c>
      <c r="O115" s="75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75">
        <v>45652</v>
      </c>
      <c r="O116" s="75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75">
        <v>45652</v>
      </c>
      <c r="O117" s="75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75">
        <v>45652</v>
      </c>
      <c r="O118" s="75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75">
        <v>45652</v>
      </c>
      <c r="O119" s="75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75">
        <v>45652</v>
      </c>
      <c r="O120" s="75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75">
        <v>45652</v>
      </c>
      <c r="O121" s="75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75">
        <v>45652</v>
      </c>
      <c r="O122" s="75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75">
        <v>45652</v>
      </c>
      <c r="O123" s="75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75">
        <v>45652</v>
      </c>
      <c r="O124" s="75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75">
        <v>45652</v>
      </c>
      <c r="O125" s="75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75">
        <v>45652</v>
      </c>
      <c r="O126" s="75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75">
        <v>45652</v>
      </c>
      <c r="O127" s="75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75">
        <v>45652</v>
      </c>
      <c r="O128" s="75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75">
        <v>45652</v>
      </c>
      <c r="O129" s="75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75">
        <v>45652</v>
      </c>
      <c r="O130" s="75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75">
        <v>45652</v>
      </c>
      <c r="O131" s="75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75">
        <v>45659</v>
      </c>
      <c r="O132" s="75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75">
        <v>45659</v>
      </c>
      <c r="O133" s="75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75">
        <v>45659</v>
      </c>
      <c r="O134" s="75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75">
        <v>45659</v>
      </c>
      <c r="O135" s="75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75">
        <v>45659</v>
      </c>
      <c r="O136" s="75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75">
        <v>45659</v>
      </c>
      <c r="O137" s="75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75">
        <v>45659</v>
      </c>
      <c r="O138" s="75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75">
        <v>45659</v>
      </c>
      <c r="O139" s="75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75">
        <v>45659</v>
      </c>
      <c r="O140" s="75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75">
        <v>45659</v>
      </c>
      <c r="O141" s="75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75">
        <v>45659</v>
      </c>
      <c r="O142" s="75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75">
        <v>45659</v>
      </c>
      <c r="O143" s="75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75">
        <v>45659</v>
      </c>
      <c r="O144" s="75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75">
        <v>45659</v>
      </c>
      <c r="O145" s="75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75">
        <v>45659</v>
      </c>
      <c r="O146" s="75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75">
        <v>45659</v>
      </c>
      <c r="O147" s="75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75">
        <v>45659</v>
      </c>
      <c r="O148" s="75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75">
        <v>45659</v>
      </c>
      <c r="O149" s="75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75">
        <v>45659</v>
      </c>
      <c r="O150" s="75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75">
        <v>45659</v>
      </c>
      <c r="O151" s="75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75">
        <v>45659</v>
      </c>
      <c r="O152" s="75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75">
        <v>45659</v>
      </c>
      <c r="O153" s="75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75">
        <v>45659</v>
      </c>
      <c r="O154" s="75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75">
        <v>45659</v>
      </c>
      <c r="O155" s="75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75">
        <v>45659</v>
      </c>
      <c r="O156" s="75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75">
        <v>45671</v>
      </c>
      <c r="O157" s="75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75">
        <v>45671</v>
      </c>
      <c r="O158" s="75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75">
        <v>45671</v>
      </c>
      <c r="O159" s="75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75">
        <v>45671</v>
      </c>
      <c r="O160" s="75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75">
        <v>45671</v>
      </c>
      <c r="O161" s="75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75">
        <v>45671</v>
      </c>
      <c r="O162" s="75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75">
        <v>45671</v>
      </c>
      <c r="O163" s="75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1555</v>
      </c>
      <c r="B164" s="60" t="str">
        <f>IFERROR(VLOOKUP(Proc[[#This Row],[App]],Table2[],3,0),"open")</f>
        <v>ok</v>
      </c>
      <c r="C164" s="62" t="s">
        <v>369</v>
      </c>
      <c r="D164" t="s">
        <v>1535</v>
      </c>
      <c r="E164" t="s">
        <v>1051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1564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75">
        <v>45671</v>
      </c>
      <c r="O164" s="75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1555</v>
      </c>
      <c r="B165" s="60" t="str">
        <f>IFERROR(VLOOKUP(Proc[[#This Row],[App]],Table2[],3,0),"open")</f>
        <v>ok</v>
      </c>
      <c r="C165" s="62" t="s">
        <v>369</v>
      </c>
      <c r="D165" t="s">
        <v>1536</v>
      </c>
      <c r="E165" t="s">
        <v>1052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1564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75">
        <v>45671</v>
      </c>
      <c r="O165" s="75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1555</v>
      </c>
      <c r="B166" s="60" t="str">
        <f>IFERROR(VLOOKUP(Proc[[#This Row],[App]],Table2[],3,0),"open")</f>
        <v>ok</v>
      </c>
      <c r="C166" s="62" t="s">
        <v>369</v>
      </c>
      <c r="D166" t="s">
        <v>1537</v>
      </c>
      <c r="E166" t="s">
        <v>1053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1564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75">
        <v>45671</v>
      </c>
      <c r="O166" s="75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1538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75">
        <v>45671</v>
      </c>
      <c r="O167" s="75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1539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75">
        <v>45671</v>
      </c>
      <c r="O168" s="75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1540</v>
      </c>
      <c r="E169" t="s">
        <v>1054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75">
        <v>45671</v>
      </c>
      <c r="O169" s="75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1541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75">
        <v>45671</v>
      </c>
      <c r="O170" s="75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1542</v>
      </c>
      <c r="E171" t="s">
        <v>1055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75">
        <v>45671</v>
      </c>
      <c r="O171" s="75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1543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75">
        <v>45671</v>
      </c>
      <c r="O172" s="75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1544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75">
        <v>45671</v>
      </c>
      <c r="O173" s="75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1545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75">
        <v>45671</v>
      </c>
      <c r="O174" s="75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1546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75">
        <v>45671</v>
      </c>
      <c r="O175" s="75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1547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75">
        <v>45671</v>
      </c>
      <c r="O176" s="75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1548</v>
      </c>
      <c r="E177" t="s">
        <v>1050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75">
        <v>45671</v>
      </c>
      <c r="O177" s="75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1549</v>
      </c>
      <c r="E178" t="s">
        <v>1050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75">
        <v>45671</v>
      </c>
      <c r="O178" s="75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1550</v>
      </c>
      <c r="E179" t="s">
        <v>1050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75">
        <v>45671</v>
      </c>
      <c r="O179" s="75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1551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75">
        <v>45671</v>
      </c>
      <c r="O180" s="75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1552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75">
        <v>45671</v>
      </c>
      <c r="O181" s="75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1553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75">
        <v>45671</v>
      </c>
      <c r="O182" s="75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1554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75">
        <v>45671</v>
      </c>
      <c r="O183" s="75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1557</v>
      </c>
      <c r="B184" s="60" t="str">
        <f>IFERROR(VLOOKUP(Proc[[#This Row],[App]],Table2[],3,0),"open")</f>
        <v>ok</v>
      </c>
      <c r="C184" s="62" t="s">
        <v>369</v>
      </c>
      <c r="D184" t="s">
        <v>1556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75">
        <v>45666</v>
      </c>
      <c r="O184" s="75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1557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75">
        <v>45666</v>
      </c>
      <c r="O185" s="75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1559</v>
      </c>
      <c r="B186" s="60" t="str">
        <f>IFERROR(VLOOKUP(Proc[[#This Row],[App]],Table2[],3,0),"open")</f>
        <v>ok</v>
      </c>
      <c r="C186" s="62" t="s">
        <v>369</v>
      </c>
      <c r="D186" s="65" t="s">
        <v>1558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75">
        <v>45666</v>
      </c>
      <c r="O186" s="75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75">
        <v>45671</v>
      </c>
      <c r="O187" s="75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75">
        <v>45671</v>
      </c>
      <c r="O188" s="75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75">
        <v>45671</v>
      </c>
      <c r="O189" s="75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1571</v>
      </c>
      <c r="B190" s="60" t="str">
        <f>IFERROR(VLOOKUP(Proc[[#This Row],[App]],Table2[],3,0),"open")</f>
        <v>ok</v>
      </c>
      <c r="C190" t="s">
        <v>369</v>
      </c>
      <c r="D190" t="s">
        <v>1565</v>
      </c>
      <c r="E190" t="s">
        <v>1569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75">
        <v>45667</v>
      </c>
      <c r="O190" s="75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1571</v>
      </c>
      <c r="B191" s="60" t="str">
        <f>IFERROR(VLOOKUP(Proc[[#This Row],[App]],Table2[],3,0),"open")</f>
        <v>ok</v>
      </c>
      <c r="C191" s="62" t="s">
        <v>369</v>
      </c>
      <c r="D191" t="s">
        <v>1566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75">
        <v>45667</v>
      </c>
      <c r="O191" s="75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1003</v>
      </c>
      <c r="S191" s="60"/>
    </row>
    <row r="192" spans="1:19" hidden="1">
      <c r="A192" s="62" t="s">
        <v>1571</v>
      </c>
      <c r="B192" s="60" t="str">
        <f>IFERROR(VLOOKUP(Proc[[#This Row],[App]],Table2[],3,0),"open")</f>
        <v>ok</v>
      </c>
      <c r="C192" s="62" t="s">
        <v>369</v>
      </c>
      <c r="D192" t="s">
        <v>1567</v>
      </c>
      <c r="E192" t="s">
        <v>1570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75">
        <v>45667</v>
      </c>
      <c r="O192" s="75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1003</v>
      </c>
      <c r="S192" s="60"/>
    </row>
    <row r="193" spans="1:19" hidden="1">
      <c r="A193" s="62" t="s">
        <v>1571</v>
      </c>
      <c r="B193" s="60" t="str">
        <f>IFERROR(VLOOKUP(Proc[[#This Row],[App]],Table2[],3,0),"open")</f>
        <v>ok</v>
      </c>
      <c r="C193" s="62" t="s">
        <v>369</v>
      </c>
      <c r="D193" t="s">
        <v>1568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75">
        <v>45667</v>
      </c>
      <c r="O193" s="75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1003</v>
      </c>
      <c r="S193" s="60"/>
    </row>
    <row r="194" spans="1:19" hidden="1">
      <c r="A194" t="s">
        <v>1573</v>
      </c>
      <c r="B194" s="60" t="str">
        <f>IFERROR(VLOOKUP(Proc[[#This Row],[App]],Table2[],3,0),"open")</f>
        <v>ok</v>
      </c>
      <c r="C194" s="62" t="s">
        <v>369</v>
      </c>
      <c r="D194" t="s">
        <v>1587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1727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75">
        <v>45687</v>
      </c>
      <c r="O194" s="75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1112</v>
      </c>
      <c r="S194" s="60"/>
    </row>
    <row r="195" spans="1:19" hidden="1">
      <c r="A195" s="62" t="s">
        <v>1573</v>
      </c>
      <c r="B195" s="60" t="str">
        <f>IFERROR(VLOOKUP(Proc[[#This Row],[App]],Table2[],3,0),"open")</f>
        <v>ok</v>
      </c>
      <c r="C195" s="62" t="s">
        <v>369</v>
      </c>
      <c r="D195" t="s">
        <v>1572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1728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75">
        <v>45687</v>
      </c>
      <c r="O195" s="75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1112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1574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75">
        <v>45671</v>
      </c>
      <c r="O196" s="75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1579</v>
      </c>
      <c r="B197" s="60" t="str">
        <f>IFERROR(VLOOKUP(Proc[[#This Row],[App]],Table2[],3,0),"open")</f>
        <v>ok</v>
      </c>
      <c r="C197" s="62" t="s">
        <v>369</v>
      </c>
      <c r="D197" t="s">
        <v>1575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75">
        <v>45671</v>
      </c>
      <c r="O197" s="75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1579</v>
      </c>
      <c r="B198" s="60" t="str">
        <f>IFERROR(VLOOKUP(Proc[[#This Row],[App]],Table2[],3,0),"open")</f>
        <v>ok</v>
      </c>
      <c r="C198" s="62" t="s">
        <v>369</v>
      </c>
      <c r="D198" t="s">
        <v>1576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75">
        <v>45671</v>
      </c>
      <c r="O198" s="75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1579</v>
      </c>
      <c r="B199" s="60" t="str">
        <f>IFERROR(VLOOKUP(Proc[[#This Row],[App]],Table2[],3,0),"open")</f>
        <v>ok</v>
      </c>
      <c r="C199" s="62" t="s">
        <v>369</v>
      </c>
      <c r="D199" t="s">
        <v>1577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75">
        <v>45671</v>
      </c>
      <c r="O199" s="75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1579</v>
      </c>
      <c r="B200" s="60" t="str">
        <f>IFERROR(VLOOKUP(Proc[[#This Row],[App]],Table2[],3,0),"open")</f>
        <v>ok</v>
      </c>
      <c r="C200" s="62" t="s">
        <v>369</v>
      </c>
      <c r="D200" t="s">
        <v>1578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75">
        <v>45671</v>
      </c>
      <c r="O200" s="75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1580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75">
        <v>45671</v>
      </c>
      <c r="O201" s="75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1582</v>
      </c>
      <c r="B202" s="60" t="str">
        <f>IFERROR(VLOOKUP(Proc[[#This Row],[App]],Table2[],3,0),"open")</f>
        <v>ok</v>
      </c>
      <c r="C202" s="62" t="s">
        <v>369</v>
      </c>
      <c r="D202" t="s">
        <v>1581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75">
        <v>45667</v>
      </c>
      <c r="O202" s="75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1003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75">
        <v>45671</v>
      </c>
      <c r="O203" s="75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75">
        <v>45671</v>
      </c>
      <c r="O204" s="75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75">
        <v>45671</v>
      </c>
      <c r="O205" s="75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75">
        <v>45671</v>
      </c>
      <c r="O206" s="75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75">
        <v>45671</v>
      </c>
      <c r="O207" s="75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75">
        <v>45688</v>
      </c>
      <c r="O208" s="75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75">
        <v>45688</v>
      </c>
      <c r="O209" s="75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75">
        <v>45688</v>
      </c>
      <c r="O210" s="75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75">
        <v>45688</v>
      </c>
      <c r="O211" s="75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75">
        <v>45688</v>
      </c>
      <c r="O212" s="75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75">
        <v>45688</v>
      </c>
      <c r="O213" s="75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75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75">
        <v>45688</v>
      </c>
      <c r="O215" s="75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75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75">
        <v>45688</v>
      </c>
      <c r="O217" s="75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75">
        <v>45688</v>
      </c>
      <c r="O218" s="75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75">
        <v>45688</v>
      </c>
      <c r="O219" s="75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75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75">
        <v>45688</v>
      </c>
      <c r="O221" s="75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75">
        <v>45688</v>
      </c>
      <c r="O222" s="75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75">
        <v>45688</v>
      </c>
      <c r="O223" s="75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75">
        <v>45688</v>
      </c>
      <c r="O224" s="75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75">
        <v>45688</v>
      </c>
      <c r="O225" s="75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75">
        <v>45688</v>
      </c>
      <c r="O226" s="75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75">
        <v>45688</v>
      </c>
      <c r="O227" s="75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75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75">
        <v>45688</v>
      </c>
      <c r="O229" s="75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75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75">
        <v>45688</v>
      </c>
      <c r="O231" s="75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75">
        <v>45688</v>
      </c>
      <c r="O232" s="75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75">
        <v>45688</v>
      </c>
      <c r="O233" s="75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75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75">
        <v>45688</v>
      </c>
      <c r="O235" s="75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75">
        <v>45688</v>
      </c>
      <c r="O236" s="75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75">
        <v>45688</v>
      </c>
      <c r="O237" s="75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75">
        <v>45688</v>
      </c>
      <c r="O238" s="75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75">
        <v>45688</v>
      </c>
      <c r="O239" s="75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75">
        <v>45688</v>
      </c>
      <c r="O240" s="75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75">
        <v>45688</v>
      </c>
      <c r="O241" s="75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75">
        <v>45688</v>
      </c>
      <c r="O242" s="75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75">
        <v>45688</v>
      </c>
      <c r="O243" s="75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75">
        <v>45688</v>
      </c>
      <c r="O244" s="75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75">
        <v>45674</v>
      </c>
      <c r="O245" s="75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75">
        <v>45674</v>
      </c>
      <c r="O246" s="75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75">
        <v>45674</v>
      </c>
      <c r="O247" s="75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75">
        <v>45674</v>
      </c>
      <c r="O248" s="75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75">
        <v>45688</v>
      </c>
      <c r="O249" s="75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75">
        <v>45678</v>
      </c>
      <c r="O250" s="75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75">
        <v>45678</v>
      </c>
      <c r="O251" s="75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75">
        <v>45678</v>
      </c>
      <c r="O252" s="75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75">
        <v>45678</v>
      </c>
      <c r="O253" s="75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75">
        <v>45678</v>
      </c>
      <c r="O254" s="75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75">
        <v>45678</v>
      </c>
      <c r="O255" s="75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75">
        <v>45680</v>
      </c>
      <c r="O256" s="75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75">
        <v>45680</v>
      </c>
      <c r="O257" s="75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75">
        <v>45680</v>
      </c>
      <c r="O258" s="75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75">
        <v>45680</v>
      </c>
      <c r="O259" s="75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75">
        <v>45680</v>
      </c>
      <c r="O260" s="75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75">
        <v>45680</v>
      </c>
      <c r="O261" s="75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75">
        <v>45680</v>
      </c>
      <c r="O262" s="75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75">
        <v>45688</v>
      </c>
      <c r="O263" s="75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75">
        <v>45688</v>
      </c>
      <c r="O264" s="75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75">
        <v>45688</v>
      </c>
      <c r="O265" s="75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1671</v>
      </c>
      <c r="B266" s="60" t="str">
        <f>IFERROR(VLOOKUP(Proc[[#This Row],[App]],Table2[],3,0),"open")</f>
        <v>ok</v>
      </c>
      <c r="C266" s="62" t="s">
        <v>369</v>
      </c>
      <c r="D266" t="s">
        <v>1672</v>
      </c>
      <c r="E266" t="s">
        <v>1684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75">
        <v>45681</v>
      </c>
      <c r="O266" s="75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1032</v>
      </c>
      <c r="S266" s="60"/>
    </row>
    <row r="267" spans="1:19" hidden="1">
      <c r="A267" s="62" t="s">
        <v>1671</v>
      </c>
      <c r="B267" s="60" t="str">
        <f>IFERROR(VLOOKUP(Proc[[#This Row],[App]],Table2[],3,0),"open")</f>
        <v>ok</v>
      </c>
      <c r="C267" s="62" t="s">
        <v>369</v>
      </c>
      <c r="D267" t="s">
        <v>1673</v>
      </c>
      <c r="E267" t="s">
        <v>1685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75">
        <v>45681</v>
      </c>
      <c r="O267" s="75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1032</v>
      </c>
      <c r="S267" s="60"/>
    </row>
    <row r="268" spans="1:19" hidden="1">
      <c r="A268" s="62" t="s">
        <v>1671</v>
      </c>
      <c r="B268" s="60" t="str">
        <f>IFERROR(VLOOKUP(Proc[[#This Row],[App]],Table2[],3,0),"open")</f>
        <v>ok</v>
      </c>
      <c r="C268" s="62" t="s">
        <v>369</v>
      </c>
      <c r="D268" t="s">
        <v>1674</v>
      </c>
      <c r="E268" t="s">
        <v>1266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75">
        <v>45681</v>
      </c>
      <c r="O268" s="75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1032</v>
      </c>
      <c r="S268" s="60"/>
    </row>
    <row r="269" spans="1:19" hidden="1">
      <c r="A269" s="62" t="s">
        <v>1671</v>
      </c>
      <c r="B269" s="60" t="str">
        <f>IFERROR(VLOOKUP(Proc[[#This Row],[App]],Table2[],3,0),"open")</f>
        <v>ok</v>
      </c>
      <c r="C269" s="62" t="s">
        <v>369</v>
      </c>
      <c r="D269" t="s">
        <v>1675</v>
      </c>
      <c r="E269" t="s">
        <v>1264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75">
        <v>45681</v>
      </c>
      <c r="O269" s="75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1032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1676</v>
      </c>
      <c r="E270" t="s">
        <v>1265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75">
        <v>45681</v>
      </c>
      <c r="O270" s="75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1677</v>
      </c>
      <c r="E271" t="s">
        <v>1263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75">
        <v>45681</v>
      </c>
      <c r="O271" s="75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1678</v>
      </c>
      <c r="E272" t="s">
        <v>1684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75">
        <v>45681</v>
      </c>
      <c r="O272" s="75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1679</v>
      </c>
      <c r="E273" t="s">
        <v>1685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75">
        <v>45681</v>
      </c>
      <c r="O273" s="75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1680</v>
      </c>
      <c r="E274" t="s">
        <v>1267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75">
        <v>45681</v>
      </c>
      <c r="O274" s="75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1681</v>
      </c>
      <c r="E275" t="s">
        <v>1267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75">
        <v>45681</v>
      </c>
      <c r="O275" s="75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1682</v>
      </c>
      <c r="E276" t="s">
        <v>1267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75">
        <v>45681</v>
      </c>
      <c r="O276" s="75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1683</v>
      </c>
      <c r="E277" t="s">
        <v>1267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75">
        <v>45681</v>
      </c>
      <c r="O277" s="75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1686</v>
      </c>
      <c r="B278" s="60" t="str">
        <f>IFERROR(VLOOKUP(Proc[[#This Row],[App]],Table2[],3,0),"open")</f>
        <v>ok</v>
      </c>
      <c r="C278" s="62" t="s">
        <v>369</v>
      </c>
      <c r="D278" t="s">
        <v>1687</v>
      </c>
      <c r="E278" t="s">
        <v>1187</v>
      </c>
      <c r="F278" s="60" t="s">
        <v>1124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75">
        <v>45681</v>
      </c>
      <c r="O278" s="75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1003</v>
      </c>
      <c r="S278" s="60"/>
    </row>
    <row r="279" spans="1:19" hidden="1">
      <c r="A279" s="62" t="s">
        <v>1686</v>
      </c>
      <c r="B279" s="60" t="str">
        <f>IFERROR(VLOOKUP(Proc[[#This Row],[App]],Table2[],3,0),"open")</f>
        <v>ok</v>
      </c>
      <c r="C279" s="62" t="s">
        <v>369</v>
      </c>
      <c r="D279" t="s">
        <v>1688</v>
      </c>
      <c r="E279" t="s">
        <v>1186</v>
      </c>
      <c r="F279" s="60" t="s">
        <v>1206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75">
        <v>45681</v>
      </c>
      <c r="O279" s="75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1003</v>
      </c>
      <c r="S279" s="60"/>
    </row>
    <row r="280" spans="1:19" hidden="1">
      <c r="A280" s="62" t="s">
        <v>1686</v>
      </c>
      <c r="B280" s="60" t="str">
        <f>IFERROR(VLOOKUP(Proc[[#This Row],[App]],Table2[],3,0),"open")</f>
        <v>ok</v>
      </c>
      <c r="C280" s="62" t="s">
        <v>369</v>
      </c>
      <c r="D280" t="s">
        <v>1689</v>
      </c>
      <c r="E280" t="s">
        <v>498</v>
      </c>
      <c r="F280" s="60" t="s">
        <v>1691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75">
        <v>45681</v>
      </c>
      <c r="O280" s="75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1003</v>
      </c>
      <c r="S280" s="60"/>
    </row>
    <row r="281" spans="1:19" hidden="1">
      <c r="A281" s="62" t="s">
        <v>1686</v>
      </c>
      <c r="B281" s="60" t="str">
        <f>IFERROR(VLOOKUP(Proc[[#This Row],[App]],Table2[],3,0),"open")</f>
        <v>ok</v>
      </c>
      <c r="C281" s="62" t="s">
        <v>369</v>
      </c>
      <c r="D281" t="s">
        <v>1690</v>
      </c>
      <c r="E281" t="s">
        <v>649</v>
      </c>
      <c r="F281" s="60" t="s">
        <v>1692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75">
        <v>45681</v>
      </c>
      <c r="O281" s="75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1003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75">
        <v>45681</v>
      </c>
      <c r="O282" s="75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75">
        <v>45681</v>
      </c>
      <c r="O283" s="75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75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75">
        <v>45681</v>
      </c>
      <c r="O285" s="75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75">
        <v>45681</v>
      </c>
      <c r="O286" s="75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75">
        <v>45688</v>
      </c>
      <c r="O287" s="75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75">
        <v>45688</v>
      </c>
      <c r="O288" s="75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75">
        <v>45688</v>
      </c>
      <c r="O289" s="75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75">
        <v>45688</v>
      </c>
      <c r="O290" s="75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75">
        <v>45688</v>
      </c>
      <c r="O291" s="75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75">
        <v>45688</v>
      </c>
      <c r="O292" s="75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75">
        <v>45688</v>
      </c>
      <c r="O293" s="75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2689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75">
        <v>45688</v>
      </c>
      <c r="O294" s="75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2224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75">
        <v>45688</v>
      </c>
      <c r="O295" s="75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75">
        <v>45688</v>
      </c>
      <c r="O307" s="75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75">
        <v>45688</v>
      </c>
      <c r="O308" s="75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75">
        <v>45688</v>
      </c>
      <c r="O309" s="75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75">
        <v>45688</v>
      </c>
      <c r="O310" s="75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75">
        <v>45688</v>
      </c>
      <c r="O311" s="75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75">
        <v>45688</v>
      </c>
      <c r="O312" s="75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75">
        <v>45688</v>
      </c>
      <c r="O313" s="75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75">
        <v>45688</v>
      </c>
      <c r="O314" s="75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1743</v>
      </c>
      <c r="B315" s="60" t="str">
        <f>IFERROR(VLOOKUP(Proc[[#This Row],[App]],Table2[],3,0),"open")</f>
        <v>ok</v>
      </c>
      <c r="C315" s="63" t="s">
        <v>369</v>
      </c>
      <c r="D315" t="s">
        <v>1744</v>
      </c>
      <c r="E315" t="s">
        <v>419</v>
      </c>
      <c r="F315" s="60" t="s">
        <v>1098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75">
        <v>45691</v>
      </c>
      <c r="O315" s="75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1112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75">
        <v>45691</v>
      </c>
      <c r="O316" s="75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75">
        <v>45691</v>
      </c>
      <c r="O317" s="75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75">
        <v>45691</v>
      </c>
      <c r="O318" s="75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75">
        <v>45691</v>
      </c>
      <c r="O319" s="75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75">
        <v>45691</v>
      </c>
      <c r="O320" s="75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75">
        <v>45691</v>
      </c>
      <c r="O321" s="75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1760</v>
      </c>
      <c r="B322" s="60" t="str">
        <f>IFERROR(VLOOKUP(Proc[[#This Row],[App]],Table2[],3,0),"open")</f>
        <v>ok</v>
      </c>
      <c r="C322" s="63" t="s">
        <v>369</v>
      </c>
      <c r="D322" t="s">
        <v>1758</v>
      </c>
      <c r="E322" t="s">
        <v>1762</v>
      </c>
      <c r="F322" s="60" t="s">
        <v>1759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41</v>
      </c>
      <c r="R322" s="69" t="s">
        <v>1761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75">
        <v>45691</v>
      </c>
      <c r="O323" s="75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75">
        <v>45691</v>
      </c>
      <c r="O324" s="75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75">
        <v>45691</v>
      </c>
      <c r="O325" s="75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75">
        <v>45691</v>
      </c>
      <c r="O326" s="75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75">
        <v>45691</v>
      </c>
      <c r="O327" s="75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75">
        <v>45691</v>
      </c>
      <c r="O328" s="75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75">
        <v>45691</v>
      </c>
      <c r="O329" s="75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75">
        <v>45691</v>
      </c>
      <c r="O330" s="75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75">
        <v>45691</v>
      </c>
      <c r="O331" s="75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75">
        <v>45691</v>
      </c>
      <c r="O332" s="75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75">
        <v>45691</v>
      </c>
      <c r="O333" s="75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75">
        <v>45691</v>
      </c>
      <c r="O334" s="75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75">
        <v>45691</v>
      </c>
      <c r="O335" s="75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75">
        <v>45691</v>
      </c>
      <c r="O336" s="75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75">
        <v>45691</v>
      </c>
      <c r="O337" s="75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75">
        <v>45691</v>
      </c>
      <c r="O338" s="75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75">
        <v>45691</v>
      </c>
      <c r="O339" s="75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75">
        <v>45691</v>
      </c>
      <c r="O340" s="75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1787</v>
      </c>
      <c r="B341" s="60" t="str">
        <f>IFERROR(VLOOKUP(Proc[[#This Row],[App]],Table2[],3,0),"open")</f>
        <v>ok</v>
      </c>
      <c r="C341" t="s">
        <v>369</v>
      </c>
      <c r="D341" t="s">
        <v>1788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75">
        <v>45692</v>
      </c>
      <c r="O341" s="75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1789</v>
      </c>
      <c r="B342" s="60" t="str">
        <f>IFERROR(VLOOKUP(Proc[[#This Row],[App]],Table2[],3,0),"open")</f>
        <v>ok</v>
      </c>
      <c r="C342" s="62" t="s">
        <v>369</v>
      </c>
      <c r="D342" t="s">
        <v>1790</v>
      </c>
      <c r="E342" t="s">
        <v>1286</v>
      </c>
      <c r="F342" s="60" t="s">
        <v>1088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75">
        <v>45692</v>
      </c>
      <c r="O342" s="75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1003</v>
      </c>
      <c r="S342" s="60"/>
    </row>
    <row r="343" spans="1:19" hidden="1">
      <c r="A343" s="62" t="s">
        <v>1789</v>
      </c>
      <c r="B343" s="60" t="str">
        <f>IFERROR(VLOOKUP(Proc[[#This Row],[App]],Table2[],3,0),"open")</f>
        <v>ok</v>
      </c>
      <c r="C343" s="62" t="s">
        <v>369</v>
      </c>
      <c r="D343" t="s">
        <v>1791</v>
      </c>
      <c r="E343" t="s">
        <v>1287</v>
      </c>
      <c r="F343" s="60" t="s">
        <v>1319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75">
        <v>45692</v>
      </c>
      <c r="O343" s="75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1003</v>
      </c>
      <c r="S343" s="60"/>
    </row>
    <row r="344" spans="1:19" hidden="1">
      <c r="A344" s="62" t="s">
        <v>1789</v>
      </c>
      <c r="B344" s="60" t="str">
        <f>IFERROR(VLOOKUP(Proc[[#This Row],[App]],Table2[],3,0),"open")</f>
        <v>ok</v>
      </c>
      <c r="C344" s="62" t="s">
        <v>369</v>
      </c>
      <c r="D344" t="s">
        <v>1792</v>
      </c>
      <c r="E344" t="s">
        <v>1288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75">
        <v>45692</v>
      </c>
      <c r="O344" s="75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1003</v>
      </c>
      <c r="S344" s="60"/>
    </row>
    <row r="345" spans="1:19" hidden="1">
      <c r="A345" s="62" t="s">
        <v>1789</v>
      </c>
      <c r="B345" s="60" t="str">
        <f>IFERROR(VLOOKUP(Proc[[#This Row],[App]],Table2[],3,0),"open")</f>
        <v>ok</v>
      </c>
      <c r="C345" s="62" t="s">
        <v>369</v>
      </c>
      <c r="D345" t="s">
        <v>1793</v>
      </c>
      <c r="E345" t="s">
        <v>1288</v>
      </c>
      <c r="F345" s="60" t="s">
        <v>1319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75">
        <v>45692</v>
      </c>
      <c r="O345" s="75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1003</v>
      </c>
      <c r="S345" s="60"/>
    </row>
    <row r="346" spans="1:19" hidden="1">
      <c r="A346" t="s">
        <v>1807</v>
      </c>
      <c r="B346" s="60" t="str">
        <f>IFERROR(VLOOKUP(Proc[[#This Row],[App]],Table2[],3,0),"open")</f>
        <v>ok</v>
      </c>
      <c r="C346" s="62" t="s">
        <v>369</v>
      </c>
      <c r="D346" t="s">
        <v>1794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75">
        <v>45692</v>
      </c>
      <c r="O346" s="75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1795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75">
        <v>45692</v>
      </c>
      <c r="O347" s="75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1796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75">
        <v>45692</v>
      </c>
      <c r="O348" s="75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1797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75">
        <v>45692</v>
      </c>
      <c r="O349" s="75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1798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75">
        <v>45692</v>
      </c>
      <c r="O350" s="75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1799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75">
        <v>45692</v>
      </c>
      <c r="O351" s="75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1800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75">
        <v>45692</v>
      </c>
      <c r="O352" s="75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1801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75">
        <v>45692</v>
      </c>
      <c r="O353" s="75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1802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75">
        <v>45692</v>
      </c>
      <c r="O354" s="75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1803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75">
        <v>45692</v>
      </c>
      <c r="O355" s="75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377</v>
      </c>
      <c r="D356" t="s">
        <v>1804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75">
        <v>45692</v>
      </c>
      <c r="O356" s="75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369</v>
      </c>
      <c r="D357" t="s">
        <v>1805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75">
        <v>45692</v>
      </c>
      <c r="O357" s="75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1806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75">
        <v>45692</v>
      </c>
      <c r="O358" s="75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1808</v>
      </c>
      <c r="B359" s="60" t="str">
        <f>IFERROR(VLOOKUP(Proc[[#This Row],[App]],Table2[],3,0),"open")</f>
        <v>ok</v>
      </c>
      <c r="C359" s="62" t="s">
        <v>369</v>
      </c>
      <c r="D359" t="s">
        <v>1809</v>
      </c>
      <c r="E359" t="s">
        <v>1815</v>
      </c>
      <c r="F359" s="60" t="s">
        <v>1755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75">
        <v>45692</v>
      </c>
      <c r="O359" s="75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1003</v>
      </c>
      <c r="S359" s="60"/>
    </row>
    <row r="360" spans="1:19" hidden="1">
      <c r="A360" s="62" t="s">
        <v>1808</v>
      </c>
      <c r="B360" s="60" t="str">
        <f>IFERROR(VLOOKUP(Proc[[#This Row],[App]],Table2[],3,0),"open")</f>
        <v>ok</v>
      </c>
      <c r="C360" s="62" t="s">
        <v>369</v>
      </c>
      <c r="D360" t="s">
        <v>1810</v>
      </c>
      <c r="E360" t="s">
        <v>1816</v>
      </c>
      <c r="F360" s="60" t="s">
        <v>1755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75">
        <v>45692</v>
      </c>
      <c r="O360" s="75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1003</v>
      </c>
      <c r="S360" s="60"/>
    </row>
    <row r="361" spans="1:19" hidden="1">
      <c r="A361" s="62" t="s">
        <v>1808</v>
      </c>
      <c r="B361" s="60" t="str">
        <f>IFERROR(VLOOKUP(Proc[[#This Row],[App]],Table2[],3,0),"open")</f>
        <v>ok</v>
      </c>
      <c r="C361" s="62" t="s">
        <v>369</v>
      </c>
      <c r="D361" t="s">
        <v>1811</v>
      </c>
      <c r="E361" t="s">
        <v>1289</v>
      </c>
      <c r="F361" s="60" t="s">
        <v>1152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75">
        <v>45692</v>
      </c>
      <c r="O361" s="75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1003</v>
      </c>
      <c r="S361" s="60"/>
    </row>
    <row r="362" spans="1:19" hidden="1">
      <c r="A362" s="62" t="s">
        <v>1808</v>
      </c>
      <c r="B362" s="60" t="str">
        <f>IFERROR(VLOOKUP(Proc[[#This Row],[App]],Table2[],3,0),"open")</f>
        <v>ok</v>
      </c>
      <c r="C362" s="62" t="s">
        <v>369</v>
      </c>
      <c r="D362" t="s">
        <v>1812</v>
      </c>
      <c r="E362" t="s">
        <v>549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75">
        <v>45692</v>
      </c>
      <c r="O362" s="75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1003</v>
      </c>
      <c r="S362" s="60"/>
    </row>
    <row r="363" spans="1:19" hidden="1">
      <c r="A363" s="62" t="s">
        <v>1808</v>
      </c>
      <c r="B363" s="60" t="str">
        <f>IFERROR(VLOOKUP(Proc[[#This Row],[App]],Table2[],3,0),"open")</f>
        <v>ok</v>
      </c>
      <c r="C363" s="62" t="s">
        <v>369</v>
      </c>
      <c r="D363" t="s">
        <v>1813</v>
      </c>
      <c r="E363" t="s">
        <v>549</v>
      </c>
      <c r="F363" s="60" t="s">
        <v>1817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75">
        <v>45692</v>
      </c>
      <c r="O363" s="75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1003</v>
      </c>
      <c r="S363" s="60"/>
    </row>
    <row r="364" spans="1:19" hidden="1">
      <c r="A364" s="62" t="s">
        <v>1808</v>
      </c>
      <c r="B364" s="60" t="str">
        <f>IFERROR(VLOOKUP(Proc[[#This Row],[App]],Table2[],3,0),"open")</f>
        <v>ok</v>
      </c>
      <c r="C364" s="62" t="s">
        <v>369</v>
      </c>
      <c r="D364" t="s">
        <v>1814</v>
      </c>
      <c r="E364" t="s">
        <v>801</v>
      </c>
      <c r="F364" s="60" t="s">
        <v>1086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75">
        <v>45692</v>
      </c>
      <c r="O364" s="75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1003</v>
      </c>
      <c r="S364" s="60"/>
    </row>
    <row r="365" spans="1:19" hidden="1">
      <c r="A365" t="s">
        <v>1818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1285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75">
        <v>45712</v>
      </c>
      <c r="O365" s="75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1530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75">
        <v>45712</v>
      </c>
      <c r="O366" s="75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1285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75">
        <v>45712</v>
      </c>
      <c r="O367" s="75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75">
        <v>45712</v>
      </c>
      <c r="O368" s="75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1285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75">
        <v>45712</v>
      </c>
      <c r="O369" s="75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75">
        <v>45712</v>
      </c>
      <c r="O370" s="75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75">
        <v>45712</v>
      </c>
      <c r="O371" s="75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75">
        <v>45712</v>
      </c>
      <c r="O372" s="75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75">
        <v>45712</v>
      </c>
      <c r="O373" s="75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75">
        <v>45712</v>
      </c>
      <c r="O374" s="75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75">
        <v>45712</v>
      </c>
      <c r="O375" s="75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1819</v>
      </c>
      <c r="E376" t="s">
        <v>1285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75">
        <v>45712</v>
      </c>
      <c r="O376" s="75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1285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75">
        <v>45712</v>
      </c>
      <c r="O377" s="75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75">
        <v>45712</v>
      </c>
      <c r="O378" s="75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75">
        <v>45712</v>
      </c>
      <c r="O379" s="75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75">
        <v>45712</v>
      </c>
      <c r="O380" s="75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1285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75">
        <v>45712</v>
      </c>
      <c r="O381" s="75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1821</v>
      </c>
      <c r="B382" s="60" t="str">
        <f>IFERROR(VLOOKUP(Proc[[#This Row],[App]],Table2[],3,0),"open")</f>
        <v>ok</v>
      </c>
      <c r="C382" s="62" t="s">
        <v>369</v>
      </c>
      <c r="D382" t="s">
        <v>1820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75">
        <v>45693</v>
      </c>
      <c r="O382" s="75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1844</v>
      </c>
      <c r="B383" s="60" t="str">
        <f>IFERROR(VLOOKUP(Proc[[#This Row],[App]],Table2[],3,0),"open")</f>
        <v>ok</v>
      </c>
      <c r="C383" t="s">
        <v>377</v>
      </c>
      <c r="D383" t="s">
        <v>1822</v>
      </c>
      <c r="E383" t="s">
        <v>658</v>
      </c>
      <c r="F383" s="60" t="s">
        <v>1845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38</v>
      </c>
      <c r="R383" s="69" t="s">
        <v>575</v>
      </c>
      <c r="S383" s="60"/>
    </row>
    <row r="384" spans="1:19" hidden="1">
      <c r="A384" s="62" t="s">
        <v>1844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38</v>
      </c>
      <c r="R384" s="69" t="s">
        <v>575</v>
      </c>
      <c r="S384" s="60"/>
    </row>
    <row r="385" spans="1:19" hidden="1">
      <c r="A385" s="62" t="s">
        <v>1844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38</v>
      </c>
      <c r="R385" s="69" t="s">
        <v>575</v>
      </c>
      <c r="S385" s="60"/>
    </row>
    <row r="386" spans="1:19" hidden="1">
      <c r="A386" s="62" t="s">
        <v>1844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38</v>
      </c>
      <c r="R386" s="69" t="s">
        <v>575</v>
      </c>
      <c r="S386" s="60"/>
    </row>
    <row r="387" spans="1:19" hidden="1">
      <c r="A387" s="62" t="s">
        <v>1844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38</v>
      </c>
      <c r="R387" s="69" t="s">
        <v>575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1823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1824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377</v>
      </c>
      <c r="D394" t="s">
        <v>1825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1826</v>
      </c>
      <c r="E395" t="s">
        <v>658</v>
      </c>
      <c r="F395" s="60" t="s">
        <v>1846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1827</v>
      </c>
      <c r="E396" t="s">
        <v>658</v>
      </c>
      <c r="F396" s="60" t="s">
        <v>1845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1828</v>
      </c>
      <c r="E397" t="s">
        <v>658</v>
      </c>
      <c r="F397" s="60" t="s">
        <v>1846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1829</v>
      </c>
      <c r="E398" t="s">
        <v>658</v>
      </c>
      <c r="F398" s="60" t="s">
        <v>1845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369</v>
      </c>
      <c r="D399" t="s">
        <v>1830</v>
      </c>
      <c r="E399" t="s">
        <v>658</v>
      </c>
      <c r="F399" s="60" t="s">
        <v>1846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1831</v>
      </c>
      <c r="E402" t="s">
        <v>658</v>
      </c>
      <c r="F402" s="60" t="s">
        <v>1131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1832</v>
      </c>
      <c r="E403" t="s">
        <v>658</v>
      </c>
      <c r="F403" s="60" t="s">
        <v>1130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369</v>
      </c>
      <c r="D405" t="s">
        <v>1833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1834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1835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377</v>
      </c>
      <c r="D408" t="s">
        <v>1836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1837</v>
      </c>
      <c r="E410" t="s">
        <v>658</v>
      </c>
      <c r="F410" s="60" t="s">
        <v>1847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1838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1839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1183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997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377</v>
      </c>
      <c r="D416" t="s">
        <v>1140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1840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1841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1842</v>
      </c>
      <c r="E422" t="s">
        <v>658</v>
      </c>
      <c r="F422" s="60" t="s">
        <v>1848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1843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38</v>
      </c>
      <c r="R423" s="69" t="s">
        <v>575</v>
      </c>
      <c r="S423" s="60"/>
    </row>
    <row r="424" spans="1:19" hidden="1">
      <c r="A424" t="s">
        <v>1849</v>
      </c>
      <c r="B424" s="60" t="str">
        <f>IFERROR(VLOOKUP(Proc[[#This Row],[App]],Table2[],3,0),"open")</f>
        <v>ok</v>
      </c>
      <c r="C424" s="62" t="s">
        <v>369</v>
      </c>
      <c r="D424" t="s">
        <v>1850</v>
      </c>
      <c r="E424" t="s">
        <v>513</v>
      </c>
      <c r="F424" s="60" t="s">
        <v>1851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75">
        <v>45693</v>
      </c>
      <c r="O424" s="75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1852</v>
      </c>
      <c r="B425" s="60" t="str">
        <f>IFERROR(VLOOKUP(Proc[[#This Row],[App]],Table2[],3,0),"open")</f>
        <v>ok</v>
      </c>
      <c r="C425" t="s">
        <v>377</v>
      </c>
      <c r="D425" t="s">
        <v>1853</v>
      </c>
      <c r="E425" t="s">
        <v>517</v>
      </c>
      <c r="F425" s="60" t="s">
        <v>1755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75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1003</v>
      </c>
      <c r="S425" s="60"/>
    </row>
    <row r="426" spans="1:19" hidden="1">
      <c r="A426" s="62" t="s">
        <v>1852</v>
      </c>
      <c r="B426" s="60" t="str">
        <f>IFERROR(VLOOKUP(Proc[[#This Row],[App]],Table2[],3,0),"open")</f>
        <v>ok</v>
      </c>
      <c r="C426" s="62" t="s">
        <v>369</v>
      </c>
      <c r="D426" t="s">
        <v>1854</v>
      </c>
      <c r="E426" t="s">
        <v>517</v>
      </c>
      <c r="F426" s="60" t="s">
        <v>1857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75">
        <v>45693</v>
      </c>
      <c r="O426" s="75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1003</v>
      </c>
      <c r="S426" s="60"/>
    </row>
    <row r="427" spans="1:19" hidden="1">
      <c r="A427" s="62" t="s">
        <v>1852</v>
      </c>
      <c r="B427" s="60" t="str">
        <f>IFERROR(VLOOKUP(Proc[[#This Row],[App]],Table2[],3,0),"open")</f>
        <v>ok</v>
      </c>
      <c r="C427" s="62" t="s">
        <v>369</v>
      </c>
      <c r="D427" t="s">
        <v>1855</v>
      </c>
      <c r="E427" t="s">
        <v>450</v>
      </c>
      <c r="F427" s="60" t="s">
        <v>1755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75">
        <v>45693</v>
      </c>
      <c r="O427" s="75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1003</v>
      </c>
      <c r="S427" s="60"/>
    </row>
    <row r="428" spans="1:19" hidden="1">
      <c r="A428" s="62" t="s">
        <v>1852</v>
      </c>
      <c r="B428" s="60" t="str">
        <f>IFERROR(VLOOKUP(Proc[[#This Row],[App]],Table2[],3,0),"open")</f>
        <v>ok</v>
      </c>
      <c r="C428" s="62" t="s">
        <v>369</v>
      </c>
      <c r="D428" t="s">
        <v>1856</v>
      </c>
      <c r="E428" t="s">
        <v>548</v>
      </c>
      <c r="F428" s="60" t="s">
        <v>1858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75">
        <v>45693</v>
      </c>
      <c r="O428" s="75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1003</v>
      </c>
      <c r="S428" s="60"/>
    </row>
    <row r="429" spans="1:19" hidden="1">
      <c r="A429" t="s">
        <v>1859</v>
      </c>
      <c r="B429" s="60" t="str">
        <f>IFERROR(VLOOKUP(Proc[[#This Row],[App]],Table2[],3,0),"open")</f>
        <v>ok</v>
      </c>
      <c r="C429" s="62" t="s">
        <v>369</v>
      </c>
      <c r="D429" t="s">
        <v>1860</v>
      </c>
      <c r="E429" t="s">
        <v>1916</v>
      </c>
      <c r="F429" s="60" t="s">
        <v>1917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37</v>
      </c>
      <c r="R429" s="69" t="s">
        <v>858</v>
      </c>
      <c r="S429" s="60"/>
    </row>
    <row r="430" spans="1:19" hidden="1">
      <c r="A430" s="62" t="s">
        <v>1859</v>
      </c>
      <c r="B430" s="60" t="str">
        <f>IFERROR(VLOOKUP(Proc[[#This Row],[App]],Table2[],3,0),"open")</f>
        <v>ok</v>
      </c>
      <c r="C430" s="62" t="s">
        <v>369</v>
      </c>
      <c r="D430" t="s">
        <v>1861</v>
      </c>
      <c r="E430" t="s">
        <v>1916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37</v>
      </c>
      <c r="R430" s="69" t="s">
        <v>858</v>
      </c>
      <c r="S430" s="60"/>
    </row>
    <row r="431" spans="1:19" hidden="1">
      <c r="A431" s="62" t="s">
        <v>1859</v>
      </c>
      <c r="B431" s="60" t="str">
        <f>IFERROR(VLOOKUP(Proc[[#This Row],[App]],Table2[],3,0),"open")</f>
        <v>ok</v>
      </c>
      <c r="C431" s="62" t="s">
        <v>369</v>
      </c>
      <c r="D431" t="s">
        <v>1862</v>
      </c>
      <c r="E431" t="s">
        <v>1916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37</v>
      </c>
      <c r="R431" s="69" t="s">
        <v>858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1863</v>
      </c>
      <c r="E432" t="s">
        <v>1916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1864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1865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1866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1867</v>
      </c>
      <c r="E436" t="s">
        <v>1916</v>
      </c>
      <c r="F436" s="60" t="s">
        <v>1917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1868</v>
      </c>
      <c r="E437" t="s">
        <v>1916</v>
      </c>
      <c r="F437" s="60" t="s">
        <v>1918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1869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1870</v>
      </c>
      <c r="E439" t="s">
        <v>1916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1871</v>
      </c>
      <c r="E440" t="s">
        <v>1916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1872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1873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1874</v>
      </c>
      <c r="E443" t="s">
        <v>1916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1875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1876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1877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1878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1879</v>
      </c>
      <c r="E448" t="s">
        <v>1916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1880</v>
      </c>
      <c r="E449" t="s">
        <v>1916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1881</v>
      </c>
      <c r="E450" t="s">
        <v>1916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1882</v>
      </c>
      <c r="E451" t="s">
        <v>1916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1883</v>
      </c>
      <c r="E452" t="s">
        <v>1916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1884</v>
      </c>
      <c r="E453" t="s">
        <v>1916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1885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1886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1887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1888</v>
      </c>
      <c r="E457" t="s">
        <v>1916</v>
      </c>
      <c r="F457" s="60" t="s">
        <v>1918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1889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1890</v>
      </c>
      <c r="E459" t="s">
        <v>1916</v>
      </c>
      <c r="F459" s="60" t="s">
        <v>1918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1891</v>
      </c>
      <c r="E460" t="s">
        <v>1916</v>
      </c>
      <c r="F460" s="60" t="s">
        <v>1917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1892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1893</v>
      </c>
      <c r="E462" t="s">
        <v>1916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1894</v>
      </c>
      <c r="E463" t="s">
        <v>1916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1895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1896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1897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1898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1899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1900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1901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1902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1903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1904</v>
      </c>
      <c r="E473" t="s">
        <v>1916</v>
      </c>
      <c r="F473" s="60" t="s">
        <v>1917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1905</v>
      </c>
      <c r="E474" t="s">
        <v>1916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1906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1907</v>
      </c>
      <c r="E476" t="s">
        <v>1916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1908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1909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1910</v>
      </c>
      <c r="E479" t="s">
        <v>1916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1911</v>
      </c>
      <c r="E480" t="s">
        <v>1916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1912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1913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1914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1915</v>
      </c>
      <c r="E484" t="s">
        <v>1916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37</v>
      </c>
      <c r="R484" s="69" t="s">
        <v>858</v>
      </c>
      <c r="S484" s="60"/>
    </row>
    <row r="485" spans="1:19" hidden="1">
      <c r="A485" t="s">
        <v>1919</v>
      </c>
      <c r="B485" s="60" t="str">
        <f>IFERROR(VLOOKUP(Proc[[#This Row],[App]],Table2[],3,0),"open")</f>
        <v>ok</v>
      </c>
      <c r="C485" s="62" t="s">
        <v>369</v>
      </c>
      <c r="D485" t="s">
        <v>1920</v>
      </c>
      <c r="E485" t="s">
        <v>494</v>
      </c>
      <c r="F485" s="60" t="s">
        <v>1291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37</v>
      </c>
      <c r="R485" s="69" t="s">
        <v>538</v>
      </c>
      <c r="S485" s="60"/>
    </row>
    <row r="486" spans="1:19" hidden="1">
      <c r="A486" s="62" t="s">
        <v>1919</v>
      </c>
      <c r="B486" s="60" t="str">
        <f>IFERROR(VLOOKUP(Proc[[#This Row],[App]],Table2[],3,0),"open")</f>
        <v>ok</v>
      </c>
      <c r="C486" s="62" t="s">
        <v>369</v>
      </c>
      <c r="D486" t="s">
        <v>1921</v>
      </c>
      <c r="E486" t="s">
        <v>494</v>
      </c>
      <c r="F486" s="60" t="s">
        <v>1291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37</v>
      </c>
      <c r="R486" s="69" t="s">
        <v>538</v>
      </c>
      <c r="S486" s="60"/>
    </row>
    <row r="487" spans="1:19" hidden="1">
      <c r="A487" s="62" t="s">
        <v>1919</v>
      </c>
      <c r="B487" s="60" t="str">
        <f>IFERROR(VLOOKUP(Proc[[#This Row],[App]],Table2[],3,0),"open")</f>
        <v>ok</v>
      </c>
      <c r="C487" s="62" t="s">
        <v>369</v>
      </c>
      <c r="D487" t="s">
        <v>1922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37</v>
      </c>
      <c r="R487" s="69" t="s">
        <v>538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2224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2" t="s">
        <v>377</v>
      </c>
      <c r="D494" t="s">
        <v>1931</v>
      </c>
      <c r="E494" t="s">
        <v>2224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75">
        <v>45701</v>
      </c>
      <c r="O495" s="75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33</v>
      </c>
      <c r="R497" s="69" t="s">
        <v>538</v>
      </c>
      <c r="S497" s="60"/>
    </row>
    <row r="498" spans="1:19" hidden="1">
      <c r="A498" t="s">
        <v>1951</v>
      </c>
      <c r="B498" s="60" t="str">
        <f>IFERROR(VLOOKUP(Proc[[#This Row],[App]],Table2[],3,0),"open")</f>
        <v>ok</v>
      </c>
      <c r="C498" s="72" t="s">
        <v>369</v>
      </c>
      <c r="D498" t="s">
        <v>1952</v>
      </c>
      <c r="E498" s="72" t="s">
        <v>1953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32</v>
      </c>
      <c r="R498" s="69" t="s">
        <v>1530</v>
      </c>
      <c r="S498" s="60"/>
    </row>
    <row r="499" spans="1:19" hidden="1">
      <c r="A499" t="s">
        <v>1957</v>
      </c>
      <c r="B499" s="73" t="str">
        <f>IFERROR(VLOOKUP(Proc[[#This Row],[App]],Table2[],3,0),"open")</f>
        <v>ok</v>
      </c>
      <c r="C499" s="72" t="s">
        <v>369</v>
      </c>
      <c r="D499" t="s">
        <v>1954</v>
      </c>
      <c r="E499" t="s">
        <v>1955</v>
      </c>
      <c r="F499" s="73" t="s">
        <v>1956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75">
        <v>45712</v>
      </c>
      <c r="O499" s="75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1958</v>
      </c>
      <c r="B500" s="73" t="str">
        <f>IFERROR(VLOOKUP(Proc[[#This Row],[App]],Table2[],3,0),"open")</f>
        <v>ok</v>
      </c>
      <c r="C500" s="72" t="s">
        <v>369</v>
      </c>
      <c r="D500" t="s">
        <v>2143</v>
      </c>
      <c r="E500" t="s">
        <v>2152</v>
      </c>
      <c r="F500" s="73" t="s">
        <v>1959</v>
      </c>
      <c r="G500" t="s">
        <v>400</v>
      </c>
      <c r="H500" s="73" t="str">
        <f>IF(Proc[[#This Row],[type]]="LFF (MDG-F)",MID(Proc[[#This Row],[Obj]],13,10),"")</f>
        <v/>
      </c>
      <c r="I500" t="s">
        <v>1963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75">
        <v>45706</v>
      </c>
      <c r="O500" s="75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1962</v>
      </c>
      <c r="S500" s="73"/>
    </row>
    <row r="501" spans="1:19" hidden="1">
      <c r="A501" s="72" t="s">
        <v>1958</v>
      </c>
      <c r="B501" s="73" t="str">
        <f>IFERROR(VLOOKUP(Proc[[#This Row],[App]],Table2[],3,0),"open")</f>
        <v>ok</v>
      </c>
      <c r="C501" s="72" t="s">
        <v>369</v>
      </c>
      <c r="D501" t="s">
        <v>2144</v>
      </c>
      <c r="E501" s="72" t="s">
        <v>2152</v>
      </c>
      <c r="F501" s="73" t="s">
        <v>1960</v>
      </c>
      <c r="G501" s="72" t="s">
        <v>400</v>
      </c>
      <c r="H501" s="73" t="str">
        <f>IF(Proc[[#This Row],[type]]="LFF (MDG-F)",MID(Proc[[#This Row],[Obj]],13,10),"")</f>
        <v/>
      </c>
      <c r="I501" s="72" t="s">
        <v>1963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75">
        <v>45706</v>
      </c>
      <c r="O501" s="75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1962</v>
      </c>
      <c r="S501" s="73"/>
    </row>
    <row r="502" spans="1:19" hidden="1">
      <c r="A502" s="72" t="s">
        <v>1958</v>
      </c>
      <c r="B502" s="73" t="str">
        <f>IFERROR(VLOOKUP(Proc[[#This Row],[App]],Table2[],3,0),"open")</f>
        <v>ok</v>
      </c>
      <c r="C502" s="72" t="s">
        <v>369</v>
      </c>
      <c r="D502" t="s">
        <v>2145</v>
      </c>
      <c r="E502" s="72" t="s">
        <v>2152</v>
      </c>
      <c r="F502" s="73" t="s">
        <v>1961</v>
      </c>
      <c r="G502" s="72" t="s">
        <v>400</v>
      </c>
      <c r="H502" s="73" t="str">
        <f>IF(Proc[[#This Row],[type]]="LFF (MDG-F)",MID(Proc[[#This Row],[Obj]],13,10),"")</f>
        <v/>
      </c>
      <c r="I502" s="72" t="s">
        <v>1963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75">
        <v>45706</v>
      </c>
      <c r="O502" s="75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1962</v>
      </c>
      <c r="S502" s="73"/>
    </row>
    <row r="503" spans="1:19" hidden="1">
      <c r="A503" s="72" t="s">
        <v>1958</v>
      </c>
      <c r="B503" s="73" t="str">
        <f>IFERROR(VLOOKUP(Proc[[#This Row],[App]],Table2[],3,0),"open")</f>
        <v>ok</v>
      </c>
      <c r="C503" s="72" t="s">
        <v>369</v>
      </c>
      <c r="D503" t="s">
        <v>2146</v>
      </c>
      <c r="E503" t="s">
        <v>2153</v>
      </c>
      <c r="F503" s="73" t="s">
        <v>1959</v>
      </c>
      <c r="G503" s="72" t="s">
        <v>400</v>
      </c>
      <c r="H503" s="73" t="str">
        <f>IF(Proc[[#This Row],[type]]="LFF (MDG-F)",MID(Proc[[#This Row],[Obj]],13,10),"")</f>
        <v/>
      </c>
      <c r="I503" s="72" t="s">
        <v>1963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75">
        <v>45706</v>
      </c>
      <c r="O503" s="75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1962</v>
      </c>
      <c r="S503" s="73"/>
    </row>
    <row r="504" spans="1:19" hidden="1">
      <c r="A504" s="72" t="s">
        <v>1958</v>
      </c>
      <c r="B504" s="73" t="str">
        <f>IFERROR(VLOOKUP(Proc[[#This Row],[App]],Table2[],3,0),"open")</f>
        <v>ok</v>
      </c>
      <c r="C504" s="72" t="s">
        <v>369</v>
      </c>
      <c r="D504" t="s">
        <v>2148</v>
      </c>
      <c r="E504" s="72" t="s">
        <v>2153</v>
      </c>
      <c r="F504" s="73" t="s">
        <v>1959</v>
      </c>
      <c r="G504" s="72" t="s">
        <v>400</v>
      </c>
      <c r="H504" s="73" t="str">
        <f>IF(Proc[[#This Row],[type]]="LFF (MDG-F)",MID(Proc[[#This Row],[Obj]],13,10),"")</f>
        <v/>
      </c>
      <c r="I504" s="72" t="s">
        <v>1963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75">
        <v>45706</v>
      </c>
      <c r="O504" s="75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1962</v>
      </c>
      <c r="S504" s="73"/>
    </row>
    <row r="505" spans="1:19" hidden="1">
      <c r="A505" s="72" t="s">
        <v>1958</v>
      </c>
      <c r="B505" s="73" t="str">
        <f>IFERROR(VLOOKUP(Proc[[#This Row],[App]],Table2[],3,0),"open")</f>
        <v>ok</v>
      </c>
      <c r="C505" s="72" t="s">
        <v>369</v>
      </c>
      <c r="D505" t="s">
        <v>2147</v>
      </c>
      <c r="E505" s="72" t="s">
        <v>2153</v>
      </c>
      <c r="F505" s="73" t="s">
        <v>1961</v>
      </c>
      <c r="G505" s="72" t="s">
        <v>400</v>
      </c>
      <c r="H505" s="73" t="str">
        <f>IF(Proc[[#This Row],[type]]="LFF (MDG-F)",MID(Proc[[#This Row],[Obj]],13,10),"")</f>
        <v/>
      </c>
      <c r="I505" s="72" t="s">
        <v>1963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75">
        <v>45706</v>
      </c>
      <c r="O505" s="75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1962</v>
      </c>
      <c r="S505" s="73"/>
    </row>
    <row r="506" spans="1:19" hidden="1">
      <c r="A506" s="72" t="s">
        <v>1958</v>
      </c>
      <c r="B506" s="73" t="str">
        <f>IFERROR(VLOOKUP(Proc[[#This Row],[App]],Table2[],3,0),"open")</f>
        <v>ok</v>
      </c>
      <c r="C506" s="72" t="s">
        <v>369</v>
      </c>
      <c r="D506" t="s">
        <v>2149</v>
      </c>
      <c r="E506" s="72" t="s">
        <v>2153</v>
      </c>
      <c r="F506" s="73" t="s">
        <v>1961</v>
      </c>
      <c r="G506" s="72" t="s">
        <v>400</v>
      </c>
      <c r="H506" s="73" t="str">
        <f>IF(Proc[[#This Row],[type]]="LFF (MDG-F)",MID(Proc[[#This Row],[Obj]],13,10),"")</f>
        <v/>
      </c>
      <c r="I506" s="72" t="s">
        <v>1963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75">
        <v>45706</v>
      </c>
      <c r="O506" s="75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1962</v>
      </c>
      <c r="S506" s="73"/>
    </row>
    <row r="507" spans="1:19" hidden="1">
      <c r="A507" s="72" t="s">
        <v>1958</v>
      </c>
      <c r="B507" s="73" t="str">
        <f>IFERROR(VLOOKUP(Proc[[#This Row],[App]],Table2[],3,0),"open")</f>
        <v>ok</v>
      </c>
      <c r="C507" s="72" t="s">
        <v>369</v>
      </c>
      <c r="D507" t="s">
        <v>2150</v>
      </c>
      <c r="E507" s="72" t="s">
        <v>2153</v>
      </c>
      <c r="F507" s="73" t="s">
        <v>1961</v>
      </c>
      <c r="G507" s="72" t="s">
        <v>400</v>
      </c>
      <c r="H507" s="73" t="str">
        <f>IF(Proc[[#This Row],[type]]="LFF (MDG-F)",MID(Proc[[#This Row],[Obj]],13,10),"")</f>
        <v/>
      </c>
      <c r="I507" s="72" t="s">
        <v>1963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75">
        <v>45706</v>
      </c>
      <c r="O507" s="75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1962</v>
      </c>
      <c r="S507" s="73"/>
    </row>
    <row r="508" spans="1:19" hidden="1">
      <c r="A508" s="72" t="s">
        <v>1958</v>
      </c>
      <c r="B508" s="73" t="str">
        <f>IFERROR(VLOOKUP(Proc[[#This Row],[App]],Table2[],3,0),"open")</f>
        <v>ok</v>
      </c>
      <c r="C508" s="72" t="s">
        <v>369</v>
      </c>
      <c r="D508" t="s">
        <v>2151</v>
      </c>
      <c r="E508" s="72" t="s">
        <v>2153</v>
      </c>
      <c r="F508" s="73" t="s">
        <v>1961</v>
      </c>
      <c r="G508" s="72" t="s">
        <v>400</v>
      </c>
      <c r="H508" s="73" t="str">
        <f>IF(Proc[[#This Row],[type]]="LFF (MDG-F)",MID(Proc[[#This Row],[Obj]],13,10),"")</f>
        <v/>
      </c>
      <c r="I508" s="72" t="s">
        <v>1963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75">
        <v>45706</v>
      </c>
      <c r="O508" s="75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1962</v>
      </c>
      <c r="S508" s="73"/>
    </row>
    <row r="509" spans="1:19" hidden="1">
      <c r="A509" t="s">
        <v>1972</v>
      </c>
      <c r="B509" s="73" t="str">
        <f>IFERROR(VLOOKUP(Proc[[#This Row],[App]],Table2[],3,0),"open")</f>
        <v>ok</v>
      </c>
      <c r="C509" s="72" t="s">
        <v>369</v>
      </c>
      <c r="D509" t="s">
        <v>1964</v>
      </c>
      <c r="E509" t="s">
        <v>431</v>
      </c>
      <c r="F509" s="73" t="s">
        <v>1968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75">
        <v>45705</v>
      </c>
      <c r="O509" s="75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3"/>
    </row>
    <row r="510" spans="1:19" hidden="1">
      <c r="A510" s="72" t="s">
        <v>1972</v>
      </c>
      <c r="B510" s="73" t="str">
        <f>IFERROR(VLOOKUP(Proc[[#This Row],[App]],Table2[],3,0),"open")</f>
        <v>ok</v>
      </c>
      <c r="C510" s="72" t="s">
        <v>369</v>
      </c>
      <c r="D510" t="s">
        <v>1965</v>
      </c>
      <c r="E510" t="s">
        <v>1285</v>
      </c>
      <c r="F510" s="73" t="s">
        <v>1969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75">
        <v>45705</v>
      </c>
      <c r="O510" s="75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3"/>
    </row>
    <row r="511" spans="1:19" hidden="1">
      <c r="A511" s="72" t="s">
        <v>1972</v>
      </c>
      <c r="B511" s="73" t="str">
        <f>IFERROR(VLOOKUP(Proc[[#This Row],[App]],Table2[],3,0),"open")</f>
        <v>ok</v>
      </c>
      <c r="C511" s="72" t="s">
        <v>369</v>
      </c>
      <c r="D511" t="s">
        <v>1966</v>
      </c>
      <c r="E511" t="s">
        <v>1285</v>
      </c>
      <c r="F511" s="73" t="s">
        <v>1970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75">
        <v>45705</v>
      </c>
      <c r="O511" s="75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3"/>
    </row>
    <row r="512" spans="1:19" hidden="1">
      <c r="A512" s="72" t="s">
        <v>1972</v>
      </c>
      <c r="B512" s="73" t="str">
        <f>IFERROR(VLOOKUP(Proc[[#This Row],[App]],Table2[],3,0),"open")</f>
        <v>ok</v>
      </c>
      <c r="C512" s="72" t="s">
        <v>369</v>
      </c>
      <c r="D512" t="s">
        <v>1967</v>
      </c>
      <c r="E512" t="s">
        <v>1285</v>
      </c>
      <c r="F512" s="73" t="s">
        <v>1971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75">
        <v>45705</v>
      </c>
      <c r="O512" s="75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3"/>
    </row>
    <row r="513" spans="1:19" hidden="1">
      <c r="A513" t="s">
        <v>1974</v>
      </c>
      <c r="B513" s="73" t="str">
        <f>IFERROR(VLOOKUP(Proc[[#This Row],[App]],Table2[],3,0),"open")</f>
        <v>ok</v>
      </c>
      <c r="C513" s="72" t="s">
        <v>369</v>
      </c>
      <c r="D513" t="s">
        <v>1973</v>
      </c>
      <c r="E513" t="s">
        <v>1975</v>
      </c>
      <c r="F513" s="73" t="s">
        <v>1976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75">
        <v>45705</v>
      </c>
      <c r="O513" s="75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3"/>
    </row>
    <row r="514" spans="1:19" hidden="1">
      <c r="A514" t="s">
        <v>1977</v>
      </c>
      <c r="B514" s="73" t="str">
        <f>IFERROR(VLOOKUP(Proc[[#This Row],[App]],Table2[],3,0),"open")</f>
        <v>ok</v>
      </c>
      <c r="C514" t="s">
        <v>369</v>
      </c>
      <c r="D514" t="s">
        <v>1978</v>
      </c>
      <c r="E514" t="s">
        <v>2076</v>
      </c>
      <c r="F514" s="73" t="s">
        <v>2108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75">
        <v>45712</v>
      </c>
      <c r="O514" s="75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1977</v>
      </c>
      <c r="B515" s="73" t="str">
        <f>IFERROR(VLOOKUP(Proc[[#This Row],[App]],Table2[],3,0),"open")</f>
        <v>ok</v>
      </c>
      <c r="C515" s="72" t="s">
        <v>369</v>
      </c>
      <c r="D515" t="s">
        <v>1979</v>
      </c>
      <c r="E515" t="s">
        <v>2077</v>
      </c>
      <c r="F515" s="73" t="s">
        <v>2109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75">
        <v>45712</v>
      </c>
      <c r="O515" s="75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1977</v>
      </c>
      <c r="B516" s="73" t="str">
        <f>IFERROR(VLOOKUP(Proc[[#This Row],[App]],Table2[],3,0),"open")</f>
        <v>ok</v>
      </c>
      <c r="C516" s="72" t="s">
        <v>369</v>
      </c>
      <c r="D516" t="s">
        <v>1980</v>
      </c>
      <c r="E516" t="s">
        <v>2077</v>
      </c>
      <c r="F516" s="73" t="s">
        <v>2109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75">
        <v>45712</v>
      </c>
      <c r="O516" s="75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1977</v>
      </c>
      <c r="B517" s="73" t="str">
        <f>IFERROR(VLOOKUP(Proc[[#This Row],[App]],Table2[],3,0),"open")</f>
        <v>ok</v>
      </c>
      <c r="C517" s="72" t="s">
        <v>369</v>
      </c>
      <c r="D517" t="s">
        <v>1981</v>
      </c>
      <c r="E517" t="s">
        <v>2078</v>
      </c>
      <c r="F517" s="73" t="s">
        <v>2110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75">
        <v>45712</v>
      </c>
      <c r="O517" s="75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1977</v>
      </c>
      <c r="B518" s="73" t="str">
        <f>IFERROR(VLOOKUP(Proc[[#This Row],[App]],Table2[],3,0),"open")</f>
        <v>ok</v>
      </c>
      <c r="C518" s="72" t="s">
        <v>369</v>
      </c>
      <c r="D518" t="s">
        <v>1982</v>
      </c>
      <c r="E518" t="s">
        <v>2078</v>
      </c>
      <c r="F518" s="73" t="s">
        <v>2110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75">
        <v>45712</v>
      </c>
      <c r="O518" s="75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1977</v>
      </c>
      <c r="B519" s="73" t="str">
        <f>IFERROR(VLOOKUP(Proc[[#This Row],[App]],Table2[],3,0),"open")</f>
        <v>ok</v>
      </c>
      <c r="C519" s="72" t="s">
        <v>369</v>
      </c>
      <c r="D519" t="s">
        <v>1983</v>
      </c>
      <c r="E519" t="s">
        <v>2079</v>
      </c>
      <c r="F519" s="73" t="s">
        <v>2111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75">
        <v>45712</v>
      </c>
      <c r="O519" s="75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1977</v>
      </c>
      <c r="B520" s="73" t="str">
        <f>IFERROR(VLOOKUP(Proc[[#This Row],[App]],Table2[],3,0),"open")</f>
        <v>ok</v>
      </c>
      <c r="C520" s="72" t="s">
        <v>369</v>
      </c>
      <c r="D520" t="s">
        <v>1984</v>
      </c>
      <c r="E520" t="s">
        <v>2080</v>
      </c>
      <c r="F520" s="73" t="s">
        <v>2112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75">
        <v>45712</v>
      </c>
      <c r="O520" s="75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1977</v>
      </c>
      <c r="B521" s="73" t="str">
        <f>IFERROR(VLOOKUP(Proc[[#This Row],[App]],Table2[],3,0),"open")</f>
        <v>ok</v>
      </c>
      <c r="C521" s="72" t="s">
        <v>369</v>
      </c>
      <c r="D521" t="s">
        <v>1985</v>
      </c>
      <c r="E521" t="s">
        <v>2080</v>
      </c>
      <c r="F521" s="73" t="s">
        <v>2112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75">
        <v>45712</v>
      </c>
      <c r="O521" s="75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1977</v>
      </c>
      <c r="B522" s="73" t="str">
        <f>IFERROR(VLOOKUP(Proc[[#This Row],[App]],Table2[],3,0),"open")</f>
        <v>ok</v>
      </c>
      <c r="C522" s="72" t="s">
        <v>369</v>
      </c>
      <c r="D522" t="s">
        <v>1986</v>
      </c>
      <c r="E522" t="s">
        <v>2081</v>
      </c>
      <c r="F522" s="73" t="s">
        <v>2112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75">
        <v>45712</v>
      </c>
      <c r="O522" s="75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1977</v>
      </c>
      <c r="B523" s="73" t="str">
        <f>IFERROR(VLOOKUP(Proc[[#This Row],[App]],Table2[],3,0),"open")</f>
        <v>ok</v>
      </c>
      <c r="C523" s="72" t="s">
        <v>369</v>
      </c>
      <c r="D523" t="s">
        <v>1987</v>
      </c>
      <c r="E523" t="s">
        <v>2080</v>
      </c>
      <c r="F523" s="73" t="s">
        <v>2112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75">
        <v>45712</v>
      </c>
      <c r="O523" s="75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1977</v>
      </c>
      <c r="B524" s="73" t="str">
        <f>IFERROR(VLOOKUP(Proc[[#This Row],[App]],Table2[],3,0),"open")</f>
        <v>ok</v>
      </c>
      <c r="C524" s="72" t="s">
        <v>369</v>
      </c>
      <c r="D524" t="s">
        <v>1988</v>
      </c>
      <c r="E524" t="s">
        <v>2080</v>
      </c>
      <c r="F524" s="73" t="s">
        <v>2112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75">
        <v>45712</v>
      </c>
      <c r="O524" s="75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1977</v>
      </c>
      <c r="B525" s="73" t="str">
        <f>IFERROR(VLOOKUP(Proc[[#This Row],[App]],Table2[],3,0),"open")</f>
        <v>ok</v>
      </c>
      <c r="C525" s="72" t="s">
        <v>369</v>
      </c>
      <c r="D525" t="s">
        <v>1989</v>
      </c>
      <c r="E525" t="s">
        <v>2080</v>
      </c>
      <c r="F525" s="73" t="s">
        <v>2112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75">
        <v>45712</v>
      </c>
      <c r="O525" s="75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1977</v>
      </c>
      <c r="B526" s="73" t="str">
        <f>IFERROR(VLOOKUP(Proc[[#This Row],[App]],Table2[],3,0),"open")</f>
        <v>ok</v>
      </c>
      <c r="C526" s="72" t="s">
        <v>369</v>
      </c>
      <c r="D526" t="s">
        <v>1990</v>
      </c>
      <c r="E526" t="s">
        <v>2082</v>
      </c>
      <c r="F526" s="73" t="s">
        <v>2113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75">
        <v>45712</v>
      </c>
      <c r="O526" s="75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1977</v>
      </c>
      <c r="B527" s="73" t="str">
        <f>IFERROR(VLOOKUP(Proc[[#This Row],[App]],Table2[],3,0),"open")</f>
        <v>ok</v>
      </c>
      <c r="C527" s="72" t="s">
        <v>369</v>
      </c>
      <c r="D527" t="s">
        <v>1991</v>
      </c>
      <c r="E527" t="s">
        <v>2082</v>
      </c>
      <c r="F527" s="73" t="s">
        <v>2113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75">
        <v>45712</v>
      </c>
      <c r="O527" s="75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1977</v>
      </c>
      <c r="B528" s="73" t="str">
        <f>IFERROR(VLOOKUP(Proc[[#This Row],[App]],Table2[],3,0),"open")</f>
        <v>ok</v>
      </c>
      <c r="C528" s="72" t="s">
        <v>369</v>
      </c>
      <c r="D528" t="s">
        <v>1992</v>
      </c>
      <c r="E528" t="s">
        <v>2083</v>
      </c>
      <c r="F528" s="73" t="s">
        <v>2113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75">
        <v>45712</v>
      </c>
      <c r="O528" s="75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1977</v>
      </c>
      <c r="B529" s="73" t="str">
        <f>IFERROR(VLOOKUP(Proc[[#This Row],[App]],Table2[],3,0),"open")</f>
        <v>ok</v>
      </c>
      <c r="C529" s="72" t="s">
        <v>369</v>
      </c>
      <c r="D529" t="s">
        <v>1993</v>
      </c>
      <c r="E529" t="s">
        <v>2082</v>
      </c>
      <c r="F529" s="73" t="s">
        <v>2113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75">
        <v>45712</v>
      </c>
      <c r="O529" s="75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1977</v>
      </c>
      <c r="B530" s="73" t="str">
        <f>IFERROR(VLOOKUP(Proc[[#This Row],[App]],Table2[],3,0),"open")</f>
        <v>ok</v>
      </c>
      <c r="C530" s="72" t="s">
        <v>369</v>
      </c>
      <c r="D530" t="s">
        <v>1994</v>
      </c>
      <c r="E530" t="s">
        <v>2084</v>
      </c>
      <c r="F530" s="73" t="s">
        <v>2114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75">
        <v>45712</v>
      </c>
      <c r="O530" s="75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1977</v>
      </c>
      <c r="B531" s="73" t="str">
        <f>IFERROR(VLOOKUP(Proc[[#This Row],[App]],Table2[],3,0),"open")</f>
        <v>ok</v>
      </c>
      <c r="C531" s="72" t="s">
        <v>369</v>
      </c>
      <c r="D531" t="s">
        <v>1995</v>
      </c>
      <c r="E531" t="s">
        <v>2085</v>
      </c>
      <c r="F531" s="73" t="s">
        <v>2115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75">
        <v>45712</v>
      </c>
      <c r="O531" s="75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1977</v>
      </c>
      <c r="B532" s="73" t="str">
        <f>IFERROR(VLOOKUP(Proc[[#This Row],[App]],Table2[],3,0),"open")</f>
        <v>ok</v>
      </c>
      <c r="C532" s="72" t="s">
        <v>369</v>
      </c>
      <c r="D532" t="s">
        <v>1996</v>
      </c>
      <c r="E532" t="s">
        <v>2085</v>
      </c>
      <c r="F532" s="73" t="s">
        <v>2115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75">
        <v>45712</v>
      </c>
      <c r="O532" s="75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1977</v>
      </c>
      <c r="B533" s="73" t="str">
        <f>IFERROR(VLOOKUP(Proc[[#This Row],[App]],Table2[],3,0),"open")</f>
        <v>ok</v>
      </c>
      <c r="C533" s="72" t="s">
        <v>369</v>
      </c>
      <c r="D533" t="s">
        <v>1997</v>
      </c>
      <c r="E533" t="s">
        <v>2085</v>
      </c>
      <c r="F533" s="73" t="s">
        <v>2115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75">
        <v>45712</v>
      </c>
      <c r="O533" s="75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1977</v>
      </c>
      <c r="B534" s="73" t="str">
        <f>IFERROR(VLOOKUP(Proc[[#This Row],[App]],Table2[],3,0),"open")</f>
        <v>ok</v>
      </c>
      <c r="C534" s="72" t="s">
        <v>369</v>
      </c>
      <c r="D534" t="s">
        <v>1998</v>
      </c>
      <c r="E534" t="s">
        <v>2085</v>
      </c>
      <c r="F534" s="73" t="s">
        <v>2115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75">
        <v>45712</v>
      </c>
      <c r="O534" s="75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1977</v>
      </c>
      <c r="B535" s="73" t="str">
        <f>IFERROR(VLOOKUP(Proc[[#This Row],[App]],Table2[],3,0),"open")</f>
        <v>ok</v>
      </c>
      <c r="C535" s="72" t="s">
        <v>369</v>
      </c>
      <c r="D535" t="s">
        <v>1999</v>
      </c>
      <c r="E535" t="s">
        <v>2085</v>
      </c>
      <c r="F535" s="73" t="s">
        <v>2115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75">
        <v>45712</v>
      </c>
      <c r="O535" s="75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1977</v>
      </c>
      <c r="B536" s="73" t="str">
        <f>IFERROR(VLOOKUP(Proc[[#This Row],[App]],Table2[],3,0),"open")</f>
        <v>ok</v>
      </c>
      <c r="C536" s="72" t="s">
        <v>369</v>
      </c>
      <c r="D536" t="s">
        <v>2000</v>
      </c>
      <c r="E536" t="s">
        <v>2086</v>
      </c>
      <c r="F536" s="73" t="s">
        <v>2116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75">
        <v>45712</v>
      </c>
      <c r="O536" s="75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1977</v>
      </c>
      <c r="B537" s="73" t="str">
        <f>IFERROR(VLOOKUP(Proc[[#This Row],[App]],Table2[],3,0),"open")</f>
        <v>ok</v>
      </c>
      <c r="C537" s="72" t="s">
        <v>369</v>
      </c>
      <c r="D537" t="s">
        <v>2001</v>
      </c>
      <c r="E537" t="s">
        <v>2086</v>
      </c>
      <c r="F537" s="73" t="s">
        <v>2116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75">
        <v>45712</v>
      </c>
      <c r="O537" s="75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1977</v>
      </c>
      <c r="B538" s="73" t="str">
        <f>IFERROR(VLOOKUP(Proc[[#This Row],[App]],Table2[],3,0),"open")</f>
        <v>ok</v>
      </c>
      <c r="C538" s="72" t="s">
        <v>369</v>
      </c>
      <c r="D538" t="s">
        <v>2002</v>
      </c>
      <c r="E538" t="s">
        <v>2086</v>
      </c>
      <c r="F538" s="73" t="s">
        <v>2116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75">
        <v>45712</v>
      </c>
      <c r="O538" s="75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1977</v>
      </c>
      <c r="B539" s="73" t="str">
        <f>IFERROR(VLOOKUP(Proc[[#This Row],[App]],Table2[],3,0),"open")</f>
        <v>ok</v>
      </c>
      <c r="C539" s="72" t="s">
        <v>369</v>
      </c>
      <c r="D539" t="s">
        <v>2003</v>
      </c>
      <c r="E539" t="s">
        <v>2086</v>
      </c>
      <c r="F539" s="73" t="s">
        <v>2116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75">
        <v>45712</v>
      </c>
      <c r="O539" s="75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1977</v>
      </c>
      <c r="B540" s="73" t="str">
        <f>IFERROR(VLOOKUP(Proc[[#This Row],[App]],Table2[],3,0),"open")</f>
        <v>ok</v>
      </c>
      <c r="C540" s="72" t="s">
        <v>377</v>
      </c>
      <c r="D540" t="s">
        <v>2004</v>
      </c>
      <c r="E540" t="s">
        <v>2086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2142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75">
        <v>45712</v>
      </c>
      <c r="O540" s="75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1977</v>
      </c>
      <c r="B541" s="73" t="str">
        <f>IFERROR(VLOOKUP(Proc[[#This Row],[App]],Table2[],3,0),"open")</f>
        <v>ok</v>
      </c>
      <c r="C541" s="72" t="s">
        <v>369</v>
      </c>
      <c r="D541" t="s">
        <v>2005</v>
      </c>
      <c r="E541" t="s">
        <v>2086</v>
      </c>
      <c r="F541" s="73" t="s">
        <v>2116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75">
        <v>45712</v>
      </c>
      <c r="O541" s="75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1977</v>
      </c>
      <c r="B542" s="73" t="str">
        <f>IFERROR(VLOOKUP(Proc[[#This Row],[App]],Table2[],3,0),"open")</f>
        <v>ok</v>
      </c>
      <c r="C542" s="72" t="s">
        <v>369</v>
      </c>
      <c r="D542" t="s">
        <v>2006</v>
      </c>
      <c r="E542" t="s">
        <v>2087</v>
      </c>
      <c r="F542" s="73" t="s">
        <v>2117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75">
        <v>45712</v>
      </c>
      <c r="O542" s="75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1977</v>
      </c>
      <c r="B543" s="73" t="str">
        <f>IFERROR(VLOOKUP(Proc[[#This Row],[App]],Table2[],3,0),"open")</f>
        <v>ok</v>
      </c>
      <c r="C543" s="72" t="s">
        <v>369</v>
      </c>
      <c r="D543" t="s">
        <v>2007</v>
      </c>
      <c r="E543" t="s">
        <v>2087</v>
      </c>
      <c r="F543" s="73" t="s">
        <v>2117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75">
        <v>45712</v>
      </c>
      <c r="O543" s="75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1977</v>
      </c>
      <c r="B544" s="73" t="str">
        <f>IFERROR(VLOOKUP(Proc[[#This Row],[App]],Table2[],3,0),"open")</f>
        <v>ok</v>
      </c>
      <c r="C544" s="72" t="s">
        <v>369</v>
      </c>
      <c r="D544" t="s">
        <v>2008</v>
      </c>
      <c r="E544" t="s">
        <v>2087</v>
      </c>
      <c r="F544" s="73" t="s">
        <v>2117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75">
        <v>45712</v>
      </c>
      <c r="O544" s="75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1977</v>
      </c>
      <c r="B545" s="73" t="str">
        <f>IFERROR(VLOOKUP(Proc[[#This Row],[App]],Table2[],3,0),"open")</f>
        <v>ok</v>
      </c>
      <c r="C545" s="72" t="s">
        <v>369</v>
      </c>
      <c r="D545" t="s">
        <v>2009</v>
      </c>
      <c r="E545" t="s">
        <v>2087</v>
      </c>
      <c r="F545" s="73" t="s">
        <v>2117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75">
        <v>45712</v>
      </c>
      <c r="O545" s="75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1977</v>
      </c>
      <c r="B546" s="73" t="str">
        <f>IFERROR(VLOOKUP(Proc[[#This Row],[App]],Table2[],3,0),"open")</f>
        <v>ok</v>
      </c>
      <c r="C546" s="72" t="s">
        <v>369</v>
      </c>
      <c r="D546" t="s">
        <v>2010</v>
      </c>
      <c r="E546" t="s">
        <v>2087</v>
      </c>
      <c r="F546" s="73" t="s">
        <v>2117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75">
        <v>45712</v>
      </c>
      <c r="O546" s="75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1977</v>
      </c>
      <c r="B547" s="73" t="str">
        <f>IFERROR(VLOOKUP(Proc[[#This Row],[App]],Table2[],3,0),"open")</f>
        <v>ok</v>
      </c>
      <c r="C547" s="72" t="s">
        <v>369</v>
      </c>
      <c r="D547" t="s">
        <v>2011</v>
      </c>
      <c r="E547" t="s">
        <v>2087</v>
      </c>
      <c r="F547" s="73" t="s">
        <v>2117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75">
        <v>45712</v>
      </c>
      <c r="O547" s="75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1977</v>
      </c>
      <c r="B548" s="73" t="str">
        <f>IFERROR(VLOOKUP(Proc[[#This Row],[App]],Table2[],3,0),"open")</f>
        <v>ok</v>
      </c>
      <c r="C548" s="72" t="s">
        <v>369</v>
      </c>
      <c r="D548" t="s">
        <v>2012</v>
      </c>
      <c r="E548" t="s">
        <v>2087</v>
      </c>
      <c r="F548" s="73" t="s">
        <v>2117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75">
        <v>45712</v>
      </c>
      <c r="O548" s="75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1977</v>
      </c>
      <c r="B549" s="73" t="str">
        <f>IFERROR(VLOOKUP(Proc[[#This Row],[App]],Table2[],3,0),"open")</f>
        <v>ok</v>
      </c>
      <c r="C549" s="72" t="s">
        <v>369</v>
      </c>
      <c r="D549" t="s">
        <v>2013</v>
      </c>
      <c r="E549" t="s">
        <v>2088</v>
      </c>
      <c r="F549" s="73" t="s">
        <v>2118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75">
        <v>45712</v>
      </c>
      <c r="O549" s="75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1977</v>
      </c>
      <c r="B550" s="73" t="str">
        <f>IFERROR(VLOOKUP(Proc[[#This Row],[App]],Table2[],3,0),"open")</f>
        <v>ok</v>
      </c>
      <c r="C550" s="72" t="s">
        <v>369</v>
      </c>
      <c r="D550" t="s">
        <v>2014</v>
      </c>
      <c r="E550" t="s">
        <v>2088</v>
      </c>
      <c r="F550" s="73" t="s">
        <v>2118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75">
        <v>45712</v>
      </c>
      <c r="O550" s="75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1977</v>
      </c>
      <c r="B551" s="73" t="str">
        <f>IFERROR(VLOOKUP(Proc[[#This Row],[App]],Table2[],3,0),"open")</f>
        <v>ok</v>
      </c>
      <c r="C551" s="72" t="s">
        <v>369</v>
      </c>
      <c r="D551" t="s">
        <v>2015</v>
      </c>
      <c r="E551" t="s">
        <v>2088</v>
      </c>
      <c r="F551" s="73" t="s">
        <v>2118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75">
        <v>45712</v>
      </c>
      <c r="O551" s="75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1977</v>
      </c>
      <c r="B552" s="73" t="str">
        <f>IFERROR(VLOOKUP(Proc[[#This Row],[App]],Table2[],3,0),"open")</f>
        <v>ok</v>
      </c>
      <c r="C552" s="72" t="s">
        <v>369</v>
      </c>
      <c r="D552" t="s">
        <v>2016</v>
      </c>
      <c r="E552" t="s">
        <v>2088</v>
      </c>
      <c r="F552" s="73" t="s">
        <v>2118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75">
        <v>45712</v>
      </c>
      <c r="O552" s="75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1977</v>
      </c>
      <c r="B553" s="73" t="str">
        <f>IFERROR(VLOOKUP(Proc[[#This Row],[App]],Table2[],3,0),"open")</f>
        <v>ok</v>
      </c>
      <c r="C553" s="72" t="s">
        <v>369</v>
      </c>
      <c r="D553" t="s">
        <v>2017</v>
      </c>
      <c r="E553" t="s">
        <v>2088</v>
      </c>
      <c r="F553" s="73" t="s">
        <v>2118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75">
        <v>45712</v>
      </c>
      <c r="O553" s="75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1977</v>
      </c>
      <c r="B554" s="73" t="str">
        <f>IFERROR(VLOOKUP(Proc[[#This Row],[App]],Table2[],3,0),"open")</f>
        <v>ok</v>
      </c>
      <c r="C554" s="72" t="s">
        <v>369</v>
      </c>
      <c r="D554" t="s">
        <v>2018</v>
      </c>
      <c r="E554" t="s">
        <v>2088</v>
      </c>
      <c r="F554" s="73" t="s">
        <v>2118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75">
        <v>45712</v>
      </c>
      <c r="O554" s="75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1977</v>
      </c>
      <c r="B555" s="73" t="str">
        <f>IFERROR(VLOOKUP(Proc[[#This Row],[App]],Table2[],3,0),"open")</f>
        <v>ok</v>
      </c>
      <c r="C555" s="72" t="s">
        <v>369</v>
      </c>
      <c r="D555" t="s">
        <v>2019</v>
      </c>
      <c r="E555" t="s">
        <v>2088</v>
      </c>
      <c r="F555" s="73" t="s">
        <v>2118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75">
        <v>45712</v>
      </c>
      <c r="O555" s="75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1977</v>
      </c>
      <c r="B556" s="73" t="str">
        <f>IFERROR(VLOOKUP(Proc[[#This Row],[App]],Table2[],3,0),"open")</f>
        <v>ok</v>
      </c>
      <c r="C556" s="72" t="s">
        <v>369</v>
      </c>
      <c r="D556" t="s">
        <v>2020</v>
      </c>
      <c r="E556" t="s">
        <v>2088</v>
      </c>
      <c r="F556" s="73" t="s">
        <v>2118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75">
        <v>45712</v>
      </c>
      <c r="O556" s="75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1977</v>
      </c>
      <c r="B557" s="73" t="str">
        <f>IFERROR(VLOOKUP(Proc[[#This Row],[App]],Table2[],3,0),"open")</f>
        <v>ok</v>
      </c>
      <c r="C557" s="72" t="s">
        <v>369</v>
      </c>
      <c r="D557" t="s">
        <v>2021</v>
      </c>
      <c r="E557" t="s">
        <v>2088</v>
      </c>
      <c r="F557" s="73" t="s">
        <v>2118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75">
        <v>45712</v>
      </c>
      <c r="O557" s="75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1977</v>
      </c>
      <c r="B558" s="73" t="str">
        <f>IFERROR(VLOOKUP(Proc[[#This Row],[App]],Table2[],3,0),"open")</f>
        <v>ok</v>
      </c>
      <c r="C558" s="72" t="s">
        <v>369</v>
      </c>
      <c r="D558" t="s">
        <v>2022</v>
      </c>
      <c r="E558" t="s">
        <v>2088</v>
      </c>
      <c r="F558" s="73" t="s">
        <v>2118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75">
        <v>45712</v>
      </c>
      <c r="O558" s="75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1977</v>
      </c>
      <c r="B559" s="73" t="str">
        <f>IFERROR(VLOOKUP(Proc[[#This Row],[App]],Table2[],3,0),"open")</f>
        <v>ok</v>
      </c>
      <c r="C559" s="72" t="s">
        <v>369</v>
      </c>
      <c r="D559" t="s">
        <v>2023</v>
      </c>
      <c r="E559" t="s">
        <v>2088</v>
      </c>
      <c r="F559" s="73" t="s">
        <v>2118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75">
        <v>45712</v>
      </c>
      <c r="O559" s="75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1977</v>
      </c>
      <c r="B560" s="73" t="str">
        <f>IFERROR(VLOOKUP(Proc[[#This Row],[App]],Table2[],3,0),"open")</f>
        <v>ok</v>
      </c>
      <c r="C560" s="72" t="s">
        <v>369</v>
      </c>
      <c r="D560" t="s">
        <v>2024</v>
      </c>
      <c r="E560" t="s">
        <v>2089</v>
      </c>
      <c r="F560" s="73" t="s">
        <v>2119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75">
        <v>45712</v>
      </c>
      <c r="O560" s="75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1977</v>
      </c>
      <c r="B561" s="73" t="str">
        <f>IFERROR(VLOOKUP(Proc[[#This Row],[App]],Table2[],3,0),"open")</f>
        <v>ok</v>
      </c>
      <c r="C561" s="72" t="s">
        <v>369</v>
      </c>
      <c r="D561" t="s">
        <v>2025</v>
      </c>
      <c r="E561" t="s">
        <v>2089</v>
      </c>
      <c r="F561" s="73" t="s">
        <v>2119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75">
        <v>45712</v>
      </c>
      <c r="O561" s="75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1977</v>
      </c>
      <c r="B562" s="73" t="str">
        <f>IFERROR(VLOOKUP(Proc[[#This Row],[App]],Table2[],3,0),"open")</f>
        <v>ok</v>
      </c>
      <c r="C562" s="72" t="s">
        <v>369</v>
      </c>
      <c r="D562" t="s">
        <v>2026</v>
      </c>
      <c r="E562" t="s">
        <v>2089</v>
      </c>
      <c r="F562" s="73" t="s">
        <v>2119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75">
        <v>45712</v>
      </c>
      <c r="O562" s="75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1977</v>
      </c>
      <c r="B563" s="73" t="str">
        <f>IFERROR(VLOOKUP(Proc[[#This Row],[App]],Table2[],3,0),"open")</f>
        <v>ok</v>
      </c>
      <c r="C563" s="72" t="s">
        <v>369</v>
      </c>
      <c r="D563" t="s">
        <v>2027</v>
      </c>
      <c r="E563" t="s">
        <v>2089</v>
      </c>
      <c r="F563" s="73" t="s">
        <v>2119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75">
        <v>45712</v>
      </c>
      <c r="O563" s="75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1977</v>
      </c>
      <c r="B564" s="73" t="str">
        <f>IFERROR(VLOOKUP(Proc[[#This Row],[App]],Table2[],3,0),"open")</f>
        <v>ok</v>
      </c>
      <c r="C564" s="72" t="s">
        <v>369</v>
      </c>
      <c r="D564" t="s">
        <v>2028</v>
      </c>
      <c r="E564" t="s">
        <v>2089</v>
      </c>
      <c r="F564" s="73" t="s">
        <v>2119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75">
        <v>45712</v>
      </c>
      <c r="O564" s="75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1977</v>
      </c>
      <c r="B565" s="73" t="str">
        <f>IFERROR(VLOOKUP(Proc[[#This Row],[App]],Table2[],3,0),"open")</f>
        <v>ok</v>
      </c>
      <c r="C565" s="72" t="s">
        <v>369</v>
      </c>
      <c r="D565" t="s">
        <v>2029</v>
      </c>
      <c r="E565" t="s">
        <v>2090</v>
      </c>
      <c r="F565" s="73" t="s">
        <v>2120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75">
        <v>45712</v>
      </c>
      <c r="O565" s="75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1977</v>
      </c>
      <c r="B566" s="73" t="str">
        <f>IFERROR(VLOOKUP(Proc[[#This Row],[App]],Table2[],3,0),"open")</f>
        <v>ok</v>
      </c>
      <c r="C566" s="72" t="s">
        <v>369</v>
      </c>
      <c r="D566" t="s">
        <v>2030</v>
      </c>
      <c r="E566" t="s">
        <v>2090</v>
      </c>
      <c r="F566" s="73" t="s">
        <v>2120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75">
        <v>45712</v>
      </c>
      <c r="O566" s="75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1977</v>
      </c>
      <c r="B567" s="73" t="str">
        <f>IFERROR(VLOOKUP(Proc[[#This Row],[App]],Table2[],3,0),"open")</f>
        <v>ok</v>
      </c>
      <c r="C567" s="72" t="s">
        <v>369</v>
      </c>
      <c r="D567" t="s">
        <v>2031</v>
      </c>
      <c r="E567" t="s">
        <v>2090</v>
      </c>
      <c r="F567" s="73" t="s">
        <v>2120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75">
        <v>45712</v>
      </c>
      <c r="O567" s="75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1977</v>
      </c>
      <c r="B568" s="73" t="str">
        <f>IFERROR(VLOOKUP(Proc[[#This Row],[App]],Table2[],3,0),"open")</f>
        <v>ok</v>
      </c>
      <c r="C568" s="72" t="s">
        <v>369</v>
      </c>
      <c r="D568" t="s">
        <v>2032</v>
      </c>
      <c r="E568" t="s">
        <v>2090</v>
      </c>
      <c r="F568" s="73" t="s">
        <v>2120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75">
        <v>45712</v>
      </c>
      <c r="O568" s="75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1977</v>
      </c>
      <c r="B569" s="73" t="str">
        <f>IFERROR(VLOOKUP(Proc[[#This Row],[App]],Table2[],3,0),"open")</f>
        <v>ok</v>
      </c>
      <c r="C569" s="72" t="s">
        <v>369</v>
      </c>
      <c r="D569" t="s">
        <v>2033</v>
      </c>
      <c r="E569" t="s">
        <v>2090</v>
      </c>
      <c r="F569" s="73" t="s">
        <v>2120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75">
        <v>45712</v>
      </c>
      <c r="O569" s="75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1977</v>
      </c>
      <c r="B570" s="73" t="str">
        <f>IFERROR(VLOOKUP(Proc[[#This Row],[App]],Table2[],3,0),"open")</f>
        <v>ok</v>
      </c>
      <c r="C570" s="72" t="s">
        <v>369</v>
      </c>
      <c r="D570" t="s">
        <v>2034</v>
      </c>
      <c r="E570" t="s">
        <v>2090</v>
      </c>
      <c r="F570" s="73" t="s">
        <v>2120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75">
        <v>45712</v>
      </c>
      <c r="O570" s="75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1977</v>
      </c>
      <c r="B571" s="73" t="str">
        <f>IFERROR(VLOOKUP(Proc[[#This Row],[App]],Table2[],3,0),"open")</f>
        <v>ok</v>
      </c>
      <c r="C571" s="72" t="s">
        <v>369</v>
      </c>
      <c r="D571" t="s">
        <v>2035</v>
      </c>
      <c r="E571" t="s">
        <v>2090</v>
      </c>
      <c r="F571" s="73" t="s">
        <v>2120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75">
        <v>45712</v>
      </c>
      <c r="O571" s="75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1977</v>
      </c>
      <c r="B572" s="73" t="str">
        <f>IFERROR(VLOOKUP(Proc[[#This Row],[App]],Table2[],3,0),"open")</f>
        <v>ok</v>
      </c>
      <c r="C572" s="72" t="s">
        <v>369</v>
      </c>
      <c r="D572" t="s">
        <v>2036</v>
      </c>
      <c r="E572" t="s">
        <v>2090</v>
      </c>
      <c r="F572" s="73" t="s">
        <v>2120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75">
        <v>45712</v>
      </c>
      <c r="O572" s="75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1977</v>
      </c>
      <c r="B573" s="73" t="str">
        <f>IFERROR(VLOOKUP(Proc[[#This Row],[App]],Table2[],3,0),"open")</f>
        <v>ok</v>
      </c>
      <c r="C573" s="72" t="s">
        <v>369</v>
      </c>
      <c r="D573" t="s">
        <v>2037</v>
      </c>
      <c r="E573" t="s">
        <v>2090</v>
      </c>
      <c r="F573" s="73" t="s">
        <v>2120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75">
        <v>45712</v>
      </c>
      <c r="O573" s="75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1977</v>
      </c>
      <c r="B574" s="73" t="str">
        <f>IFERROR(VLOOKUP(Proc[[#This Row],[App]],Table2[],3,0),"open")</f>
        <v>ok</v>
      </c>
      <c r="C574" s="72" t="s">
        <v>369</v>
      </c>
      <c r="D574" t="s">
        <v>2038</v>
      </c>
      <c r="E574" t="s">
        <v>2090</v>
      </c>
      <c r="F574" s="73" t="s">
        <v>2120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75">
        <v>45712</v>
      </c>
      <c r="O574" s="75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1977</v>
      </c>
      <c r="B575" s="73" t="str">
        <f>IFERROR(VLOOKUP(Proc[[#This Row],[App]],Table2[],3,0),"open")</f>
        <v>ok</v>
      </c>
      <c r="C575" s="72" t="s">
        <v>369</v>
      </c>
      <c r="D575" t="s">
        <v>2039</v>
      </c>
      <c r="E575" t="s">
        <v>2090</v>
      </c>
      <c r="F575" s="73" t="s">
        <v>2120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75">
        <v>45712</v>
      </c>
      <c r="O575" s="75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1977</v>
      </c>
      <c r="B576" s="73" t="str">
        <f>IFERROR(VLOOKUP(Proc[[#This Row],[App]],Table2[],3,0),"open")</f>
        <v>ok</v>
      </c>
      <c r="C576" s="72" t="s">
        <v>369</v>
      </c>
      <c r="D576" t="s">
        <v>2040</v>
      </c>
      <c r="E576" t="s">
        <v>2090</v>
      </c>
      <c r="F576" s="73" t="s">
        <v>2120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75">
        <v>45712</v>
      </c>
      <c r="O576" s="75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1977</v>
      </c>
      <c r="B577" s="73" t="str">
        <f>IFERROR(VLOOKUP(Proc[[#This Row],[App]],Table2[],3,0),"open")</f>
        <v>ok</v>
      </c>
      <c r="C577" s="72" t="s">
        <v>369</v>
      </c>
      <c r="D577" t="s">
        <v>2041</v>
      </c>
      <c r="E577" t="s">
        <v>2090</v>
      </c>
      <c r="F577" s="73" t="s">
        <v>2120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75">
        <v>45712</v>
      </c>
      <c r="O577" s="75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1977</v>
      </c>
      <c r="B578" s="73" t="str">
        <f>IFERROR(VLOOKUP(Proc[[#This Row],[App]],Table2[],3,0),"open")</f>
        <v>ok</v>
      </c>
      <c r="C578" s="72" t="s">
        <v>377</v>
      </c>
      <c r="D578" t="s">
        <v>2042</v>
      </c>
      <c r="E578" t="s">
        <v>2090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2142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75">
        <v>45712</v>
      </c>
      <c r="O578" s="75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1977</v>
      </c>
      <c r="B579" s="73" t="str">
        <f>IFERROR(VLOOKUP(Proc[[#This Row],[App]],Table2[],3,0),"open")</f>
        <v>ok</v>
      </c>
      <c r="C579" s="72" t="s">
        <v>369</v>
      </c>
      <c r="D579" t="s">
        <v>2043</v>
      </c>
      <c r="E579" t="s">
        <v>2090</v>
      </c>
      <c r="F579" s="73" t="s">
        <v>2120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75">
        <v>45712</v>
      </c>
      <c r="O579" s="75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1977</v>
      </c>
      <c r="B580" s="73" t="str">
        <f>IFERROR(VLOOKUP(Proc[[#This Row],[App]],Table2[],3,0),"open")</f>
        <v>ok</v>
      </c>
      <c r="C580" s="72" t="s">
        <v>369</v>
      </c>
      <c r="D580" t="s">
        <v>2044</v>
      </c>
      <c r="E580" t="s">
        <v>2091</v>
      </c>
      <c r="F580" s="73" t="s">
        <v>2121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75">
        <v>45712</v>
      </c>
      <c r="O580" s="75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1977</v>
      </c>
      <c r="B581" s="73" t="str">
        <f>IFERROR(VLOOKUP(Proc[[#This Row],[App]],Table2[],3,0),"open")</f>
        <v>ok</v>
      </c>
      <c r="C581" s="72" t="s">
        <v>369</v>
      </c>
      <c r="D581" t="s">
        <v>2045</v>
      </c>
      <c r="E581" t="s">
        <v>2091</v>
      </c>
      <c r="F581" s="73" t="s">
        <v>2121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75">
        <v>45712</v>
      </c>
      <c r="O581" s="75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1977</v>
      </c>
      <c r="B582" s="73" t="str">
        <f>IFERROR(VLOOKUP(Proc[[#This Row],[App]],Table2[],3,0),"open")</f>
        <v>ok</v>
      </c>
      <c r="C582" s="72" t="s">
        <v>369</v>
      </c>
      <c r="D582" t="s">
        <v>2046</v>
      </c>
      <c r="E582" t="s">
        <v>2091</v>
      </c>
      <c r="F582" s="73" t="s">
        <v>2121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75">
        <v>45712</v>
      </c>
      <c r="O582" s="75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1977</v>
      </c>
      <c r="B583" s="73" t="str">
        <f>IFERROR(VLOOKUP(Proc[[#This Row],[App]],Table2[],3,0),"open")</f>
        <v>ok</v>
      </c>
      <c r="C583" s="72" t="s">
        <v>369</v>
      </c>
      <c r="D583" t="s">
        <v>2047</v>
      </c>
      <c r="E583" t="s">
        <v>2092</v>
      </c>
      <c r="F583" s="73" t="s">
        <v>2122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75">
        <v>45712</v>
      </c>
      <c r="O583" s="75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1977</v>
      </c>
      <c r="B584" s="73" t="str">
        <f>IFERROR(VLOOKUP(Proc[[#This Row],[App]],Table2[],3,0),"open")</f>
        <v>ok</v>
      </c>
      <c r="C584" s="72" t="s">
        <v>369</v>
      </c>
      <c r="D584" t="s">
        <v>2048</v>
      </c>
      <c r="E584" t="s">
        <v>2093</v>
      </c>
      <c r="F584" s="73" t="s">
        <v>2122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75">
        <v>45712</v>
      </c>
      <c r="O584" s="75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1977</v>
      </c>
      <c r="B585" s="73" t="str">
        <f>IFERROR(VLOOKUP(Proc[[#This Row],[App]],Table2[],3,0),"open")</f>
        <v>ok</v>
      </c>
      <c r="C585" s="72" t="s">
        <v>369</v>
      </c>
      <c r="D585" t="s">
        <v>2049</v>
      </c>
      <c r="E585" t="s">
        <v>2094</v>
      </c>
      <c r="F585" s="73" t="s">
        <v>2123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75">
        <v>45712</v>
      </c>
      <c r="O585" s="75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1977</v>
      </c>
      <c r="B586" s="73" t="str">
        <f>IFERROR(VLOOKUP(Proc[[#This Row],[App]],Table2[],3,0),"open")</f>
        <v>ok</v>
      </c>
      <c r="C586" s="72" t="s">
        <v>369</v>
      </c>
      <c r="D586" t="s">
        <v>2050</v>
      </c>
      <c r="E586" t="s">
        <v>2095</v>
      </c>
      <c r="F586" s="73" t="s">
        <v>2123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75">
        <v>45712</v>
      </c>
      <c r="O586" s="75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1977</v>
      </c>
      <c r="B587" s="73" t="str">
        <f>IFERROR(VLOOKUP(Proc[[#This Row],[App]],Table2[],3,0),"open")</f>
        <v>ok</v>
      </c>
      <c r="C587" s="72" t="s">
        <v>369</v>
      </c>
      <c r="D587" t="s">
        <v>2051</v>
      </c>
      <c r="E587" t="s">
        <v>2095</v>
      </c>
      <c r="F587" s="73" t="s">
        <v>2123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75">
        <v>45712</v>
      </c>
      <c r="O587" s="75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1977</v>
      </c>
      <c r="B588" s="73" t="str">
        <f>IFERROR(VLOOKUP(Proc[[#This Row],[App]],Table2[],3,0),"open")</f>
        <v>ok</v>
      </c>
      <c r="C588" s="72" t="s">
        <v>369</v>
      </c>
      <c r="D588" t="s">
        <v>2052</v>
      </c>
      <c r="E588" t="s">
        <v>2094</v>
      </c>
      <c r="F588" s="73" t="s">
        <v>2123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75">
        <v>45712</v>
      </c>
      <c r="O588" s="75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1977</v>
      </c>
      <c r="B589" s="73" t="str">
        <f>IFERROR(VLOOKUP(Proc[[#This Row],[App]],Table2[],3,0),"open")</f>
        <v>ok</v>
      </c>
      <c r="C589" s="72" t="s">
        <v>369</v>
      </c>
      <c r="D589" t="s">
        <v>2053</v>
      </c>
      <c r="E589" t="s">
        <v>2079</v>
      </c>
      <c r="F589" s="73" t="s">
        <v>2124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75">
        <v>45712</v>
      </c>
      <c r="O589" s="75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1977</v>
      </c>
      <c r="B590" s="73" t="str">
        <f>IFERROR(VLOOKUP(Proc[[#This Row],[App]],Table2[],3,0),"open")</f>
        <v>ok</v>
      </c>
      <c r="C590" s="72" t="s">
        <v>369</v>
      </c>
      <c r="D590" t="s">
        <v>2054</v>
      </c>
      <c r="E590" t="s">
        <v>2079</v>
      </c>
      <c r="F590" s="73" t="s">
        <v>2124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75">
        <v>45712</v>
      </c>
      <c r="O590" s="75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1977</v>
      </c>
      <c r="B591" s="73" t="str">
        <f>IFERROR(VLOOKUP(Proc[[#This Row],[App]],Table2[],3,0),"open")</f>
        <v>ok</v>
      </c>
      <c r="C591" s="72" t="s">
        <v>369</v>
      </c>
      <c r="D591" t="s">
        <v>2055</v>
      </c>
      <c r="E591" t="s">
        <v>2096</v>
      </c>
      <c r="F591" s="73" t="s">
        <v>2125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75">
        <v>45712</v>
      </c>
      <c r="O591" s="75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1977</v>
      </c>
      <c r="B592" s="73" t="str">
        <f>IFERROR(VLOOKUP(Proc[[#This Row],[App]],Table2[],3,0),"open")</f>
        <v>ok</v>
      </c>
      <c r="C592" s="72" t="s">
        <v>369</v>
      </c>
      <c r="D592" t="s">
        <v>2056</v>
      </c>
      <c r="E592" t="s">
        <v>2097</v>
      </c>
      <c r="F592" s="73" t="s">
        <v>2125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75">
        <v>45712</v>
      </c>
      <c r="O592" s="75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1977</v>
      </c>
      <c r="B593" s="73" t="str">
        <f>IFERROR(VLOOKUP(Proc[[#This Row],[App]],Table2[],3,0),"open")</f>
        <v>ok</v>
      </c>
      <c r="C593" s="72" t="s">
        <v>369</v>
      </c>
      <c r="D593" t="s">
        <v>2057</v>
      </c>
      <c r="E593" t="s">
        <v>2098</v>
      </c>
      <c r="F593" s="73" t="s">
        <v>2126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75">
        <v>45712</v>
      </c>
      <c r="O593" s="75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1977</v>
      </c>
      <c r="B594" s="73" t="str">
        <f>IFERROR(VLOOKUP(Proc[[#This Row],[App]],Table2[],3,0),"open")</f>
        <v>ok</v>
      </c>
      <c r="C594" s="72" t="s">
        <v>369</v>
      </c>
      <c r="D594" t="s">
        <v>2058</v>
      </c>
      <c r="E594" t="s">
        <v>2098</v>
      </c>
      <c r="F594" s="73" t="s">
        <v>2126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75">
        <v>45712</v>
      </c>
      <c r="O594" s="75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1977</v>
      </c>
      <c r="B595" s="73" t="str">
        <f>IFERROR(VLOOKUP(Proc[[#This Row],[App]],Table2[],3,0),"open")</f>
        <v>ok</v>
      </c>
      <c r="C595" s="72" t="s">
        <v>369</v>
      </c>
      <c r="D595" t="s">
        <v>2059</v>
      </c>
      <c r="E595" t="s">
        <v>2099</v>
      </c>
      <c r="F595" s="73" t="s">
        <v>2127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75">
        <v>45712</v>
      </c>
      <c r="O595" s="75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1977</v>
      </c>
      <c r="B596" s="73" t="str">
        <f>IFERROR(VLOOKUP(Proc[[#This Row],[App]],Table2[],3,0),"open")</f>
        <v>ok</v>
      </c>
      <c r="C596" s="72" t="s">
        <v>369</v>
      </c>
      <c r="D596" t="s">
        <v>2060</v>
      </c>
      <c r="E596" t="s">
        <v>2100</v>
      </c>
      <c r="F596" s="73" t="s">
        <v>2128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75">
        <v>45712</v>
      </c>
      <c r="O596" s="75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1977</v>
      </c>
      <c r="B597" s="73" t="str">
        <f>IFERROR(VLOOKUP(Proc[[#This Row],[App]],Table2[],3,0),"open")</f>
        <v>ok</v>
      </c>
      <c r="C597" s="72" t="s">
        <v>369</v>
      </c>
      <c r="D597" t="s">
        <v>2061</v>
      </c>
      <c r="E597" t="s">
        <v>2101</v>
      </c>
      <c r="F597" s="73" t="s">
        <v>2129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75">
        <v>45712</v>
      </c>
      <c r="O597" s="75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1977</v>
      </c>
      <c r="B598" s="73" t="str">
        <f>IFERROR(VLOOKUP(Proc[[#This Row],[App]],Table2[],3,0),"open")</f>
        <v>ok</v>
      </c>
      <c r="C598" s="72" t="s">
        <v>369</v>
      </c>
      <c r="D598" t="s">
        <v>2062</v>
      </c>
      <c r="E598" t="s">
        <v>2101</v>
      </c>
      <c r="F598" s="73" t="s">
        <v>2130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75">
        <v>45712</v>
      </c>
      <c r="O598" s="75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1977</v>
      </c>
      <c r="B599" s="73" t="str">
        <f>IFERROR(VLOOKUP(Proc[[#This Row],[App]],Table2[],3,0),"open")</f>
        <v>ok</v>
      </c>
      <c r="C599" s="72" t="s">
        <v>369</v>
      </c>
      <c r="D599" t="s">
        <v>2063</v>
      </c>
      <c r="E599" t="s">
        <v>2101</v>
      </c>
      <c r="F599" s="73" t="s">
        <v>2130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75">
        <v>45712</v>
      </c>
      <c r="O599" s="75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1977</v>
      </c>
      <c r="B600" s="73" t="str">
        <f>IFERROR(VLOOKUP(Proc[[#This Row],[App]],Table2[],3,0),"open")</f>
        <v>ok</v>
      </c>
      <c r="C600" s="72" t="s">
        <v>369</v>
      </c>
      <c r="D600" t="s">
        <v>2064</v>
      </c>
      <c r="E600" t="s">
        <v>2102</v>
      </c>
      <c r="F600" s="73" t="s">
        <v>2130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75">
        <v>45712</v>
      </c>
      <c r="O600" s="75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1977</v>
      </c>
      <c r="B601" s="73" t="str">
        <f>IFERROR(VLOOKUP(Proc[[#This Row],[App]],Table2[],3,0),"open")</f>
        <v>ok</v>
      </c>
      <c r="C601" s="72" t="s">
        <v>369</v>
      </c>
      <c r="D601" t="s">
        <v>2065</v>
      </c>
      <c r="E601" t="s">
        <v>2101</v>
      </c>
      <c r="F601" s="73" t="s">
        <v>2131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75">
        <v>45712</v>
      </c>
      <c r="O601" s="75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1977</v>
      </c>
      <c r="B602" s="73" t="str">
        <f>IFERROR(VLOOKUP(Proc[[#This Row],[App]],Table2[],3,0),"open")</f>
        <v>ok</v>
      </c>
      <c r="C602" s="72" t="s">
        <v>369</v>
      </c>
      <c r="D602" t="s">
        <v>2066</v>
      </c>
      <c r="E602" t="s">
        <v>2101</v>
      </c>
      <c r="F602" s="73" t="s">
        <v>2132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75">
        <v>45712</v>
      </c>
      <c r="O602" s="75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1977</v>
      </c>
      <c r="B603" s="73" t="str">
        <f>IFERROR(VLOOKUP(Proc[[#This Row],[App]],Table2[],3,0),"open")</f>
        <v>ok</v>
      </c>
      <c r="C603" s="72" t="s">
        <v>369</v>
      </c>
      <c r="D603" t="s">
        <v>2067</v>
      </c>
      <c r="E603" t="s">
        <v>2103</v>
      </c>
      <c r="F603" s="73" t="s">
        <v>2133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75">
        <v>45712</v>
      </c>
      <c r="O603" s="75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1977</v>
      </c>
      <c r="B604" s="73" t="str">
        <f>IFERROR(VLOOKUP(Proc[[#This Row],[App]],Table2[],3,0),"open")</f>
        <v>ok</v>
      </c>
      <c r="C604" s="72" t="s">
        <v>369</v>
      </c>
      <c r="D604" t="s">
        <v>2068</v>
      </c>
      <c r="E604" t="s">
        <v>2104</v>
      </c>
      <c r="F604" s="73" t="s">
        <v>2134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75">
        <v>45712</v>
      </c>
      <c r="O604" s="75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1977</v>
      </c>
      <c r="B605" s="73" t="str">
        <f>IFERROR(VLOOKUP(Proc[[#This Row],[App]],Table2[],3,0),"open")</f>
        <v>ok</v>
      </c>
      <c r="C605" s="72" t="s">
        <v>369</v>
      </c>
      <c r="D605" t="s">
        <v>2069</v>
      </c>
      <c r="E605" t="s">
        <v>2105</v>
      </c>
      <c r="F605" s="73" t="s">
        <v>2135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75">
        <v>45712</v>
      </c>
      <c r="O605" s="75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1977</v>
      </c>
      <c r="B606" s="73" t="str">
        <f>IFERROR(VLOOKUP(Proc[[#This Row],[App]],Table2[],3,0),"open")</f>
        <v>ok</v>
      </c>
      <c r="C606" s="72" t="s">
        <v>369</v>
      </c>
      <c r="D606" t="s">
        <v>2070</v>
      </c>
      <c r="E606" t="s">
        <v>2106</v>
      </c>
      <c r="F606" s="73" t="s">
        <v>2136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75">
        <v>45712</v>
      </c>
      <c r="O606" s="75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1977</v>
      </c>
      <c r="B607" s="73" t="str">
        <f>IFERROR(VLOOKUP(Proc[[#This Row],[App]],Table2[],3,0),"open")</f>
        <v>ok</v>
      </c>
      <c r="C607" s="72" t="s">
        <v>369</v>
      </c>
      <c r="D607" t="s">
        <v>2071</v>
      </c>
      <c r="E607" t="s">
        <v>2107</v>
      </c>
      <c r="F607" s="73" t="s">
        <v>2137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75">
        <v>45712</v>
      </c>
      <c r="O607" s="75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1977</v>
      </c>
      <c r="B608" s="73" t="str">
        <f>IFERROR(VLOOKUP(Proc[[#This Row],[App]],Table2[],3,0),"open")</f>
        <v>ok</v>
      </c>
      <c r="C608" s="72" t="s">
        <v>369</v>
      </c>
      <c r="D608" t="s">
        <v>2072</v>
      </c>
      <c r="E608" t="s">
        <v>2107</v>
      </c>
      <c r="F608" s="73" t="s">
        <v>2138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75">
        <v>45712</v>
      </c>
      <c r="O608" s="75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1977</v>
      </c>
      <c r="B609" s="73" t="str">
        <f>IFERROR(VLOOKUP(Proc[[#This Row],[App]],Table2[],3,0),"open")</f>
        <v>ok</v>
      </c>
      <c r="C609" s="72" t="s">
        <v>369</v>
      </c>
      <c r="D609" t="s">
        <v>2073</v>
      </c>
      <c r="E609" t="s">
        <v>2107</v>
      </c>
      <c r="F609" s="73" t="s">
        <v>2139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75">
        <v>45712</v>
      </c>
      <c r="O609" s="75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1977</v>
      </c>
      <c r="B610" s="73" t="str">
        <f>IFERROR(VLOOKUP(Proc[[#This Row],[App]],Table2[],3,0),"open")</f>
        <v>ok</v>
      </c>
      <c r="C610" s="72" t="s">
        <v>369</v>
      </c>
      <c r="D610" t="s">
        <v>2074</v>
      </c>
      <c r="E610" t="s">
        <v>2107</v>
      </c>
      <c r="F610" s="73" t="s">
        <v>2140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75">
        <v>45712</v>
      </c>
      <c r="O610" s="75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1977</v>
      </c>
      <c r="B611" s="73" t="str">
        <f>IFERROR(VLOOKUP(Proc[[#This Row],[App]],Table2[],3,0),"open")</f>
        <v>ok</v>
      </c>
      <c r="C611" s="72" t="s">
        <v>369</v>
      </c>
      <c r="D611" t="s">
        <v>2075</v>
      </c>
      <c r="E611" t="s">
        <v>2107</v>
      </c>
      <c r="F611" s="73" t="s">
        <v>2141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75">
        <v>45712</v>
      </c>
      <c r="O611" s="75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2165</v>
      </c>
      <c r="B612" s="73" t="str">
        <f>IFERROR(VLOOKUP(Proc[[#This Row],[App]],Table2[],3,0),"open")</f>
        <v>ok</v>
      </c>
      <c r="C612" s="72" t="s">
        <v>377</v>
      </c>
      <c r="D612" t="s">
        <v>2154</v>
      </c>
      <c r="E612" t="s">
        <v>763</v>
      </c>
      <c r="F612" s="73" t="s">
        <v>1098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29</v>
      </c>
      <c r="R612" s="74" t="s">
        <v>1112</v>
      </c>
      <c r="S612" s="73"/>
    </row>
    <row r="613" spans="1:19" hidden="1">
      <c r="A613" s="72" t="s">
        <v>2165</v>
      </c>
      <c r="B613" s="73" t="str">
        <f>IFERROR(VLOOKUP(Proc[[#This Row],[App]],Table2[],3,0),"open")</f>
        <v>ok</v>
      </c>
      <c r="C613" s="72" t="s">
        <v>377</v>
      </c>
      <c r="D613" t="s">
        <v>2155</v>
      </c>
      <c r="E613" t="s">
        <v>763</v>
      </c>
      <c r="F613" s="73" t="s">
        <v>1098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29</v>
      </c>
      <c r="R613" s="74" t="s">
        <v>1112</v>
      </c>
      <c r="S613" s="73"/>
    </row>
    <row r="614" spans="1:19" hidden="1">
      <c r="A614" s="72" t="s">
        <v>2165</v>
      </c>
      <c r="B614" s="73" t="str">
        <f>IFERROR(VLOOKUP(Proc[[#This Row],[App]],Table2[],3,0),"open")</f>
        <v>ok</v>
      </c>
      <c r="C614" s="72" t="s">
        <v>377</v>
      </c>
      <c r="D614" t="s">
        <v>2156</v>
      </c>
      <c r="E614" t="s">
        <v>763</v>
      </c>
      <c r="F614" s="73" t="s">
        <v>1098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29</v>
      </c>
      <c r="R614" s="74" t="s">
        <v>1112</v>
      </c>
      <c r="S614" s="73"/>
    </row>
    <row r="615" spans="1:19" hidden="1">
      <c r="A615" s="72" t="s">
        <v>2165</v>
      </c>
      <c r="B615" s="73" t="str">
        <f>IFERROR(VLOOKUP(Proc[[#This Row],[App]],Table2[],3,0),"open")</f>
        <v>ok</v>
      </c>
      <c r="C615" s="72" t="s">
        <v>377</v>
      </c>
      <c r="D615" t="s">
        <v>2157</v>
      </c>
      <c r="E615" t="s">
        <v>763</v>
      </c>
      <c r="F615" s="73" t="s">
        <v>1098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29</v>
      </c>
      <c r="R615" s="74" t="s">
        <v>1112</v>
      </c>
      <c r="S615" s="73"/>
    </row>
    <row r="616" spans="1:19" hidden="1">
      <c r="A616" s="72" t="s">
        <v>2165</v>
      </c>
      <c r="B616" s="73" t="str">
        <f>IFERROR(VLOOKUP(Proc[[#This Row],[App]],Table2[],3,0),"open")</f>
        <v>ok</v>
      </c>
      <c r="C616" s="72" t="s">
        <v>377</v>
      </c>
      <c r="D616" t="s">
        <v>2158</v>
      </c>
      <c r="E616" t="s">
        <v>2166</v>
      </c>
      <c r="F616" s="73" t="s">
        <v>1098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2446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29</v>
      </c>
      <c r="R616" s="74" t="s">
        <v>1112</v>
      </c>
      <c r="S616" s="73"/>
    </row>
    <row r="617" spans="1:19" hidden="1">
      <c r="A617" s="72" t="s">
        <v>2165</v>
      </c>
      <c r="B617" s="73" t="str">
        <f>IFERROR(VLOOKUP(Proc[[#This Row],[App]],Table2[],3,0),"open")</f>
        <v>ok</v>
      </c>
      <c r="C617" s="72" t="s">
        <v>377</v>
      </c>
      <c r="D617" t="s">
        <v>2159</v>
      </c>
      <c r="E617" t="s">
        <v>2166</v>
      </c>
      <c r="F617" s="73" t="s">
        <v>1098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2446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29</v>
      </c>
      <c r="R617" s="74" t="s">
        <v>1112</v>
      </c>
      <c r="S617" s="73"/>
    </row>
    <row r="618" spans="1:19" hidden="1">
      <c r="A618" s="72" t="s">
        <v>2165</v>
      </c>
      <c r="B618" s="73" t="str">
        <f>IFERROR(VLOOKUP(Proc[[#This Row],[App]],Table2[],3,0),"open")</f>
        <v>ok</v>
      </c>
      <c r="C618" s="72" t="s">
        <v>377</v>
      </c>
      <c r="D618" t="s">
        <v>2160</v>
      </c>
      <c r="E618" t="s">
        <v>1049</v>
      </c>
      <c r="F618" s="73" t="s">
        <v>1098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2446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29</v>
      </c>
      <c r="R618" s="74" t="s">
        <v>1112</v>
      </c>
      <c r="S618" s="73"/>
    </row>
    <row r="619" spans="1:19" hidden="1">
      <c r="A619" s="72" t="s">
        <v>2165</v>
      </c>
      <c r="B619" s="73" t="str">
        <f>IFERROR(VLOOKUP(Proc[[#This Row],[App]],Table2[],3,0),"open")</f>
        <v>ok</v>
      </c>
      <c r="C619" s="72" t="s">
        <v>369</v>
      </c>
      <c r="D619" t="s">
        <v>2161</v>
      </c>
      <c r="E619" t="s">
        <v>2167</v>
      </c>
      <c r="F619" s="73" t="s">
        <v>2170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29</v>
      </c>
      <c r="R619" s="74" t="s">
        <v>1112</v>
      </c>
      <c r="S619" s="73"/>
    </row>
    <row r="620" spans="1:19" hidden="1">
      <c r="A620" s="72" t="s">
        <v>2165</v>
      </c>
      <c r="B620" s="73" t="str">
        <f>IFERROR(VLOOKUP(Proc[[#This Row],[App]],Table2[],3,0),"open")</f>
        <v>ok</v>
      </c>
      <c r="C620" s="72" t="s">
        <v>369</v>
      </c>
      <c r="D620" t="s">
        <v>2162</v>
      </c>
      <c r="E620" t="s">
        <v>2167</v>
      </c>
      <c r="F620" s="73" t="s">
        <v>2170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29</v>
      </c>
      <c r="R620" s="74" t="s">
        <v>1112</v>
      </c>
      <c r="S620" s="73"/>
    </row>
    <row r="621" spans="1:19" hidden="1">
      <c r="A621" s="72" t="s">
        <v>2165</v>
      </c>
      <c r="B621" s="73" t="str">
        <f>IFERROR(VLOOKUP(Proc[[#This Row],[App]],Table2[],3,0),"open")</f>
        <v>ok</v>
      </c>
      <c r="C621" s="72" t="s">
        <v>369</v>
      </c>
      <c r="D621" t="s">
        <v>2163</v>
      </c>
      <c r="E621" t="s">
        <v>2168</v>
      </c>
      <c r="F621" s="73" t="s">
        <v>2171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29</v>
      </c>
      <c r="R621" s="74" t="s">
        <v>1112</v>
      </c>
      <c r="S621" s="73"/>
    </row>
    <row r="622" spans="1:19" hidden="1">
      <c r="A622" s="72" t="s">
        <v>2165</v>
      </c>
      <c r="B622" s="73" t="str">
        <f>IFERROR(VLOOKUP(Proc[[#This Row],[App]],Table2[],3,0),"open")</f>
        <v>ok</v>
      </c>
      <c r="C622" s="72" t="s">
        <v>369</v>
      </c>
      <c r="D622" t="s">
        <v>2164</v>
      </c>
      <c r="E622" t="s">
        <v>2169</v>
      </c>
      <c r="F622" s="73" t="s">
        <v>2172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29</v>
      </c>
      <c r="R622" s="74" t="s">
        <v>1112</v>
      </c>
      <c r="S622" s="73"/>
    </row>
    <row r="623" spans="1:19" hidden="1">
      <c r="A623" t="s">
        <v>2173</v>
      </c>
      <c r="B623" s="73" t="str">
        <f>IFERROR(VLOOKUP(Proc[[#This Row],[App]],Table2[],3,0),"open")</f>
        <v>ok</v>
      </c>
      <c r="C623" s="72" t="s">
        <v>369</v>
      </c>
      <c r="D623" t="s">
        <v>2174</v>
      </c>
      <c r="E623" t="s">
        <v>1593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28</v>
      </c>
      <c r="R623" s="74" t="s">
        <v>858</v>
      </c>
      <c r="S623" s="73"/>
    </row>
    <row r="624" spans="1:19" hidden="1">
      <c r="A624" s="72" t="s">
        <v>2173</v>
      </c>
      <c r="B624" s="73" t="str">
        <f>IFERROR(VLOOKUP(Proc[[#This Row],[App]],Table2[],3,0),"open")</f>
        <v>ok</v>
      </c>
      <c r="C624" s="72" t="s">
        <v>369</v>
      </c>
      <c r="D624" t="s">
        <v>2175</v>
      </c>
      <c r="E624" t="s">
        <v>1593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28</v>
      </c>
      <c r="R624" s="74" t="s">
        <v>858</v>
      </c>
      <c r="S624" s="73"/>
    </row>
    <row r="625" spans="1:19" hidden="1">
      <c r="A625" s="72" t="s">
        <v>2173</v>
      </c>
      <c r="B625" s="73" t="str">
        <f>IFERROR(VLOOKUP(Proc[[#This Row],[App]],Table2[],3,0),"open")</f>
        <v>ok</v>
      </c>
      <c r="C625" s="72" t="s">
        <v>369</v>
      </c>
      <c r="D625" t="s">
        <v>2176</v>
      </c>
      <c r="E625" t="s">
        <v>1593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28</v>
      </c>
      <c r="R625" s="74" t="s">
        <v>858</v>
      </c>
      <c r="S625" s="73"/>
    </row>
    <row r="626" spans="1:19" hidden="1">
      <c r="A626" s="72" t="s">
        <v>2173</v>
      </c>
      <c r="B626" s="73" t="str">
        <f>IFERROR(VLOOKUP(Proc[[#This Row],[App]],Table2[],3,0),"open")</f>
        <v>ok</v>
      </c>
      <c r="C626" s="72" t="s">
        <v>369</v>
      </c>
      <c r="D626" t="s">
        <v>2177</v>
      </c>
      <c r="E626" t="s">
        <v>1593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28</v>
      </c>
      <c r="R626" s="74" t="s">
        <v>858</v>
      </c>
      <c r="S626" s="73"/>
    </row>
    <row r="627" spans="1:19" hidden="1">
      <c r="A627" s="72" t="s">
        <v>2173</v>
      </c>
      <c r="B627" s="73" t="str">
        <f>IFERROR(VLOOKUP(Proc[[#This Row],[App]],Table2[],3,0),"open")</f>
        <v>ok</v>
      </c>
      <c r="C627" s="72" t="s">
        <v>369</v>
      </c>
      <c r="D627" t="s">
        <v>2178</v>
      </c>
      <c r="E627" t="s">
        <v>1593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28</v>
      </c>
      <c r="R627" s="74" t="s">
        <v>858</v>
      </c>
      <c r="S627" s="73"/>
    </row>
    <row r="628" spans="1:19" hidden="1">
      <c r="A628" t="s">
        <v>2179</v>
      </c>
      <c r="B628" s="73" t="str">
        <f>IFERROR(VLOOKUP(Proc[[#This Row],[App]],Table2[],3,0),"open")</f>
        <v>ok</v>
      </c>
      <c r="C628" s="72" t="s">
        <v>369</v>
      </c>
      <c r="D628" t="s">
        <v>2180</v>
      </c>
      <c r="E628" t="s">
        <v>2186</v>
      </c>
      <c r="F628" s="73" t="s">
        <v>1757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29</v>
      </c>
      <c r="R628" s="74" t="s">
        <v>1032</v>
      </c>
      <c r="S628" s="73"/>
    </row>
    <row r="629" spans="1:19" hidden="1">
      <c r="A629" s="72" t="s">
        <v>2179</v>
      </c>
      <c r="B629" s="73" t="str">
        <f>IFERROR(VLOOKUP(Proc[[#This Row],[App]],Table2[],3,0),"open")</f>
        <v>ok</v>
      </c>
      <c r="C629" s="72" t="s">
        <v>369</v>
      </c>
      <c r="D629" t="s">
        <v>2181</v>
      </c>
      <c r="E629" t="s">
        <v>1684</v>
      </c>
      <c r="F629" s="73" t="s">
        <v>1757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29</v>
      </c>
      <c r="R629" s="74" t="s">
        <v>1032</v>
      </c>
      <c r="S629" s="73"/>
    </row>
    <row r="630" spans="1:19" hidden="1">
      <c r="A630" s="72" t="s">
        <v>2179</v>
      </c>
      <c r="B630" s="73" t="str">
        <f>IFERROR(VLOOKUP(Proc[[#This Row],[App]],Table2[],3,0),"open")</f>
        <v>ok</v>
      </c>
      <c r="C630" s="72" t="s">
        <v>369</v>
      </c>
      <c r="D630" t="s">
        <v>2182</v>
      </c>
      <c r="E630" t="s">
        <v>2187</v>
      </c>
      <c r="F630" s="73" t="s">
        <v>1757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29</v>
      </c>
      <c r="R630" s="74" t="s">
        <v>1032</v>
      </c>
      <c r="S630" s="73"/>
    </row>
    <row r="631" spans="1:19" hidden="1">
      <c r="A631" s="72" t="s">
        <v>2179</v>
      </c>
      <c r="B631" s="73" t="str">
        <f>IFERROR(VLOOKUP(Proc[[#This Row],[App]],Table2[],3,0),"open")</f>
        <v>ok</v>
      </c>
      <c r="C631" s="72" t="s">
        <v>369</v>
      </c>
      <c r="D631" t="s">
        <v>2183</v>
      </c>
      <c r="E631" t="s">
        <v>2188</v>
      </c>
      <c r="F631" s="73" t="s">
        <v>1757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29</v>
      </c>
      <c r="R631" s="74" t="s">
        <v>1032</v>
      </c>
      <c r="S631" s="73"/>
    </row>
    <row r="632" spans="1:19" hidden="1">
      <c r="A632" s="72" t="s">
        <v>2179</v>
      </c>
      <c r="B632" s="73" t="str">
        <f>IFERROR(VLOOKUP(Proc[[#This Row],[App]],Table2[],3,0),"open")</f>
        <v>ok</v>
      </c>
      <c r="C632" s="72" t="s">
        <v>369</v>
      </c>
      <c r="D632" t="s">
        <v>2184</v>
      </c>
      <c r="E632" t="s">
        <v>2188</v>
      </c>
      <c r="F632" s="73" t="s">
        <v>1757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29</v>
      </c>
      <c r="R632" s="74" t="s">
        <v>1032</v>
      </c>
      <c r="S632" s="73"/>
    </row>
    <row r="633" spans="1:19" hidden="1">
      <c r="A633" s="72" t="s">
        <v>2179</v>
      </c>
      <c r="B633" s="73" t="str">
        <f>IFERROR(VLOOKUP(Proc[[#This Row],[App]],Table2[],3,0),"open")</f>
        <v>ok</v>
      </c>
      <c r="C633" s="72" t="s">
        <v>369</v>
      </c>
      <c r="D633" t="s">
        <v>2185</v>
      </c>
      <c r="E633" t="s">
        <v>2188</v>
      </c>
      <c r="F633" s="73" t="s">
        <v>2191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29</v>
      </c>
      <c r="R633" s="74" t="s">
        <v>1032</v>
      </c>
      <c r="S633" s="73"/>
    </row>
    <row r="634" spans="1:19" hidden="1">
      <c r="A634" s="72" t="s">
        <v>2179</v>
      </c>
      <c r="B634" s="73" t="str">
        <f>IFERROR(VLOOKUP(Proc[[#This Row],[App]],Table2[],3,0),"open")</f>
        <v>ok</v>
      </c>
      <c r="C634" s="72" t="s">
        <v>369</v>
      </c>
      <c r="D634" t="s">
        <v>1672</v>
      </c>
      <c r="E634" t="s">
        <v>2189</v>
      </c>
      <c r="F634" s="73" t="s">
        <v>1684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29</v>
      </c>
      <c r="R634" s="74" t="s">
        <v>1032</v>
      </c>
      <c r="S634" s="73"/>
    </row>
    <row r="635" spans="1:19" hidden="1">
      <c r="A635" s="72" t="s">
        <v>2179</v>
      </c>
      <c r="B635" s="73" t="str">
        <f>IFERROR(VLOOKUP(Proc[[#This Row],[App]],Table2[],3,0),"open")</f>
        <v>ok</v>
      </c>
      <c r="C635" s="72" t="s">
        <v>369</v>
      </c>
      <c r="D635" t="s">
        <v>1678</v>
      </c>
      <c r="E635" t="s">
        <v>2189</v>
      </c>
      <c r="F635" s="73" t="s">
        <v>1684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29</v>
      </c>
      <c r="R635" s="74" t="s">
        <v>1032</v>
      </c>
      <c r="S635" s="73"/>
    </row>
    <row r="636" spans="1:19" hidden="1">
      <c r="A636" s="72" t="s">
        <v>2179</v>
      </c>
      <c r="B636" s="73" t="str">
        <f>IFERROR(VLOOKUP(Proc[[#This Row],[App]],Table2[],3,0),"open")</f>
        <v>ok</v>
      </c>
      <c r="C636" s="72" t="s">
        <v>369</v>
      </c>
      <c r="D636" t="s">
        <v>1673</v>
      </c>
      <c r="E636" t="s">
        <v>2190</v>
      </c>
      <c r="F636" s="73" t="s">
        <v>1685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29</v>
      </c>
      <c r="R636" s="74" t="s">
        <v>1032</v>
      </c>
      <c r="S636" s="73"/>
    </row>
    <row r="637" spans="1:19" hidden="1">
      <c r="A637" s="72" t="s">
        <v>2179</v>
      </c>
      <c r="B637" s="73" t="str">
        <f>IFERROR(VLOOKUP(Proc[[#This Row],[App]],Table2[],3,0),"open")</f>
        <v>ok</v>
      </c>
      <c r="C637" s="72" t="s">
        <v>369</v>
      </c>
      <c r="D637" t="s">
        <v>1679</v>
      </c>
      <c r="E637" t="s">
        <v>2190</v>
      </c>
      <c r="F637" s="73" t="s">
        <v>1685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29</v>
      </c>
      <c r="R637" s="74" t="s">
        <v>1032</v>
      </c>
      <c r="S637" s="73"/>
    </row>
    <row r="638" spans="1:19" hidden="1">
      <c r="A638" t="s">
        <v>2198</v>
      </c>
      <c r="B638" s="73" t="str">
        <f>IFERROR(VLOOKUP(Proc[[#This Row],[App]],Table2[],3,0),"open")</f>
        <v>ok</v>
      </c>
      <c r="C638" s="72" t="s">
        <v>369</v>
      </c>
      <c r="D638" t="s">
        <v>2192</v>
      </c>
      <c r="E638" t="s">
        <v>2194</v>
      </c>
      <c r="F638" s="73" t="s">
        <v>2196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75">
        <v>45706</v>
      </c>
      <c r="O638" s="75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2198</v>
      </c>
      <c r="B639" s="73" t="str">
        <f>IFERROR(VLOOKUP(Proc[[#This Row],[App]],Table2[],3,0),"open")</f>
        <v>ok</v>
      </c>
      <c r="C639" s="72" t="s">
        <v>369</v>
      </c>
      <c r="D639" t="s">
        <v>2193</v>
      </c>
      <c r="E639" t="s">
        <v>2195</v>
      </c>
      <c r="F639" s="73" t="s">
        <v>2197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75">
        <v>45706</v>
      </c>
      <c r="O639" s="75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2199</v>
      </c>
      <c r="B640" s="73" t="str">
        <f>IFERROR(VLOOKUP(Proc[[#This Row],[App]],Table2[],3,0),"open")</f>
        <v>ok</v>
      </c>
      <c r="C640" t="s">
        <v>369</v>
      </c>
      <c r="D640" t="s">
        <v>2200</v>
      </c>
      <c r="E640" t="s">
        <v>2203</v>
      </c>
      <c r="F640" s="73" t="s">
        <v>2202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75">
        <v>45709</v>
      </c>
      <c r="O640" s="75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2199</v>
      </c>
      <c r="B641" s="73" t="str">
        <f>IFERROR(VLOOKUP(Proc[[#This Row],[App]],Table2[],3,0),"open")</f>
        <v>ok</v>
      </c>
      <c r="C641" s="72" t="s">
        <v>369</v>
      </c>
      <c r="D641" t="s">
        <v>2201</v>
      </c>
      <c r="E641" t="s">
        <v>2204</v>
      </c>
      <c r="F641" s="73" t="s">
        <v>2202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75">
        <v>45709</v>
      </c>
      <c r="O641" s="75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2205</v>
      </c>
      <c r="B642" s="73" t="str">
        <f>IFERROR(VLOOKUP(Proc[[#This Row],[App]],Table2[],3,0),"open")</f>
        <v>ok</v>
      </c>
      <c r="C642" t="s">
        <v>369</v>
      </c>
      <c r="D642" s="72" t="s">
        <v>1931</v>
      </c>
      <c r="E642" s="72" t="s">
        <v>2224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75">
        <v>45709</v>
      </c>
      <c r="O642" s="75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2208</v>
      </c>
      <c r="B643" s="73" t="str">
        <f>IFERROR(VLOOKUP(Proc[[#This Row],[App]],Table2[],3,0),"open")</f>
        <v>ok</v>
      </c>
      <c r="C643" t="s">
        <v>369</v>
      </c>
      <c r="D643" t="s">
        <v>2206</v>
      </c>
      <c r="E643" t="s">
        <v>2207</v>
      </c>
      <c r="F643" s="73" t="s">
        <v>1959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75">
        <v>45712</v>
      </c>
      <c r="O643" s="75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1962</v>
      </c>
      <c r="S643" s="73"/>
    </row>
    <row r="644" spans="1:19" hidden="1">
      <c r="A644" t="s">
        <v>2223</v>
      </c>
      <c r="B644" s="73" t="str">
        <f>IFERROR(VLOOKUP(Proc[[#This Row],[App]],Table2[],3,0),"open")</f>
        <v>ok</v>
      </c>
      <c r="C644" s="72" t="s">
        <v>369</v>
      </c>
      <c r="D644" t="s">
        <v>2209</v>
      </c>
      <c r="E644" t="s">
        <v>2215</v>
      </c>
      <c r="F644" s="73" t="s">
        <v>1098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75">
        <v>45712</v>
      </c>
      <c r="O644" s="75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1112</v>
      </c>
      <c r="S644" s="73"/>
    </row>
    <row r="645" spans="1:19" hidden="1">
      <c r="A645" s="72" t="s">
        <v>2223</v>
      </c>
      <c r="B645" s="73" t="str">
        <f>IFERROR(VLOOKUP(Proc[[#This Row],[App]],Table2[],3,0),"open")</f>
        <v>ok</v>
      </c>
      <c r="C645" s="72" t="s">
        <v>369</v>
      </c>
      <c r="D645" t="s">
        <v>1622</v>
      </c>
      <c r="E645" t="s">
        <v>419</v>
      </c>
      <c r="F645" s="73" t="s">
        <v>2219</v>
      </c>
      <c r="G645" s="72" t="s">
        <v>400</v>
      </c>
      <c r="H645" s="73" t="str">
        <f>IF(Proc[[#This Row],[type]]="LFF (MDG-F)",MID(Proc[[#This Row],[Obj]],13,10),"")</f>
        <v/>
      </c>
      <c r="I645" t="s">
        <v>2228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75">
        <v>45712</v>
      </c>
      <c r="O645" s="75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1112</v>
      </c>
      <c r="S645" s="73"/>
    </row>
    <row r="646" spans="1:19" hidden="1">
      <c r="A646" s="72" t="s">
        <v>2223</v>
      </c>
      <c r="B646" s="73" t="str">
        <f>IFERROR(VLOOKUP(Proc[[#This Row],[App]],Table2[],3,0),"open")</f>
        <v>ok</v>
      </c>
      <c r="C646" s="72" t="s">
        <v>369</v>
      </c>
      <c r="D646" t="s">
        <v>2210</v>
      </c>
      <c r="E646" t="s">
        <v>2216</v>
      </c>
      <c r="F646" s="73" t="s">
        <v>2220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75">
        <v>45712</v>
      </c>
      <c r="O646" s="75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1112</v>
      </c>
      <c r="S646" s="73"/>
    </row>
    <row r="647" spans="1:19" hidden="1">
      <c r="A647" s="72" t="s">
        <v>2223</v>
      </c>
      <c r="B647" s="73" t="str">
        <f>IFERROR(VLOOKUP(Proc[[#This Row],[App]],Table2[],3,0),"open")</f>
        <v>ok</v>
      </c>
      <c r="C647" s="72" t="s">
        <v>369</v>
      </c>
      <c r="D647" t="s">
        <v>2211</v>
      </c>
      <c r="E647" t="s">
        <v>2216</v>
      </c>
      <c r="F647" s="73" t="s">
        <v>2221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75">
        <v>45712</v>
      </c>
      <c r="O647" s="75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1112</v>
      </c>
      <c r="S647" s="73"/>
    </row>
    <row r="648" spans="1:19" hidden="1">
      <c r="A648" s="72" t="s">
        <v>2223</v>
      </c>
      <c r="B648" s="73" t="str">
        <f>IFERROR(VLOOKUP(Proc[[#This Row],[App]],Table2[],3,0),"open")</f>
        <v>ok</v>
      </c>
      <c r="C648" s="72" t="s">
        <v>369</v>
      </c>
      <c r="D648" t="s">
        <v>2212</v>
      </c>
      <c r="E648" t="s">
        <v>2217</v>
      </c>
      <c r="F648" s="73" t="s">
        <v>2222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75">
        <v>45712</v>
      </c>
      <c r="O648" s="75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1112</v>
      </c>
      <c r="S648" s="73"/>
    </row>
    <row r="649" spans="1:19" hidden="1">
      <c r="A649" s="72" t="s">
        <v>2223</v>
      </c>
      <c r="B649" s="73" t="str">
        <f>IFERROR(VLOOKUP(Proc[[#This Row],[App]],Table2[],3,0),"open")</f>
        <v>ok</v>
      </c>
      <c r="C649" s="72" t="s">
        <v>369</v>
      </c>
      <c r="D649" t="s">
        <v>2213</v>
      </c>
      <c r="E649" t="s">
        <v>2217</v>
      </c>
      <c r="F649" s="73" t="s">
        <v>2222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75">
        <v>45712</v>
      </c>
      <c r="O649" s="75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1112</v>
      </c>
      <c r="S649" s="73"/>
    </row>
    <row r="650" spans="1:19" hidden="1">
      <c r="A650" s="72" t="s">
        <v>2223</v>
      </c>
      <c r="B650" s="73" t="str">
        <f>IFERROR(VLOOKUP(Proc[[#This Row],[App]],Table2[],3,0),"open")</f>
        <v>ok</v>
      </c>
      <c r="C650" s="72" t="s">
        <v>369</v>
      </c>
      <c r="D650" t="s">
        <v>2214</v>
      </c>
      <c r="E650" t="s">
        <v>2218</v>
      </c>
      <c r="F650" s="73" t="s">
        <v>2222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75">
        <v>45712</v>
      </c>
      <c r="O650" s="75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1112</v>
      </c>
      <c r="S650" s="73"/>
    </row>
    <row r="651" spans="1:19" hidden="1">
      <c r="A651" t="s">
        <v>2226</v>
      </c>
      <c r="B651" s="73" t="str">
        <f>IFERROR(VLOOKUP(Proc[[#This Row],[App]],Table2[],3,0),"open")</f>
        <v>ok</v>
      </c>
      <c r="C651" s="72" t="s">
        <v>369</v>
      </c>
      <c r="D651" t="s">
        <v>2225</v>
      </c>
      <c r="E651" t="s">
        <v>2227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75">
        <v>45712</v>
      </c>
      <c r="O651" s="75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2230</v>
      </c>
      <c r="B652" s="73" t="str">
        <f>IFERROR(VLOOKUP(Proc[[#This Row],[App]],Table2[],3,0),"open")</f>
        <v>ok</v>
      </c>
      <c r="C652" t="s">
        <v>369</v>
      </c>
      <c r="D652" t="s">
        <v>2231</v>
      </c>
      <c r="E652" t="s">
        <v>484</v>
      </c>
      <c r="F652" s="73" t="s">
        <v>2229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75">
        <v>45713</v>
      </c>
      <c r="O652" s="75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2241</v>
      </c>
      <c r="B653" s="73" t="str">
        <f>IFERROR(VLOOKUP(Proc[[#This Row],[App]],Table2[],3,0),"open")</f>
        <v>ok</v>
      </c>
      <c r="C653" s="72" t="s">
        <v>369</v>
      </c>
      <c r="D653" t="s">
        <v>2232</v>
      </c>
      <c r="E653" t="s">
        <v>2690</v>
      </c>
      <c r="F653" s="73" t="s">
        <v>2243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75">
        <v>45713</v>
      </c>
      <c r="O653" s="75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2241</v>
      </c>
      <c r="B654" s="73" t="str">
        <f>IFERROR(VLOOKUP(Proc[[#This Row],[App]],Table2[],3,0),"open")</f>
        <v>ok</v>
      </c>
      <c r="C654" s="72" t="s">
        <v>369</v>
      </c>
      <c r="D654" t="s">
        <v>2233</v>
      </c>
      <c r="E654" t="s">
        <v>2690</v>
      </c>
      <c r="F654" s="73" t="s">
        <v>2243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75">
        <v>45713</v>
      </c>
      <c r="O654" s="75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2241</v>
      </c>
      <c r="B655" s="73" t="str">
        <f>IFERROR(VLOOKUP(Proc[[#This Row],[App]],Table2[],3,0),"open")</f>
        <v>ok</v>
      </c>
      <c r="C655" s="72" t="s">
        <v>369</v>
      </c>
      <c r="D655" t="s">
        <v>2234</v>
      </c>
      <c r="E655" t="s">
        <v>1286</v>
      </c>
      <c r="F655" s="73" t="s">
        <v>1287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75">
        <v>45713</v>
      </c>
      <c r="O655" s="75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2241</v>
      </c>
      <c r="B656" s="73" t="str">
        <f>IFERROR(VLOOKUP(Proc[[#This Row],[App]],Table2[],3,0),"open")</f>
        <v>ok</v>
      </c>
      <c r="C656" s="72" t="s">
        <v>369</v>
      </c>
      <c r="D656" t="s">
        <v>2235</v>
      </c>
      <c r="E656" t="s">
        <v>2242</v>
      </c>
      <c r="F656" s="73" t="s">
        <v>2243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75">
        <v>45713</v>
      </c>
      <c r="O656" s="75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2241</v>
      </c>
      <c r="B657" s="73" t="str">
        <f>IFERROR(VLOOKUP(Proc[[#This Row],[App]],Table2[],3,0),"open")</f>
        <v>ok</v>
      </c>
      <c r="C657" s="72" t="s">
        <v>369</v>
      </c>
      <c r="D657" t="s">
        <v>2236</v>
      </c>
      <c r="E657" t="s">
        <v>2242</v>
      </c>
      <c r="F657" s="73" t="s">
        <v>2243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75">
        <v>45713</v>
      </c>
      <c r="O657" s="75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2241</v>
      </c>
      <c r="B658" s="73" t="str">
        <f>IFERROR(VLOOKUP(Proc[[#This Row],[App]],Table2[],3,0),"open")</f>
        <v>ok</v>
      </c>
      <c r="C658" s="72" t="s">
        <v>369</v>
      </c>
      <c r="D658" t="s">
        <v>2237</v>
      </c>
      <c r="E658" t="s">
        <v>2242</v>
      </c>
      <c r="F658" s="73" t="s">
        <v>2243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75">
        <v>45713</v>
      </c>
      <c r="O658" s="75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2241</v>
      </c>
      <c r="B659" s="73" t="str">
        <f>IFERROR(VLOOKUP(Proc[[#This Row],[App]],Table2[],3,0),"open")</f>
        <v>ok</v>
      </c>
      <c r="C659" s="72" t="s">
        <v>369</v>
      </c>
      <c r="D659" t="s">
        <v>2238</v>
      </c>
      <c r="E659" t="s">
        <v>2242</v>
      </c>
      <c r="F659" s="73" t="s">
        <v>2243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75">
        <v>45713</v>
      </c>
      <c r="O659" s="75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2241</v>
      </c>
      <c r="B660" s="73" t="str">
        <f>IFERROR(VLOOKUP(Proc[[#This Row],[App]],Table2[],3,0),"open")</f>
        <v>ok</v>
      </c>
      <c r="C660" s="72" t="s">
        <v>369</v>
      </c>
      <c r="D660" t="s">
        <v>2239</v>
      </c>
      <c r="E660" t="s">
        <v>2242</v>
      </c>
      <c r="F660" s="73" t="s">
        <v>2243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75">
        <v>45713</v>
      </c>
      <c r="O660" s="75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2241</v>
      </c>
      <c r="B661" s="73" t="str">
        <f>IFERROR(VLOOKUP(Proc[[#This Row],[App]],Table2[],3,0),"open")</f>
        <v>ok</v>
      </c>
      <c r="C661" s="72" t="s">
        <v>369</v>
      </c>
      <c r="D661" t="s">
        <v>2240</v>
      </c>
      <c r="E661" t="s">
        <v>2242</v>
      </c>
      <c r="F661" s="73" t="s">
        <v>2243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75">
        <v>45713</v>
      </c>
      <c r="O661" s="75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2244</v>
      </c>
      <c r="B662" s="73" t="str">
        <f>IFERROR(VLOOKUP(Proc[[#This Row],[App]],Table2[],3,0),"open")</f>
        <v>ok</v>
      </c>
      <c r="C662" s="72" t="s">
        <v>369</v>
      </c>
      <c r="D662" t="s">
        <v>2245</v>
      </c>
      <c r="E662" t="s">
        <v>2256</v>
      </c>
      <c r="F662" s="73" t="s">
        <v>2255</v>
      </c>
      <c r="G662" t="s">
        <v>406</v>
      </c>
      <c r="H662" s="73" t="str">
        <f>IF(Proc[[#This Row],[type]]="LFF (MDG-F)",MID(Proc[[#This Row],[Obj]],13,10),"")</f>
        <v>DE10GIN006</v>
      </c>
      <c r="I662" t="s">
        <v>2257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75">
        <v>45715</v>
      </c>
      <c r="O662" s="75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2244</v>
      </c>
      <c r="B663" s="73" t="str">
        <f>IFERROR(VLOOKUP(Proc[[#This Row],[App]],Table2[],3,0),"open")</f>
        <v>ok</v>
      </c>
      <c r="C663" s="72" t="s">
        <v>369</v>
      </c>
      <c r="D663" t="s">
        <v>2246</v>
      </c>
      <c r="E663" t="s">
        <v>2256</v>
      </c>
      <c r="F663" s="73" t="s">
        <v>2255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2258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75">
        <v>45715</v>
      </c>
      <c r="O663" s="75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2244</v>
      </c>
      <c r="B664" s="73" t="str">
        <f>IFERROR(VLOOKUP(Proc[[#This Row],[App]],Table2[],3,0),"open")</f>
        <v>ok</v>
      </c>
      <c r="C664" s="72" t="s">
        <v>369</v>
      </c>
      <c r="D664" t="s">
        <v>2247</v>
      </c>
      <c r="E664" t="s">
        <v>2256</v>
      </c>
      <c r="F664" s="73" t="s">
        <v>2255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2270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75">
        <v>45716</v>
      </c>
      <c r="O664" s="75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2244</v>
      </c>
      <c r="B665" s="73" t="str">
        <f>IFERROR(VLOOKUP(Proc[[#This Row],[App]],Table2[],3,0),"open")</f>
        <v>ok</v>
      </c>
      <c r="C665" s="72" t="s">
        <v>369</v>
      </c>
      <c r="D665" t="s">
        <v>2248</v>
      </c>
      <c r="E665" t="s">
        <v>2256</v>
      </c>
      <c r="F665" s="73" t="s">
        <v>2255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2259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75">
        <v>45715</v>
      </c>
      <c r="O665" s="75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2244</v>
      </c>
      <c r="B666" s="73" t="str">
        <f>IFERROR(VLOOKUP(Proc[[#This Row],[App]],Table2[],3,0),"open")</f>
        <v>ok</v>
      </c>
      <c r="C666" s="72" t="s">
        <v>369</v>
      </c>
      <c r="D666" t="s">
        <v>2249</v>
      </c>
      <c r="E666" t="s">
        <v>2256</v>
      </c>
      <c r="F666" s="73" t="s">
        <v>2255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2260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75">
        <v>45715</v>
      </c>
      <c r="O666" s="75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2244</v>
      </c>
      <c r="B667" s="73" t="str">
        <f>IFERROR(VLOOKUP(Proc[[#This Row],[App]],Table2[],3,0),"open")</f>
        <v>ok</v>
      </c>
      <c r="C667" s="72" t="s">
        <v>369</v>
      </c>
      <c r="D667" t="s">
        <v>2250</v>
      </c>
      <c r="E667" t="s">
        <v>2256</v>
      </c>
      <c r="F667" s="73" t="s">
        <v>2255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75">
        <v>45715</v>
      </c>
      <c r="O667" s="75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2244</v>
      </c>
      <c r="B668" s="73" t="str">
        <f>IFERROR(VLOOKUP(Proc[[#This Row],[App]],Table2[],3,0),"open")</f>
        <v>ok</v>
      </c>
      <c r="C668" s="72" t="s">
        <v>369</v>
      </c>
      <c r="D668" t="s">
        <v>2251</v>
      </c>
      <c r="E668" t="s">
        <v>2256</v>
      </c>
      <c r="F668" s="73" t="s">
        <v>2255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75">
        <v>45715</v>
      </c>
      <c r="O668" s="75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2244</v>
      </c>
      <c r="B669" s="73" t="str">
        <f>IFERROR(VLOOKUP(Proc[[#This Row],[App]],Table2[],3,0),"open")</f>
        <v>ok</v>
      </c>
      <c r="C669" s="72" t="s">
        <v>369</v>
      </c>
      <c r="D669" t="s">
        <v>2252</v>
      </c>
      <c r="E669" t="s">
        <v>2256</v>
      </c>
      <c r="F669" s="73" t="s">
        <v>2255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75">
        <v>45715</v>
      </c>
      <c r="O669" s="75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2244</v>
      </c>
      <c r="B670" s="73" t="str">
        <f>IFERROR(VLOOKUP(Proc[[#This Row],[App]],Table2[],3,0),"open")</f>
        <v>ok</v>
      </c>
      <c r="C670" s="72" t="s">
        <v>369</v>
      </c>
      <c r="D670" t="s">
        <v>2253</v>
      </c>
      <c r="E670" t="s">
        <v>2256</v>
      </c>
      <c r="F670" s="73" t="s">
        <v>2255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75">
        <v>45715</v>
      </c>
      <c r="O670" s="75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2244</v>
      </c>
      <c r="B671" s="73" t="str">
        <f>IFERROR(VLOOKUP(Proc[[#This Row],[App]],Table2[],3,0),"open")</f>
        <v>ok</v>
      </c>
      <c r="C671" s="72" t="s">
        <v>369</v>
      </c>
      <c r="D671" t="s">
        <v>2254</v>
      </c>
      <c r="E671" t="s">
        <v>2256</v>
      </c>
      <c r="F671" s="73" t="s">
        <v>2255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75">
        <v>45715</v>
      </c>
      <c r="O671" s="75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2261</v>
      </c>
      <c r="B672" s="73" t="str">
        <f>IFERROR(VLOOKUP(Proc[[#This Row],[App]],Table2[],3,0),"open")</f>
        <v>ok</v>
      </c>
      <c r="C672" s="72" t="s">
        <v>369</v>
      </c>
      <c r="D672" t="s">
        <v>2262</v>
      </c>
      <c r="E672" t="s">
        <v>2266</v>
      </c>
      <c r="F672" s="73" t="s">
        <v>2268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75">
        <v>45713</v>
      </c>
      <c r="O672" s="75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2261</v>
      </c>
      <c r="B673" s="73" t="str">
        <f>IFERROR(VLOOKUP(Proc[[#This Row],[App]],Table2[],3,0),"open")</f>
        <v>ok</v>
      </c>
      <c r="C673" s="72" t="s">
        <v>369</v>
      </c>
      <c r="D673" t="s">
        <v>2263</v>
      </c>
      <c r="E673" t="s">
        <v>2267</v>
      </c>
      <c r="F673" s="73" t="s">
        <v>2269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75">
        <v>45713</v>
      </c>
      <c r="O673" s="75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2261</v>
      </c>
      <c r="B674" s="73" t="str">
        <f>IFERROR(VLOOKUP(Proc[[#This Row],[App]],Table2[],3,0),"open")</f>
        <v>ok</v>
      </c>
      <c r="C674" s="72" t="s">
        <v>369</v>
      </c>
      <c r="D674" t="s">
        <v>2264</v>
      </c>
      <c r="E674" t="s">
        <v>2267</v>
      </c>
      <c r="F674" s="73" t="s">
        <v>2269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75">
        <v>45713</v>
      </c>
      <c r="O674" s="75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2261</v>
      </c>
      <c r="B675" s="73" t="str">
        <f>IFERROR(VLOOKUP(Proc[[#This Row],[App]],Table2[],3,0),"open")</f>
        <v>ok</v>
      </c>
      <c r="C675" s="72" t="s">
        <v>369</v>
      </c>
      <c r="D675" t="s">
        <v>2265</v>
      </c>
      <c r="E675" t="s">
        <v>2267</v>
      </c>
      <c r="F675" s="73" t="s">
        <v>2269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75">
        <v>45713</v>
      </c>
      <c r="O675" s="75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2271</v>
      </c>
      <c r="B676" s="73" t="str">
        <f>IFERROR(VLOOKUP(Proc[[#This Row],[App]],Table2[],3,0),"open")</f>
        <v>ok</v>
      </c>
      <c r="C676" t="s">
        <v>369</v>
      </c>
      <c r="D676" t="s">
        <v>2272</v>
      </c>
      <c r="E676" t="s">
        <v>2275</v>
      </c>
      <c r="F676" s="73" t="s">
        <v>2278</v>
      </c>
      <c r="G676" t="s">
        <v>400</v>
      </c>
      <c r="H676" s="73" t="str">
        <f>IF(Proc[[#This Row],[type]]="LFF (MDG-F)",MID(Proc[[#This Row],[Obj]],13,10),"")</f>
        <v/>
      </c>
      <c r="I676" t="s">
        <v>2281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23</v>
      </c>
      <c r="R676" s="74" t="s">
        <v>502</v>
      </c>
      <c r="S676" s="73"/>
    </row>
    <row r="677" spans="1:19" hidden="1">
      <c r="A677" s="72" t="s">
        <v>2271</v>
      </c>
      <c r="B677" s="73" t="str">
        <f>IFERROR(VLOOKUP(Proc[[#This Row],[App]],Table2[],3,0),"open")</f>
        <v>ok</v>
      </c>
      <c r="C677" s="72" t="s">
        <v>369</v>
      </c>
      <c r="D677" t="s">
        <v>2273</v>
      </c>
      <c r="E677" t="s">
        <v>2276</v>
      </c>
      <c r="F677" s="73" t="s">
        <v>2279</v>
      </c>
      <c r="G677" s="72" t="s">
        <v>400</v>
      </c>
      <c r="H677" s="73" t="str">
        <f>IF(Proc[[#This Row],[type]]="LFF (MDG-F)",MID(Proc[[#This Row],[Obj]],13,10),"")</f>
        <v/>
      </c>
      <c r="I677" s="72" t="s">
        <v>2281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23</v>
      </c>
      <c r="R677" s="74" t="s">
        <v>502</v>
      </c>
      <c r="S677" s="73"/>
    </row>
    <row r="678" spans="1:19" hidden="1">
      <c r="A678" s="72" t="s">
        <v>2271</v>
      </c>
      <c r="B678" s="73" t="str">
        <f>IFERROR(VLOOKUP(Proc[[#This Row],[App]],Table2[],3,0),"open")</f>
        <v>ok</v>
      </c>
      <c r="C678" s="72" t="s">
        <v>369</v>
      </c>
      <c r="D678" t="s">
        <v>2274</v>
      </c>
      <c r="E678" t="s">
        <v>2277</v>
      </c>
      <c r="F678" s="73" t="s">
        <v>2280</v>
      </c>
      <c r="G678" s="72" t="s">
        <v>400</v>
      </c>
      <c r="H678" s="73" t="str">
        <f>IF(Proc[[#This Row],[type]]="LFF (MDG-F)",MID(Proc[[#This Row],[Obj]],13,10),"")</f>
        <v/>
      </c>
      <c r="I678" s="72" t="s">
        <v>2281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23</v>
      </c>
      <c r="R678" s="74" t="s">
        <v>502</v>
      </c>
      <c r="S678" s="73"/>
    </row>
    <row r="679" spans="1:19" hidden="1">
      <c r="A679" t="s">
        <v>2282</v>
      </c>
      <c r="B679" s="73" t="str">
        <f>IFERROR(VLOOKUP(Proc[[#This Row],[App]],Table2[],3,0),"open")</f>
        <v>ok</v>
      </c>
      <c r="C679" t="s">
        <v>369</v>
      </c>
      <c r="D679" t="s">
        <v>2283</v>
      </c>
      <c r="E679" t="s">
        <v>2284</v>
      </c>
      <c r="F679" s="73" t="s">
        <v>2285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75">
        <v>45715</v>
      </c>
      <c r="O679" s="75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2282</v>
      </c>
      <c r="B680" s="73" t="str">
        <f>IFERROR(VLOOKUP(Proc[[#This Row],[App]],Table2[],3,0),"open")</f>
        <v>ok</v>
      </c>
      <c r="C680" s="72" t="s">
        <v>369</v>
      </c>
      <c r="D680" t="s">
        <v>2286</v>
      </c>
      <c r="E680" t="s">
        <v>2287</v>
      </c>
      <c r="F680" s="73" t="s">
        <v>2288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75">
        <v>45715</v>
      </c>
      <c r="O680" s="75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2282</v>
      </c>
      <c r="B681" s="73" t="str">
        <f>IFERROR(VLOOKUP(Proc[[#This Row],[App]],Table2[],3,0),"open")</f>
        <v>ok</v>
      </c>
      <c r="C681" s="72" t="s">
        <v>369</v>
      </c>
      <c r="D681" t="s">
        <v>2289</v>
      </c>
      <c r="E681" t="s">
        <v>2287</v>
      </c>
      <c r="F681" s="73" t="s">
        <v>2288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75">
        <v>45715</v>
      </c>
      <c r="O681" s="75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2282</v>
      </c>
      <c r="B682" s="73" t="str">
        <f>IFERROR(VLOOKUP(Proc[[#This Row],[App]],Table2[],3,0),"open")</f>
        <v>ok</v>
      </c>
      <c r="C682" s="72" t="s">
        <v>369</v>
      </c>
      <c r="D682" t="s">
        <v>2290</v>
      </c>
      <c r="E682" t="s">
        <v>2291</v>
      </c>
      <c r="F682" s="73" t="s">
        <v>2292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75">
        <v>45715</v>
      </c>
      <c r="O682" s="75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2282</v>
      </c>
      <c r="B683" s="73" t="str">
        <f>IFERROR(VLOOKUP(Proc[[#This Row],[App]],Table2[],3,0),"open")</f>
        <v>ok</v>
      </c>
      <c r="C683" s="72" t="s">
        <v>369</v>
      </c>
      <c r="D683" t="s">
        <v>2293</v>
      </c>
      <c r="E683" t="s">
        <v>2294</v>
      </c>
      <c r="F683" s="73" t="s">
        <v>2295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75">
        <v>45715</v>
      </c>
      <c r="O683" s="75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2282</v>
      </c>
      <c r="B684" s="73" t="str">
        <f>IFERROR(VLOOKUP(Proc[[#This Row],[App]],Table2[],3,0),"open")</f>
        <v>ok</v>
      </c>
      <c r="C684" s="72" t="s">
        <v>369</v>
      </c>
      <c r="D684" t="s">
        <v>2296</v>
      </c>
      <c r="E684" t="s">
        <v>2294</v>
      </c>
      <c r="F684" s="73" t="s">
        <v>2295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75">
        <v>45715</v>
      </c>
      <c r="O684" s="75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2282</v>
      </c>
      <c r="B685" s="73" t="str">
        <f>IFERROR(VLOOKUP(Proc[[#This Row],[App]],Table2[],3,0),"open")</f>
        <v>ok</v>
      </c>
      <c r="C685" s="72" t="s">
        <v>369</v>
      </c>
      <c r="D685" t="s">
        <v>2297</v>
      </c>
      <c r="E685" t="s">
        <v>2291</v>
      </c>
      <c r="F685" s="73" t="s">
        <v>2292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75">
        <v>45715</v>
      </c>
      <c r="O685" s="75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2282</v>
      </c>
      <c r="B686" s="73" t="str">
        <f>IFERROR(VLOOKUP(Proc[[#This Row],[App]],Table2[],3,0),"open")</f>
        <v>ok</v>
      </c>
      <c r="C686" s="72" t="s">
        <v>369</v>
      </c>
      <c r="D686" t="s">
        <v>2298</v>
      </c>
      <c r="E686" t="s">
        <v>2299</v>
      </c>
      <c r="F686" s="73" t="s">
        <v>2300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75">
        <v>45715</v>
      </c>
      <c r="O686" s="75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2282</v>
      </c>
      <c r="B687" s="73" t="str">
        <f>IFERROR(VLOOKUP(Proc[[#This Row],[App]],Table2[],3,0),"open")</f>
        <v>ok</v>
      </c>
      <c r="C687" s="72" t="s">
        <v>369</v>
      </c>
      <c r="D687" t="s">
        <v>2301</v>
      </c>
      <c r="E687" t="s">
        <v>2299</v>
      </c>
      <c r="F687" s="73" t="s">
        <v>2300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75">
        <v>45715</v>
      </c>
      <c r="O687" s="75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2282</v>
      </c>
      <c r="B688" s="73" t="str">
        <f>IFERROR(VLOOKUP(Proc[[#This Row],[App]],Table2[],3,0),"open")</f>
        <v>ok</v>
      </c>
      <c r="C688" s="72" t="s">
        <v>369</v>
      </c>
      <c r="D688" t="s">
        <v>2302</v>
      </c>
      <c r="E688" t="s">
        <v>2299</v>
      </c>
      <c r="F688" s="73" t="s">
        <v>2300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75">
        <v>45715</v>
      </c>
      <c r="O688" s="75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2282</v>
      </c>
      <c r="B689" s="73" t="str">
        <f>IFERROR(VLOOKUP(Proc[[#This Row],[App]],Table2[],3,0),"open")</f>
        <v>ok</v>
      </c>
      <c r="C689" s="72" t="s">
        <v>369</v>
      </c>
      <c r="D689" t="s">
        <v>2303</v>
      </c>
      <c r="E689" t="s">
        <v>2299</v>
      </c>
      <c r="F689" s="73" t="s">
        <v>2300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75">
        <v>45715</v>
      </c>
      <c r="O689" s="75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2282</v>
      </c>
      <c r="B690" s="73" t="str">
        <f>IFERROR(VLOOKUP(Proc[[#This Row],[App]],Table2[],3,0),"open")</f>
        <v>ok</v>
      </c>
      <c r="C690" s="72" t="s">
        <v>369</v>
      </c>
      <c r="D690" t="s">
        <v>2304</v>
      </c>
      <c r="E690" t="s">
        <v>2299</v>
      </c>
      <c r="F690" s="73" t="s">
        <v>2300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75">
        <v>45715</v>
      </c>
      <c r="O690" s="75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2282</v>
      </c>
      <c r="B691" s="73" t="str">
        <f>IFERROR(VLOOKUP(Proc[[#This Row],[App]],Table2[],3,0),"open")</f>
        <v>ok</v>
      </c>
      <c r="C691" s="72" t="s">
        <v>369</v>
      </c>
      <c r="D691" t="s">
        <v>2305</v>
      </c>
      <c r="E691" t="s">
        <v>2299</v>
      </c>
      <c r="F691" s="73" t="s">
        <v>2300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75">
        <v>45715</v>
      </c>
      <c r="O691" s="75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2282</v>
      </c>
      <c r="B692" s="73" t="str">
        <f>IFERROR(VLOOKUP(Proc[[#This Row],[App]],Table2[],3,0),"open")</f>
        <v>ok</v>
      </c>
      <c r="C692" s="72" t="s">
        <v>369</v>
      </c>
      <c r="D692" t="s">
        <v>2306</v>
      </c>
      <c r="E692" t="s">
        <v>2299</v>
      </c>
      <c r="F692" s="73" t="s">
        <v>2300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75">
        <v>45715</v>
      </c>
      <c r="O692" s="75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2282</v>
      </c>
      <c r="B693" s="73" t="str">
        <f>IFERROR(VLOOKUP(Proc[[#This Row],[App]],Table2[],3,0),"open")</f>
        <v>ok</v>
      </c>
      <c r="C693" s="72" t="s">
        <v>369</v>
      </c>
      <c r="D693" t="s">
        <v>2307</v>
      </c>
      <c r="E693" t="s">
        <v>2308</v>
      </c>
      <c r="F693" s="73" t="s">
        <v>2309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75">
        <v>45715</v>
      </c>
      <c r="O693" s="75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2282</v>
      </c>
      <c r="B694" s="73" t="str">
        <f>IFERROR(VLOOKUP(Proc[[#This Row],[App]],Table2[],3,0),"open")</f>
        <v>ok</v>
      </c>
      <c r="C694" s="72" t="s">
        <v>369</v>
      </c>
      <c r="D694" t="s">
        <v>2310</v>
      </c>
      <c r="E694" t="s">
        <v>2311</v>
      </c>
      <c r="F694" s="73" t="s">
        <v>2312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75">
        <v>45715</v>
      </c>
      <c r="O694" s="75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2282</v>
      </c>
      <c r="B695" s="73" t="str">
        <f>IFERROR(VLOOKUP(Proc[[#This Row],[App]],Table2[],3,0),"open")</f>
        <v>ok</v>
      </c>
      <c r="C695" s="72" t="s">
        <v>369</v>
      </c>
      <c r="D695" t="s">
        <v>2313</v>
      </c>
      <c r="E695" t="s">
        <v>2314</v>
      </c>
      <c r="F695" s="73" t="s">
        <v>2315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75">
        <v>45715</v>
      </c>
      <c r="O695" s="75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2282</v>
      </c>
      <c r="B696" s="73" t="str">
        <f>IFERROR(VLOOKUP(Proc[[#This Row],[App]],Table2[],3,0),"open")</f>
        <v>ok</v>
      </c>
      <c r="C696" s="72" t="s">
        <v>369</v>
      </c>
      <c r="D696" t="s">
        <v>2316</v>
      </c>
      <c r="E696" t="s">
        <v>2317</v>
      </c>
      <c r="F696" s="73" t="s">
        <v>2318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75">
        <v>45715</v>
      </c>
      <c r="O696" s="75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2282</v>
      </c>
      <c r="B697" s="73" t="str">
        <f>IFERROR(VLOOKUP(Proc[[#This Row],[App]],Table2[],3,0),"open")</f>
        <v>ok</v>
      </c>
      <c r="C697" s="72" t="s">
        <v>369</v>
      </c>
      <c r="D697" t="s">
        <v>2319</v>
      </c>
      <c r="E697" t="s">
        <v>2317</v>
      </c>
      <c r="F697" s="73" t="s">
        <v>2318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75">
        <v>45715</v>
      </c>
      <c r="O697" s="75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2282</v>
      </c>
      <c r="B698" s="73" t="str">
        <f>IFERROR(VLOOKUP(Proc[[#This Row],[App]],Table2[],3,0),"open")</f>
        <v>ok</v>
      </c>
      <c r="C698" s="72" t="s">
        <v>369</v>
      </c>
      <c r="D698" t="s">
        <v>2320</v>
      </c>
      <c r="E698" t="s">
        <v>2311</v>
      </c>
      <c r="F698" s="73" t="s">
        <v>2318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75">
        <v>45715</v>
      </c>
      <c r="O698" s="75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2282</v>
      </c>
      <c r="B699" s="73" t="str">
        <f>IFERROR(VLOOKUP(Proc[[#This Row],[App]],Table2[],3,0),"open")</f>
        <v>ok</v>
      </c>
      <c r="C699" s="72" t="s">
        <v>369</v>
      </c>
      <c r="D699" t="s">
        <v>2321</v>
      </c>
      <c r="E699" t="s">
        <v>2311</v>
      </c>
      <c r="F699" s="73" t="s">
        <v>2318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75">
        <v>45715</v>
      </c>
      <c r="O699" s="75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2282</v>
      </c>
      <c r="B700" s="73" t="str">
        <f>IFERROR(VLOOKUP(Proc[[#This Row],[App]],Table2[],3,0),"open")</f>
        <v>ok</v>
      </c>
      <c r="C700" s="72" t="s">
        <v>369</v>
      </c>
      <c r="D700" t="s">
        <v>2322</v>
      </c>
      <c r="E700" t="s">
        <v>2311</v>
      </c>
      <c r="F700" s="73" t="s">
        <v>2318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75">
        <v>45715</v>
      </c>
      <c r="O700" s="75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2282</v>
      </c>
      <c r="B701" s="73" t="str">
        <f>IFERROR(VLOOKUP(Proc[[#This Row],[App]],Table2[],3,0),"open")</f>
        <v>ok</v>
      </c>
      <c r="C701" s="72" t="s">
        <v>369</v>
      </c>
      <c r="D701" t="s">
        <v>2323</v>
      </c>
      <c r="E701" t="s">
        <v>2291</v>
      </c>
      <c r="F701" s="73" t="s">
        <v>2292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75">
        <v>45715</v>
      </c>
      <c r="O701" s="75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2282</v>
      </c>
      <c r="B702" s="73" t="str">
        <f>IFERROR(VLOOKUP(Proc[[#This Row],[App]],Table2[],3,0),"open")</f>
        <v>ok</v>
      </c>
      <c r="C702" s="72" t="s">
        <v>369</v>
      </c>
      <c r="D702" t="s">
        <v>2324</v>
      </c>
      <c r="E702" t="s">
        <v>2325</v>
      </c>
      <c r="F702" s="73" t="s">
        <v>2326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75">
        <v>45715</v>
      </c>
      <c r="O702" s="75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2282</v>
      </c>
      <c r="B703" s="73" t="str">
        <f>IFERROR(VLOOKUP(Proc[[#This Row],[App]],Table2[],3,0),"open")</f>
        <v>ok</v>
      </c>
      <c r="C703" s="72" t="s">
        <v>369</v>
      </c>
      <c r="D703" t="s">
        <v>2327</v>
      </c>
      <c r="E703" t="s">
        <v>2328</v>
      </c>
      <c r="F703" s="73" t="s">
        <v>2326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75">
        <v>45715</v>
      </c>
      <c r="O703" s="75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2282</v>
      </c>
      <c r="B704" s="73" t="str">
        <f>IFERROR(VLOOKUP(Proc[[#This Row],[App]],Table2[],3,0),"open")</f>
        <v>ok</v>
      </c>
      <c r="C704" s="72" t="s">
        <v>369</v>
      </c>
      <c r="D704" t="s">
        <v>2329</v>
      </c>
      <c r="E704" t="s">
        <v>2328</v>
      </c>
      <c r="F704" s="73" t="s">
        <v>2326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75">
        <v>45715</v>
      </c>
      <c r="O704" s="75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2282</v>
      </c>
      <c r="B705" s="73" t="str">
        <f>IFERROR(VLOOKUP(Proc[[#This Row],[App]],Table2[],3,0),"open")</f>
        <v>ok</v>
      </c>
      <c r="C705" s="72" t="s">
        <v>369</v>
      </c>
      <c r="D705" t="s">
        <v>2330</v>
      </c>
      <c r="E705" t="s">
        <v>2328</v>
      </c>
      <c r="F705" s="73" t="s">
        <v>2326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75">
        <v>45715</v>
      </c>
      <c r="O705" s="75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2282</v>
      </c>
      <c r="B706" s="73" t="str">
        <f>IFERROR(VLOOKUP(Proc[[#This Row],[App]],Table2[],3,0),"open")</f>
        <v>ok</v>
      </c>
      <c r="C706" s="72" t="s">
        <v>369</v>
      </c>
      <c r="D706" t="s">
        <v>2331</v>
      </c>
      <c r="E706" t="s">
        <v>2328</v>
      </c>
      <c r="F706" s="73" t="s">
        <v>2326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75">
        <v>45715</v>
      </c>
      <c r="O706" s="75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2282</v>
      </c>
      <c r="B707" s="73" t="str">
        <f>IFERROR(VLOOKUP(Proc[[#This Row],[App]],Table2[],3,0),"open")</f>
        <v>ok</v>
      </c>
      <c r="C707" s="72" t="s">
        <v>369</v>
      </c>
      <c r="D707" t="s">
        <v>2332</v>
      </c>
      <c r="E707" t="s">
        <v>2328</v>
      </c>
      <c r="F707" s="73" t="s">
        <v>2326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75">
        <v>45715</v>
      </c>
      <c r="O707" s="75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2282</v>
      </c>
      <c r="B708" s="73" t="str">
        <f>IFERROR(VLOOKUP(Proc[[#This Row],[App]],Table2[],3,0),"open")</f>
        <v>ok</v>
      </c>
      <c r="C708" s="72" t="s">
        <v>369</v>
      </c>
      <c r="D708" t="s">
        <v>2333</v>
      </c>
      <c r="E708" t="s">
        <v>2328</v>
      </c>
      <c r="F708" s="73" t="s">
        <v>2326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75">
        <v>45715</v>
      </c>
      <c r="O708" s="75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2282</v>
      </c>
      <c r="B709" s="73" t="str">
        <f>IFERROR(VLOOKUP(Proc[[#This Row],[App]],Table2[],3,0),"open")</f>
        <v>ok</v>
      </c>
      <c r="C709" s="72" t="s">
        <v>369</v>
      </c>
      <c r="D709" t="s">
        <v>2334</v>
      </c>
      <c r="E709" t="s">
        <v>2335</v>
      </c>
      <c r="F709" s="73" t="s">
        <v>2336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75">
        <v>45715</v>
      </c>
      <c r="O709" s="75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2282</v>
      </c>
      <c r="B710" s="73" t="str">
        <f>IFERROR(VLOOKUP(Proc[[#This Row],[App]],Table2[],3,0),"open")</f>
        <v>ok</v>
      </c>
      <c r="C710" s="72" t="s">
        <v>369</v>
      </c>
      <c r="D710" t="s">
        <v>2337</v>
      </c>
      <c r="E710" t="s">
        <v>2335</v>
      </c>
      <c r="F710" s="73" t="s">
        <v>2336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75">
        <v>45715</v>
      </c>
      <c r="O710" s="75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2282</v>
      </c>
      <c r="B711" s="73" t="str">
        <f>IFERROR(VLOOKUP(Proc[[#This Row],[App]],Table2[],3,0),"open")</f>
        <v>ok</v>
      </c>
      <c r="C711" s="72" t="s">
        <v>369</v>
      </c>
      <c r="D711" t="s">
        <v>2338</v>
      </c>
      <c r="E711" t="s">
        <v>2339</v>
      </c>
      <c r="F711" s="73" t="s">
        <v>2340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75">
        <v>45715</v>
      </c>
      <c r="O711" s="75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2282</v>
      </c>
      <c r="B712" s="73" t="str">
        <f>IFERROR(VLOOKUP(Proc[[#This Row],[App]],Table2[],3,0),"open")</f>
        <v>ok</v>
      </c>
      <c r="C712" s="72" t="s">
        <v>369</v>
      </c>
      <c r="D712" t="s">
        <v>2341</v>
      </c>
      <c r="E712" t="s">
        <v>2342</v>
      </c>
      <c r="F712" s="73" t="s">
        <v>2343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75">
        <v>45715</v>
      </c>
      <c r="O712" s="75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2282</v>
      </c>
      <c r="B713" s="73" t="str">
        <f>IFERROR(VLOOKUP(Proc[[#This Row],[App]],Table2[],3,0),"open")</f>
        <v>ok</v>
      </c>
      <c r="C713" s="72" t="s">
        <v>369</v>
      </c>
      <c r="D713" t="s">
        <v>2344</v>
      </c>
      <c r="E713" t="s">
        <v>2342</v>
      </c>
      <c r="F713" s="73" t="s">
        <v>2343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75">
        <v>45715</v>
      </c>
      <c r="O713" s="75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2282</v>
      </c>
      <c r="B714" s="73" t="str">
        <f>IFERROR(VLOOKUP(Proc[[#This Row],[App]],Table2[],3,0),"open")</f>
        <v>ok</v>
      </c>
      <c r="C714" s="72" t="s">
        <v>369</v>
      </c>
      <c r="D714" t="s">
        <v>2345</v>
      </c>
      <c r="E714" t="s">
        <v>2342</v>
      </c>
      <c r="F714" s="73" t="s">
        <v>2343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75">
        <v>45715</v>
      </c>
      <c r="O714" s="75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2282</v>
      </c>
      <c r="B715" s="73" t="str">
        <f>IFERROR(VLOOKUP(Proc[[#This Row],[App]],Table2[],3,0),"open")</f>
        <v>ok</v>
      </c>
      <c r="C715" s="72" t="s">
        <v>369</v>
      </c>
      <c r="D715" t="s">
        <v>2346</v>
      </c>
      <c r="E715" t="s">
        <v>2342</v>
      </c>
      <c r="F715" s="73" t="s">
        <v>2343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75">
        <v>45715</v>
      </c>
      <c r="O715" s="75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2282</v>
      </c>
      <c r="B716" s="73" t="str">
        <f>IFERROR(VLOOKUP(Proc[[#This Row],[App]],Table2[],3,0),"open")</f>
        <v>ok</v>
      </c>
      <c r="C716" s="72" t="s">
        <v>369</v>
      </c>
      <c r="D716" t="s">
        <v>2347</v>
      </c>
      <c r="E716" t="s">
        <v>2348</v>
      </c>
      <c r="F716" s="73" t="s">
        <v>2349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75">
        <v>45715</v>
      </c>
      <c r="O716" s="75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2282</v>
      </c>
      <c r="B717" s="73" t="str">
        <f>IFERROR(VLOOKUP(Proc[[#This Row],[App]],Table2[],3,0),"open")</f>
        <v>ok</v>
      </c>
      <c r="C717" s="72" t="s">
        <v>369</v>
      </c>
      <c r="D717" t="s">
        <v>2350</v>
      </c>
      <c r="E717" t="s">
        <v>2342</v>
      </c>
      <c r="F717" s="73" t="s">
        <v>2351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75">
        <v>45715</v>
      </c>
      <c r="O717" s="75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2282</v>
      </c>
      <c r="B718" s="73" t="str">
        <f>IFERROR(VLOOKUP(Proc[[#This Row],[App]],Table2[],3,0),"open")</f>
        <v>ok</v>
      </c>
      <c r="C718" s="72" t="s">
        <v>369</v>
      </c>
      <c r="D718" t="s">
        <v>2352</v>
      </c>
      <c r="E718" t="s">
        <v>2342</v>
      </c>
      <c r="F718" s="73" t="s">
        <v>2351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75">
        <v>45715</v>
      </c>
      <c r="O718" s="75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2282</v>
      </c>
      <c r="B719" s="73" t="str">
        <f>IFERROR(VLOOKUP(Proc[[#This Row],[App]],Table2[],3,0),"open")</f>
        <v>ok</v>
      </c>
      <c r="C719" s="72" t="s">
        <v>369</v>
      </c>
      <c r="D719" t="s">
        <v>2353</v>
      </c>
      <c r="E719" t="s">
        <v>2342</v>
      </c>
      <c r="F719" s="73" t="s">
        <v>2351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75">
        <v>45715</v>
      </c>
      <c r="O719" s="75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2282</v>
      </c>
      <c r="B720" s="73" t="str">
        <f>IFERROR(VLOOKUP(Proc[[#This Row],[App]],Table2[],3,0),"open")</f>
        <v>ok</v>
      </c>
      <c r="C720" s="72" t="s">
        <v>369</v>
      </c>
      <c r="D720" t="s">
        <v>2354</v>
      </c>
      <c r="E720" t="s">
        <v>2291</v>
      </c>
      <c r="F720" s="73" t="s">
        <v>2292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75">
        <v>45715</v>
      </c>
      <c r="O720" s="75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2282</v>
      </c>
      <c r="B721" s="73" t="str">
        <f>IFERROR(VLOOKUP(Proc[[#This Row],[App]],Table2[],3,0),"open")</f>
        <v>ok</v>
      </c>
      <c r="C721" s="72" t="s">
        <v>369</v>
      </c>
      <c r="D721" t="s">
        <v>2355</v>
      </c>
      <c r="E721" t="s">
        <v>2356</v>
      </c>
      <c r="F721" s="73" t="s">
        <v>2357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75">
        <v>45715</v>
      </c>
      <c r="O721" s="75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2282</v>
      </c>
      <c r="B722" s="73" t="str">
        <f>IFERROR(VLOOKUP(Proc[[#This Row],[App]],Table2[],3,0),"open")</f>
        <v>ok</v>
      </c>
      <c r="C722" s="72" t="s">
        <v>369</v>
      </c>
      <c r="D722" t="s">
        <v>2358</v>
      </c>
      <c r="E722" t="s">
        <v>2342</v>
      </c>
      <c r="F722" s="73" t="s">
        <v>2359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75">
        <v>45715</v>
      </c>
      <c r="O722" s="75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2282</v>
      </c>
      <c r="B723" s="73" t="str">
        <f>IFERROR(VLOOKUP(Proc[[#This Row],[App]],Table2[],3,0),"open")</f>
        <v>ok</v>
      </c>
      <c r="C723" s="72" t="s">
        <v>369</v>
      </c>
      <c r="D723" t="s">
        <v>2360</v>
      </c>
      <c r="E723" t="s">
        <v>2342</v>
      </c>
      <c r="F723" s="73" t="s">
        <v>2359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75">
        <v>45715</v>
      </c>
      <c r="O723" s="75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2282</v>
      </c>
      <c r="B724" s="73" t="str">
        <f>IFERROR(VLOOKUP(Proc[[#This Row],[App]],Table2[],3,0),"open")</f>
        <v>ok</v>
      </c>
      <c r="C724" s="72" t="s">
        <v>369</v>
      </c>
      <c r="D724" t="s">
        <v>2361</v>
      </c>
      <c r="E724" t="s">
        <v>2362</v>
      </c>
      <c r="F724" s="73" t="s">
        <v>2363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75">
        <v>45715</v>
      </c>
      <c r="O724" s="75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2390</v>
      </c>
      <c r="B725" s="73" t="str">
        <f>IFERROR(VLOOKUP(Proc[[#This Row],[App]],Table2[],3,0),"open")</f>
        <v>ok</v>
      </c>
      <c r="C725" s="72" t="s">
        <v>369</v>
      </c>
      <c r="D725" t="s">
        <v>2364</v>
      </c>
      <c r="E725" t="s">
        <v>2365</v>
      </c>
      <c r="F725" s="73" t="s">
        <v>2366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75">
        <v>45715</v>
      </c>
      <c r="O725" s="75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2390</v>
      </c>
      <c r="B726" s="73" t="str">
        <f>IFERROR(VLOOKUP(Proc[[#This Row],[App]],Table2[],3,0),"open")</f>
        <v>ok</v>
      </c>
      <c r="C726" s="72" t="s">
        <v>369</v>
      </c>
      <c r="D726" t="s">
        <v>2367</v>
      </c>
      <c r="E726" t="s">
        <v>2365</v>
      </c>
      <c r="F726" s="73" t="s">
        <v>2366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75">
        <v>45715</v>
      </c>
      <c r="O726" s="75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2390</v>
      </c>
      <c r="B727" s="73" t="str">
        <f>IFERROR(VLOOKUP(Proc[[#This Row],[App]],Table2[],3,0),"open")</f>
        <v>ok</v>
      </c>
      <c r="C727" s="72" t="s">
        <v>369</v>
      </c>
      <c r="D727" t="s">
        <v>2368</v>
      </c>
      <c r="E727" t="s">
        <v>2365</v>
      </c>
      <c r="F727" s="73" t="s">
        <v>2369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75">
        <v>45715</v>
      </c>
      <c r="O727" s="75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2390</v>
      </c>
      <c r="B728" s="73" t="str">
        <f>IFERROR(VLOOKUP(Proc[[#This Row],[App]],Table2[],3,0),"open")</f>
        <v>ok</v>
      </c>
      <c r="C728" s="72" t="s">
        <v>369</v>
      </c>
      <c r="D728" t="s">
        <v>2370</v>
      </c>
      <c r="E728" t="s">
        <v>2365</v>
      </c>
      <c r="F728" s="73" t="s">
        <v>2371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75">
        <v>45715</v>
      </c>
      <c r="O728" s="75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2390</v>
      </c>
      <c r="B729" s="73" t="str">
        <f>IFERROR(VLOOKUP(Proc[[#This Row],[App]],Table2[],3,0),"open")</f>
        <v>ok</v>
      </c>
      <c r="C729" s="72" t="s">
        <v>369</v>
      </c>
      <c r="D729" t="s">
        <v>2372</v>
      </c>
      <c r="E729" t="s">
        <v>2365</v>
      </c>
      <c r="F729" s="73" t="s">
        <v>2373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75">
        <v>45715</v>
      </c>
      <c r="O729" s="75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2390</v>
      </c>
      <c r="B730" s="73" t="str">
        <f>IFERROR(VLOOKUP(Proc[[#This Row],[App]],Table2[],3,0),"open")</f>
        <v>ok</v>
      </c>
      <c r="C730" s="72" t="s">
        <v>369</v>
      </c>
      <c r="D730" t="s">
        <v>2374</v>
      </c>
      <c r="E730" t="s">
        <v>2365</v>
      </c>
      <c r="F730" s="73" t="s">
        <v>2375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75">
        <v>45715</v>
      </c>
      <c r="O730" s="75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2390</v>
      </c>
      <c r="B731" s="73" t="str">
        <f>IFERROR(VLOOKUP(Proc[[#This Row],[App]],Table2[],3,0),"open")</f>
        <v>ok</v>
      </c>
      <c r="C731" s="72" t="s">
        <v>369</v>
      </c>
      <c r="D731" t="s">
        <v>2376</v>
      </c>
      <c r="E731" t="s">
        <v>2365</v>
      </c>
      <c r="F731" s="73" t="s">
        <v>2377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75">
        <v>45715</v>
      </c>
      <c r="O731" s="75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2390</v>
      </c>
      <c r="B732" s="73" t="str">
        <f>IFERROR(VLOOKUP(Proc[[#This Row],[App]],Table2[],3,0),"open")</f>
        <v>ok</v>
      </c>
      <c r="C732" s="72" t="s">
        <v>369</v>
      </c>
      <c r="D732" t="s">
        <v>2378</v>
      </c>
      <c r="E732" t="s">
        <v>2365</v>
      </c>
      <c r="F732" s="73" t="s">
        <v>2379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75">
        <v>45715</v>
      </c>
      <c r="O732" s="75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2390</v>
      </c>
      <c r="B733" s="73" t="str">
        <f>IFERROR(VLOOKUP(Proc[[#This Row],[App]],Table2[],3,0),"open")</f>
        <v>ok</v>
      </c>
      <c r="C733" s="72" t="s">
        <v>369</v>
      </c>
      <c r="D733" t="s">
        <v>2380</v>
      </c>
      <c r="E733" t="s">
        <v>2365</v>
      </c>
      <c r="F733" s="73" t="s">
        <v>2381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75">
        <v>45715</v>
      </c>
      <c r="O733" s="75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2390</v>
      </c>
      <c r="B734" s="73" t="str">
        <f>IFERROR(VLOOKUP(Proc[[#This Row],[App]],Table2[],3,0),"open")</f>
        <v>ok</v>
      </c>
      <c r="C734" s="72" t="s">
        <v>369</v>
      </c>
      <c r="D734" t="s">
        <v>2382</v>
      </c>
      <c r="E734" t="s">
        <v>2365</v>
      </c>
      <c r="F734" s="73" t="s">
        <v>2383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75">
        <v>45715</v>
      </c>
      <c r="O734" s="75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2390</v>
      </c>
      <c r="B735" s="73" t="str">
        <f>IFERROR(VLOOKUP(Proc[[#This Row],[App]],Table2[],3,0),"open")</f>
        <v>ok</v>
      </c>
      <c r="C735" s="72" t="s">
        <v>369</v>
      </c>
      <c r="D735" t="s">
        <v>2384</v>
      </c>
      <c r="E735" t="s">
        <v>2365</v>
      </c>
      <c r="F735" s="73" t="s">
        <v>2375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75">
        <v>45715</v>
      </c>
      <c r="O735" s="75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2390</v>
      </c>
      <c r="B736" s="73" t="str">
        <f>IFERROR(VLOOKUP(Proc[[#This Row],[App]],Table2[],3,0),"open")</f>
        <v>ok</v>
      </c>
      <c r="C736" s="72" t="s">
        <v>369</v>
      </c>
      <c r="D736" t="s">
        <v>2385</v>
      </c>
      <c r="E736" t="s">
        <v>2365</v>
      </c>
      <c r="F736" s="73" t="s">
        <v>2375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75">
        <v>45715</v>
      </c>
      <c r="O736" s="75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2390</v>
      </c>
      <c r="B737" s="73" t="str">
        <f>IFERROR(VLOOKUP(Proc[[#This Row],[App]],Table2[],3,0),"open")</f>
        <v>ok</v>
      </c>
      <c r="C737" s="72" t="s">
        <v>369</v>
      </c>
      <c r="D737" t="s">
        <v>2386</v>
      </c>
      <c r="E737" t="s">
        <v>2387</v>
      </c>
      <c r="F737" s="73" t="s">
        <v>2388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75">
        <v>45715</v>
      </c>
      <c r="O737" s="75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2390</v>
      </c>
      <c r="B738" s="73" t="str">
        <f>IFERROR(VLOOKUP(Proc[[#This Row],[App]],Table2[],3,0),"open")</f>
        <v>ok</v>
      </c>
      <c r="C738" s="72" t="s">
        <v>369</v>
      </c>
      <c r="D738" t="s">
        <v>2389</v>
      </c>
      <c r="E738" t="s">
        <v>2387</v>
      </c>
      <c r="F738" s="73" t="s">
        <v>2388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75">
        <v>45715</v>
      </c>
      <c r="O738" s="75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2411</v>
      </c>
      <c r="B739" s="73" t="str">
        <f>IFERROR(VLOOKUP(Proc[[#This Row],[App]],Table2[],3,0),"open")</f>
        <v>ok</v>
      </c>
      <c r="C739" t="s">
        <v>369</v>
      </c>
      <c r="D739" t="s">
        <v>2391</v>
      </c>
      <c r="E739" t="s">
        <v>2392</v>
      </c>
      <c r="F739" s="73" t="s">
        <v>2412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75">
        <v>45715</v>
      </c>
      <c r="O739" s="75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1003</v>
      </c>
      <c r="S739" s="73"/>
    </row>
    <row r="740" spans="1:19" hidden="1">
      <c r="A740" s="72" t="s">
        <v>2411</v>
      </c>
      <c r="B740" s="73" t="str">
        <f>IFERROR(VLOOKUP(Proc[[#This Row],[App]],Table2[],3,0),"open")</f>
        <v>ok</v>
      </c>
      <c r="C740" s="72" t="s">
        <v>369</v>
      </c>
      <c r="D740" t="s">
        <v>2393</v>
      </c>
      <c r="E740" t="s">
        <v>2392</v>
      </c>
      <c r="F740" s="73" t="s">
        <v>2412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75">
        <v>45715</v>
      </c>
      <c r="O740" s="75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1003</v>
      </c>
      <c r="S740" s="73"/>
    </row>
    <row r="741" spans="1:19" hidden="1">
      <c r="A741" s="72" t="s">
        <v>2411</v>
      </c>
      <c r="B741" s="73" t="str">
        <f>IFERROR(VLOOKUP(Proc[[#This Row],[App]],Table2[],3,0),"open")</f>
        <v>ok</v>
      </c>
      <c r="C741" s="72" t="s">
        <v>369</v>
      </c>
      <c r="D741" t="s">
        <v>2393</v>
      </c>
      <c r="E741" t="s">
        <v>2392</v>
      </c>
      <c r="F741" s="73" t="s">
        <v>2412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75">
        <v>45715</v>
      </c>
      <c r="O741" s="75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1003</v>
      </c>
      <c r="S741" s="73"/>
    </row>
    <row r="742" spans="1:19" hidden="1">
      <c r="A742" s="72" t="s">
        <v>2411</v>
      </c>
      <c r="B742" s="73" t="str">
        <f>IFERROR(VLOOKUP(Proc[[#This Row],[App]],Table2[],3,0),"open")</f>
        <v>ok</v>
      </c>
      <c r="C742" t="s">
        <v>369</v>
      </c>
      <c r="D742" t="s">
        <v>2394</v>
      </c>
      <c r="E742" t="s">
        <v>1285</v>
      </c>
      <c r="F742" s="73" t="s">
        <v>1087</v>
      </c>
      <c r="G742" s="72" t="s">
        <v>400</v>
      </c>
      <c r="H742" s="73" t="str">
        <f>IF(Proc[[#This Row],[type]]="LFF (MDG-F)",MID(Proc[[#This Row],[Obj]],13,10),"")</f>
        <v/>
      </c>
      <c r="I742" t="s">
        <v>1250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75">
        <v>45715</v>
      </c>
      <c r="O742" s="75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1003</v>
      </c>
      <c r="S742" s="73"/>
    </row>
    <row r="743" spans="1:19" hidden="1">
      <c r="A743" s="72" t="s">
        <v>2411</v>
      </c>
      <c r="B743" s="73" t="str">
        <f>IFERROR(VLOOKUP(Proc[[#This Row],[App]],Table2[],3,0),"open")</f>
        <v>ok</v>
      </c>
      <c r="C743" s="72" t="s">
        <v>369</v>
      </c>
      <c r="D743" t="s">
        <v>2395</v>
      </c>
      <c r="E743" t="s">
        <v>1285</v>
      </c>
      <c r="F743" s="73" t="s">
        <v>1316</v>
      </c>
      <c r="G743" s="72" t="s">
        <v>400</v>
      </c>
      <c r="H743" s="73" t="str">
        <f>IF(Proc[[#This Row],[type]]="LFF (MDG-F)",MID(Proc[[#This Row],[Obj]],13,10),"")</f>
        <v/>
      </c>
      <c r="I743" s="72" t="s">
        <v>1250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75">
        <v>45715</v>
      </c>
      <c r="O743" s="75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1003</v>
      </c>
      <c r="S743" s="73"/>
    </row>
    <row r="744" spans="1:19" hidden="1">
      <c r="A744" s="72" t="s">
        <v>2411</v>
      </c>
      <c r="B744" s="73" t="str">
        <f>IFERROR(VLOOKUP(Proc[[#This Row],[App]],Table2[],3,0),"open")</f>
        <v>ok</v>
      </c>
      <c r="C744" s="72" t="s">
        <v>369</v>
      </c>
      <c r="D744" t="s">
        <v>2396</v>
      </c>
      <c r="E744" t="s">
        <v>1285</v>
      </c>
      <c r="F744" s="73" t="s">
        <v>2413</v>
      </c>
      <c r="G744" s="72" t="s">
        <v>400</v>
      </c>
      <c r="H744" s="73" t="str">
        <f>IF(Proc[[#This Row],[type]]="LFF (MDG-F)",MID(Proc[[#This Row],[Obj]],13,10),"")</f>
        <v/>
      </c>
      <c r="I744" s="72" t="s">
        <v>1250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75">
        <v>45715</v>
      </c>
      <c r="O744" s="75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1003</v>
      </c>
      <c r="S744" s="73"/>
    </row>
    <row r="745" spans="1:19" hidden="1">
      <c r="A745" s="72" t="s">
        <v>2411</v>
      </c>
      <c r="B745" s="73" t="str">
        <f>IFERROR(VLOOKUP(Proc[[#This Row],[App]],Table2[],3,0),"open")</f>
        <v>ok</v>
      </c>
      <c r="C745" t="s">
        <v>369</v>
      </c>
      <c r="D745" t="s">
        <v>2397</v>
      </c>
      <c r="E745" t="s">
        <v>2398</v>
      </c>
      <c r="F745" s="73" t="s">
        <v>1316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75">
        <v>45715</v>
      </c>
      <c r="O745" s="75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1003</v>
      </c>
      <c r="S745" s="73"/>
    </row>
    <row r="746" spans="1:19" hidden="1">
      <c r="A746" s="72" t="s">
        <v>2411</v>
      </c>
      <c r="B746" s="73" t="str">
        <f>IFERROR(VLOOKUP(Proc[[#This Row],[App]],Table2[],3,0),"open")</f>
        <v>ok</v>
      </c>
      <c r="C746" s="72" t="s">
        <v>369</v>
      </c>
      <c r="D746" t="s">
        <v>2399</v>
      </c>
      <c r="E746" t="s">
        <v>2400</v>
      </c>
      <c r="F746" s="73" t="s">
        <v>2414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75">
        <v>45715</v>
      </c>
      <c r="O746" s="75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1003</v>
      </c>
      <c r="S746" s="73"/>
    </row>
    <row r="747" spans="1:19" hidden="1">
      <c r="A747" s="72" t="s">
        <v>2411</v>
      </c>
      <c r="B747" s="73" t="str">
        <f>IFERROR(VLOOKUP(Proc[[#This Row],[App]],Table2[],3,0),"open")</f>
        <v>ok</v>
      </c>
      <c r="C747" s="72" t="s">
        <v>369</v>
      </c>
      <c r="D747" t="s">
        <v>2401</v>
      </c>
      <c r="E747" t="s">
        <v>680</v>
      </c>
      <c r="F747" s="73" t="s">
        <v>1316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75">
        <v>45715</v>
      </c>
      <c r="O747" s="75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1003</v>
      </c>
      <c r="S747" s="73"/>
    </row>
    <row r="748" spans="1:19" hidden="1">
      <c r="A748" s="72" t="s">
        <v>2411</v>
      </c>
      <c r="B748" s="73" t="str">
        <f>IFERROR(VLOOKUP(Proc[[#This Row],[App]],Table2[],3,0),"open")</f>
        <v>ok</v>
      </c>
      <c r="C748" s="72" t="s">
        <v>369</v>
      </c>
      <c r="D748" t="s">
        <v>2402</v>
      </c>
      <c r="E748" t="s">
        <v>680</v>
      </c>
      <c r="F748" s="73" t="s">
        <v>2415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75">
        <v>45715</v>
      </c>
      <c r="O748" s="75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1003</v>
      </c>
      <c r="S748" s="73"/>
    </row>
    <row r="749" spans="1:19" hidden="1">
      <c r="A749" s="72" t="s">
        <v>2411</v>
      </c>
      <c r="B749" s="73" t="str">
        <f>IFERROR(VLOOKUP(Proc[[#This Row],[App]],Table2[],3,0),"open")</f>
        <v>ok</v>
      </c>
      <c r="C749" s="72" t="s">
        <v>369</v>
      </c>
      <c r="D749" t="s">
        <v>2403</v>
      </c>
      <c r="E749" t="s">
        <v>680</v>
      </c>
      <c r="F749" s="73" t="s">
        <v>1316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75">
        <v>45715</v>
      </c>
      <c r="O749" s="75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1003</v>
      </c>
      <c r="S749" s="73"/>
    </row>
    <row r="750" spans="1:19" hidden="1">
      <c r="A750" s="72" t="s">
        <v>2411</v>
      </c>
      <c r="B750" s="73" t="str">
        <f>IFERROR(VLOOKUP(Proc[[#This Row],[App]],Table2[],3,0),"open")</f>
        <v>ok</v>
      </c>
      <c r="C750" s="72" t="s">
        <v>369</v>
      </c>
      <c r="D750" t="s">
        <v>2404</v>
      </c>
      <c r="E750" t="s">
        <v>2405</v>
      </c>
      <c r="F750" s="73" t="s">
        <v>2416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75">
        <v>45715</v>
      </c>
      <c r="O750" s="75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1003</v>
      </c>
      <c r="S750" s="73"/>
    </row>
    <row r="751" spans="1:19" hidden="1">
      <c r="A751" s="72" t="s">
        <v>2411</v>
      </c>
      <c r="B751" s="73" t="str">
        <f>IFERROR(VLOOKUP(Proc[[#This Row],[App]],Table2[],3,0),"open")</f>
        <v>ok</v>
      </c>
      <c r="C751" s="72" t="s">
        <v>369</v>
      </c>
      <c r="D751" t="s">
        <v>2406</v>
      </c>
      <c r="E751" t="s">
        <v>2407</v>
      </c>
      <c r="F751" s="73" t="s">
        <v>1316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75">
        <v>45715</v>
      </c>
      <c r="O751" s="75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1003</v>
      </c>
      <c r="S751" s="73"/>
    </row>
    <row r="752" spans="1:19" hidden="1">
      <c r="A752" s="72" t="s">
        <v>2411</v>
      </c>
      <c r="B752" s="73" t="str">
        <f>IFERROR(VLOOKUP(Proc[[#This Row],[App]],Table2[],3,0),"open")</f>
        <v>ok</v>
      </c>
      <c r="C752" s="72" t="s">
        <v>369</v>
      </c>
      <c r="D752" t="s">
        <v>2408</v>
      </c>
      <c r="E752" t="s">
        <v>2407</v>
      </c>
      <c r="F752" s="73" t="s">
        <v>2417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75">
        <v>45715</v>
      </c>
      <c r="O752" s="75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1003</v>
      </c>
      <c r="S752" s="73"/>
    </row>
    <row r="753" spans="1:19" hidden="1">
      <c r="A753" s="72" t="s">
        <v>2411</v>
      </c>
      <c r="B753" s="73" t="str">
        <f>IFERROR(VLOOKUP(Proc[[#This Row],[App]],Table2[],3,0),"open")</f>
        <v>ok</v>
      </c>
      <c r="C753" s="72" t="s">
        <v>369</v>
      </c>
      <c r="D753" t="s">
        <v>2409</v>
      </c>
      <c r="E753" t="s">
        <v>2410</v>
      </c>
      <c r="F753" s="73" t="s">
        <v>1316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75">
        <v>45715</v>
      </c>
      <c r="O753" s="75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1003</v>
      </c>
      <c r="S753" s="73"/>
    </row>
    <row r="754" spans="1:19" hidden="1">
      <c r="A754" t="s">
        <v>2418</v>
      </c>
      <c r="B754" s="73" t="str">
        <f>IFERROR(VLOOKUP(Proc[[#This Row],[App]],Table2[],3,0),"open")</f>
        <v>ok</v>
      </c>
      <c r="C754" t="s">
        <v>369</v>
      </c>
      <c r="D754" t="s">
        <v>2419</v>
      </c>
      <c r="E754" t="s">
        <v>2420</v>
      </c>
      <c r="F754" s="73" t="s">
        <v>2412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75">
        <v>45716</v>
      </c>
      <c r="O754" s="75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1003</v>
      </c>
      <c r="S754" s="73"/>
    </row>
    <row r="755" spans="1:19" hidden="1">
      <c r="A755" t="s">
        <v>2421</v>
      </c>
      <c r="B755" s="73" t="str">
        <f>IFERROR(VLOOKUP(Proc[[#This Row],[App]],Table2[],3,0),"open")</f>
        <v>ok</v>
      </c>
      <c r="C755" s="72" t="s">
        <v>369</v>
      </c>
      <c r="D755" t="s">
        <v>2437</v>
      </c>
      <c r="E755" t="s">
        <v>547</v>
      </c>
      <c r="F755" s="73" t="s">
        <v>1757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75">
        <v>45716</v>
      </c>
      <c r="O755" s="75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1003</v>
      </c>
      <c r="S755" s="73"/>
    </row>
    <row r="756" spans="1:19" hidden="1">
      <c r="A756" s="72" t="s">
        <v>2421</v>
      </c>
      <c r="B756" s="73" t="str">
        <f>IFERROR(VLOOKUP(Proc[[#This Row],[App]],Table2[],3,0),"open")</f>
        <v>ok</v>
      </c>
      <c r="C756" s="72" t="s">
        <v>369</v>
      </c>
      <c r="D756" t="s">
        <v>2423</v>
      </c>
      <c r="E756" t="s">
        <v>2425</v>
      </c>
      <c r="F756" s="73" t="s">
        <v>2427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75">
        <v>45716</v>
      </c>
      <c r="O756" s="75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1003</v>
      </c>
      <c r="S756" s="73"/>
    </row>
    <row r="757" spans="1:19" hidden="1">
      <c r="A757" s="72" t="s">
        <v>2421</v>
      </c>
      <c r="B757" s="73" t="str">
        <f>IFERROR(VLOOKUP(Proc[[#This Row],[App]],Table2[],3,0),"open")</f>
        <v>ok</v>
      </c>
      <c r="C757" s="72" t="s">
        <v>369</v>
      </c>
      <c r="D757" t="s">
        <v>2424</v>
      </c>
      <c r="E757" t="s">
        <v>2426</v>
      </c>
      <c r="F757" s="73" t="s">
        <v>2427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75">
        <v>45716</v>
      </c>
      <c r="O757" s="75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1003</v>
      </c>
      <c r="S757" s="73"/>
    </row>
    <row r="758" spans="1:19" hidden="1">
      <c r="A758" s="72" t="s">
        <v>2421</v>
      </c>
      <c r="B758" s="73" t="str">
        <f>IFERROR(VLOOKUP(Proc[[#This Row],[App]],Table2[],3,0),"open")</f>
        <v>ok</v>
      </c>
      <c r="C758" s="72" t="s">
        <v>369</v>
      </c>
      <c r="D758" t="s">
        <v>2422</v>
      </c>
      <c r="E758" t="s">
        <v>2425</v>
      </c>
      <c r="F758" s="73" t="s">
        <v>2428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75">
        <v>45716</v>
      </c>
      <c r="O758" s="75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1003</v>
      </c>
      <c r="S758" s="73"/>
    </row>
    <row r="759" spans="1:19" hidden="1">
      <c r="A759" t="s">
        <v>2432</v>
      </c>
      <c r="B759" s="73" t="str">
        <f>IFERROR(VLOOKUP(Proc[[#This Row],[App]],Table2[],3,0),"open")</f>
        <v>ok</v>
      </c>
      <c r="C759" s="72" t="s">
        <v>369</v>
      </c>
      <c r="D759" s="72" t="s">
        <v>2429</v>
      </c>
      <c r="E759" t="s">
        <v>2430</v>
      </c>
      <c r="F759" s="73" t="s">
        <v>2431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75">
        <v>45716</v>
      </c>
      <c r="O759" s="75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2433</v>
      </c>
      <c r="B760" s="73" t="str">
        <f>IFERROR(VLOOKUP(Proc[[#This Row],[App]],Table2[],3,0),"open")</f>
        <v>ok</v>
      </c>
      <c r="C760" s="72" t="s">
        <v>369</v>
      </c>
      <c r="D760" t="s">
        <v>2434</v>
      </c>
      <c r="E760" t="s">
        <v>2436</v>
      </c>
      <c r="F760" s="73" t="s">
        <v>2435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75">
        <v>45716</v>
      </c>
      <c r="O760" s="75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1112</v>
      </c>
      <c r="S760" s="73"/>
    </row>
    <row r="761" spans="1:19" hidden="1">
      <c r="A761" t="s">
        <v>2441</v>
      </c>
      <c r="B761" s="73" t="str">
        <f>IFERROR(VLOOKUP(Proc[[#This Row],[App]],Table2[],3,0),"open")</f>
        <v>ok</v>
      </c>
      <c r="C761" s="72" t="s">
        <v>369</v>
      </c>
      <c r="D761" t="s">
        <v>2438</v>
      </c>
      <c r="E761" t="s">
        <v>414</v>
      </c>
      <c r="F761" s="73" t="s">
        <v>2440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75">
        <v>45716</v>
      </c>
      <c r="O761" s="75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2441</v>
      </c>
      <c r="B762" s="73" t="str">
        <f>IFERROR(VLOOKUP(Proc[[#This Row],[App]],Table2[],3,0),"open")</f>
        <v>ok</v>
      </c>
      <c r="C762" s="72" t="s">
        <v>369</v>
      </c>
      <c r="D762" t="s">
        <v>2439</v>
      </c>
      <c r="E762" t="s">
        <v>414</v>
      </c>
      <c r="F762" s="73" t="s">
        <v>2440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75">
        <v>45716</v>
      </c>
      <c r="O762" s="75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2442</v>
      </c>
      <c r="B763" s="73" t="str">
        <f>IFERROR(VLOOKUP(Proc[[#This Row],[App]],Table2[],3,0),"open")</f>
        <v>ok</v>
      </c>
      <c r="C763" t="s">
        <v>369</v>
      </c>
      <c r="D763" t="s">
        <v>2443</v>
      </c>
      <c r="E763" t="s">
        <v>2445</v>
      </c>
      <c r="F763" s="73" t="s">
        <v>2444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75">
        <v>45719</v>
      </c>
      <c r="O763" s="75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1112</v>
      </c>
      <c r="S763" s="73"/>
    </row>
    <row r="764" spans="1:19" hidden="1">
      <c r="A764" t="s">
        <v>2470</v>
      </c>
      <c r="B764" s="73" t="str">
        <f>IFERROR(VLOOKUP(Proc[[#This Row],[App]],Table2[],3,0),"open")</f>
        <v>ok</v>
      </c>
      <c r="C764" t="s">
        <v>369</v>
      </c>
      <c r="D764" t="s">
        <v>2447</v>
      </c>
      <c r="E764" t="s">
        <v>2448</v>
      </c>
      <c r="F764" s="73" t="s">
        <v>2471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75">
        <v>45721</v>
      </c>
      <c r="O764" s="75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1044</v>
      </c>
      <c r="S764" s="73"/>
    </row>
    <row r="765" spans="1:19" hidden="1">
      <c r="A765" s="72" t="s">
        <v>2470</v>
      </c>
      <c r="B765" s="73" t="str">
        <f>IFERROR(VLOOKUP(Proc[[#This Row],[App]],Table2[],3,0),"open")</f>
        <v>ok</v>
      </c>
      <c r="C765" s="72" t="s">
        <v>369</v>
      </c>
      <c r="D765" t="s">
        <v>2449</v>
      </c>
      <c r="E765" t="s">
        <v>2450</v>
      </c>
      <c r="F765" s="73" t="s">
        <v>2472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75">
        <v>45721</v>
      </c>
      <c r="O765" s="75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1044</v>
      </c>
      <c r="S765" s="73"/>
    </row>
    <row r="766" spans="1:19" hidden="1">
      <c r="A766" s="72" t="s">
        <v>2470</v>
      </c>
      <c r="B766" s="73" t="str">
        <f>IFERROR(VLOOKUP(Proc[[#This Row],[App]],Table2[],3,0),"open")</f>
        <v>ok</v>
      </c>
      <c r="C766" s="72" t="s">
        <v>369</v>
      </c>
      <c r="D766" t="s">
        <v>2451</v>
      </c>
      <c r="E766" t="s">
        <v>2450</v>
      </c>
      <c r="F766" s="73" t="s">
        <v>2472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75">
        <v>45721</v>
      </c>
      <c r="O766" s="75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1044</v>
      </c>
      <c r="S766" s="73"/>
    </row>
    <row r="767" spans="1:19" hidden="1">
      <c r="A767" s="72" t="s">
        <v>2470</v>
      </c>
      <c r="B767" s="73" t="str">
        <f>IFERROR(VLOOKUP(Proc[[#This Row],[App]],Table2[],3,0),"open")</f>
        <v>ok</v>
      </c>
      <c r="C767" s="72" t="s">
        <v>369</v>
      </c>
      <c r="D767" t="s">
        <v>2452</v>
      </c>
      <c r="E767" t="s">
        <v>2450</v>
      </c>
      <c r="F767" s="73" t="s">
        <v>2472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75">
        <v>45721</v>
      </c>
      <c r="O767" s="75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1044</v>
      </c>
      <c r="S767" s="73"/>
    </row>
    <row r="768" spans="1:19" hidden="1">
      <c r="A768" s="72" t="s">
        <v>2470</v>
      </c>
      <c r="B768" s="73" t="str">
        <f>IFERROR(VLOOKUP(Proc[[#This Row],[App]],Table2[],3,0),"open")</f>
        <v>ok</v>
      </c>
      <c r="C768" s="72" t="s">
        <v>369</v>
      </c>
      <c r="D768" t="s">
        <v>2453</v>
      </c>
      <c r="E768" t="s">
        <v>2450</v>
      </c>
      <c r="F768" s="73" t="s">
        <v>2472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75">
        <v>45721</v>
      </c>
      <c r="O768" s="75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1044</v>
      </c>
      <c r="S768" s="73"/>
    </row>
    <row r="769" spans="1:19" hidden="1">
      <c r="A769" s="72" t="s">
        <v>2470</v>
      </c>
      <c r="B769" s="73" t="str">
        <f>IFERROR(VLOOKUP(Proc[[#This Row],[App]],Table2[],3,0),"open")</f>
        <v>ok</v>
      </c>
      <c r="C769" s="72" t="s">
        <v>369</v>
      </c>
      <c r="D769" t="s">
        <v>2454</v>
      </c>
      <c r="E769" t="s">
        <v>2450</v>
      </c>
      <c r="F769" s="73" t="s">
        <v>2472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75">
        <v>45721</v>
      </c>
      <c r="O769" s="75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1044</v>
      </c>
      <c r="S769" s="73"/>
    </row>
    <row r="770" spans="1:19" hidden="1">
      <c r="A770" s="72" t="s">
        <v>2470</v>
      </c>
      <c r="B770" s="73" t="str">
        <f>IFERROR(VLOOKUP(Proc[[#This Row],[App]],Table2[],3,0),"open")</f>
        <v>ok</v>
      </c>
      <c r="C770" s="72" t="s">
        <v>369</v>
      </c>
      <c r="D770" t="s">
        <v>2455</v>
      </c>
      <c r="E770" t="s">
        <v>2450</v>
      </c>
      <c r="F770" s="73" t="s">
        <v>2472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75">
        <v>45721</v>
      </c>
      <c r="O770" s="75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1044</v>
      </c>
      <c r="S770" s="73"/>
    </row>
    <row r="771" spans="1:19" hidden="1">
      <c r="A771" s="72" t="s">
        <v>2470</v>
      </c>
      <c r="B771" s="73" t="str">
        <f>IFERROR(VLOOKUP(Proc[[#This Row],[App]],Table2[],3,0),"open")</f>
        <v>ok</v>
      </c>
      <c r="C771" s="72" t="s">
        <v>369</v>
      </c>
      <c r="D771" t="s">
        <v>2456</v>
      </c>
      <c r="E771" t="s">
        <v>2450</v>
      </c>
      <c r="F771" s="73" t="s">
        <v>2472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75">
        <v>45721</v>
      </c>
      <c r="O771" s="75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1044</v>
      </c>
      <c r="S771" s="73"/>
    </row>
    <row r="772" spans="1:19" hidden="1">
      <c r="A772" s="72" t="s">
        <v>2470</v>
      </c>
      <c r="B772" s="73" t="str">
        <f>IFERROR(VLOOKUP(Proc[[#This Row],[App]],Table2[],3,0),"open")</f>
        <v>ok</v>
      </c>
      <c r="C772" s="72" t="s">
        <v>369</v>
      </c>
      <c r="D772" t="s">
        <v>2457</v>
      </c>
      <c r="E772" t="s">
        <v>2450</v>
      </c>
      <c r="F772" s="73" t="s">
        <v>2472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75">
        <v>45721</v>
      </c>
      <c r="O772" s="75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1044</v>
      </c>
      <c r="S772" s="73"/>
    </row>
    <row r="773" spans="1:19" hidden="1">
      <c r="A773" s="72" t="s">
        <v>2470</v>
      </c>
      <c r="B773" s="73" t="str">
        <f>IFERROR(VLOOKUP(Proc[[#This Row],[App]],Table2[],3,0),"open")</f>
        <v>ok</v>
      </c>
      <c r="C773" s="72" t="s">
        <v>369</v>
      </c>
      <c r="D773" t="s">
        <v>2458</v>
      </c>
      <c r="E773" t="s">
        <v>2450</v>
      </c>
      <c r="F773" s="73" t="s">
        <v>2472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75">
        <v>45721</v>
      </c>
      <c r="O773" s="75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1044</v>
      </c>
      <c r="S773" s="73"/>
    </row>
    <row r="774" spans="1:19" hidden="1">
      <c r="A774" s="72" t="s">
        <v>2470</v>
      </c>
      <c r="B774" s="73" t="str">
        <f>IFERROR(VLOOKUP(Proc[[#This Row],[App]],Table2[],3,0),"open")</f>
        <v>ok</v>
      </c>
      <c r="C774" s="72" t="s">
        <v>369</v>
      </c>
      <c r="D774" t="s">
        <v>2459</v>
      </c>
      <c r="E774" t="s">
        <v>2450</v>
      </c>
      <c r="F774" s="73" t="s">
        <v>2472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75">
        <v>45721</v>
      </c>
      <c r="O774" s="75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1044</v>
      </c>
      <c r="S774" s="73"/>
    </row>
    <row r="775" spans="1:19" hidden="1">
      <c r="A775" s="72" t="s">
        <v>2470</v>
      </c>
      <c r="B775" s="73" t="str">
        <f>IFERROR(VLOOKUP(Proc[[#This Row],[App]],Table2[],3,0),"open")</f>
        <v>ok</v>
      </c>
      <c r="C775" s="72" t="s">
        <v>369</v>
      </c>
      <c r="D775" t="s">
        <v>2460</v>
      </c>
      <c r="E775" t="s">
        <v>2450</v>
      </c>
      <c r="F775" s="73" t="s">
        <v>2472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75">
        <v>45721</v>
      </c>
      <c r="O775" s="75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1044</v>
      </c>
      <c r="S775" s="73"/>
    </row>
    <row r="776" spans="1:19" hidden="1">
      <c r="A776" s="72" t="s">
        <v>2470</v>
      </c>
      <c r="B776" s="73" t="str">
        <f>IFERROR(VLOOKUP(Proc[[#This Row],[App]],Table2[],3,0),"open")</f>
        <v>ok</v>
      </c>
      <c r="C776" s="72" t="s">
        <v>369</v>
      </c>
      <c r="D776" t="s">
        <v>2461</v>
      </c>
      <c r="E776" t="s">
        <v>2450</v>
      </c>
      <c r="F776" s="73" t="s">
        <v>2472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75">
        <v>45721</v>
      </c>
      <c r="O776" s="75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1044</v>
      </c>
      <c r="S776" s="73"/>
    </row>
    <row r="777" spans="1:19" hidden="1">
      <c r="A777" s="72" t="s">
        <v>2470</v>
      </c>
      <c r="B777" s="73" t="str">
        <f>IFERROR(VLOOKUP(Proc[[#This Row],[App]],Table2[],3,0),"open")</f>
        <v>ok</v>
      </c>
      <c r="C777" s="72" t="s">
        <v>369</v>
      </c>
      <c r="D777" t="s">
        <v>2462</v>
      </c>
      <c r="E777" t="s">
        <v>2450</v>
      </c>
      <c r="F777" s="73" t="s">
        <v>2472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75">
        <v>45721</v>
      </c>
      <c r="O777" s="75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1044</v>
      </c>
      <c r="S777" s="73"/>
    </row>
    <row r="778" spans="1:19" hidden="1">
      <c r="A778" s="72" t="s">
        <v>2470</v>
      </c>
      <c r="B778" s="73" t="str">
        <f>IFERROR(VLOOKUP(Proc[[#This Row],[App]],Table2[],3,0),"open")</f>
        <v>ok</v>
      </c>
      <c r="C778" s="72" t="s">
        <v>369</v>
      </c>
      <c r="D778" t="s">
        <v>2463</v>
      </c>
      <c r="E778" t="s">
        <v>2450</v>
      </c>
      <c r="F778" s="73" t="s">
        <v>2472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75">
        <v>45721</v>
      </c>
      <c r="O778" s="75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1044</v>
      </c>
      <c r="S778" s="73"/>
    </row>
    <row r="779" spans="1:19" hidden="1">
      <c r="A779" s="72" t="s">
        <v>2470</v>
      </c>
      <c r="B779" s="73" t="str">
        <f>IFERROR(VLOOKUP(Proc[[#This Row],[App]],Table2[],3,0),"open")</f>
        <v>ok</v>
      </c>
      <c r="C779" s="72" t="s">
        <v>369</v>
      </c>
      <c r="D779" t="s">
        <v>2464</v>
      </c>
      <c r="E779" t="s">
        <v>2450</v>
      </c>
      <c r="F779" s="73" t="s">
        <v>2472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75">
        <v>45721</v>
      </c>
      <c r="O779" s="75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1044</v>
      </c>
      <c r="S779" s="73"/>
    </row>
    <row r="780" spans="1:19" hidden="1">
      <c r="A780" s="72" t="s">
        <v>2470</v>
      </c>
      <c r="B780" s="73" t="str">
        <f>IFERROR(VLOOKUP(Proc[[#This Row],[App]],Table2[],3,0),"open")</f>
        <v>ok</v>
      </c>
      <c r="C780" s="72" t="s">
        <v>369</v>
      </c>
      <c r="D780" t="s">
        <v>2465</v>
      </c>
      <c r="E780" t="s">
        <v>2450</v>
      </c>
      <c r="F780" s="73" t="s">
        <v>2472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75">
        <v>45721</v>
      </c>
      <c r="O780" s="75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1044</v>
      </c>
      <c r="S780" s="73"/>
    </row>
    <row r="781" spans="1:19" hidden="1">
      <c r="A781" s="72" t="s">
        <v>2470</v>
      </c>
      <c r="B781" s="73" t="str">
        <f>IFERROR(VLOOKUP(Proc[[#This Row],[App]],Table2[],3,0),"open")</f>
        <v>ok</v>
      </c>
      <c r="C781" s="72" t="s">
        <v>369</v>
      </c>
      <c r="D781" t="s">
        <v>2306</v>
      </c>
      <c r="E781" t="s">
        <v>2448</v>
      </c>
      <c r="F781" s="73" t="s">
        <v>2300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75">
        <v>45721</v>
      </c>
      <c r="O781" s="75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1044</v>
      </c>
      <c r="S781" s="73"/>
    </row>
    <row r="782" spans="1:19" hidden="1">
      <c r="A782" s="72" t="s">
        <v>2470</v>
      </c>
      <c r="B782" s="73" t="str">
        <f>IFERROR(VLOOKUP(Proc[[#This Row],[App]],Table2[],3,0),"open")</f>
        <v>ok</v>
      </c>
      <c r="C782" s="72" t="s">
        <v>369</v>
      </c>
      <c r="D782" t="s">
        <v>2466</v>
      </c>
      <c r="E782" t="s">
        <v>2450</v>
      </c>
      <c r="F782" s="73" t="s">
        <v>2473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75">
        <v>45721</v>
      </c>
      <c r="O782" s="75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1044</v>
      </c>
      <c r="S782" s="73"/>
    </row>
    <row r="783" spans="1:19" hidden="1">
      <c r="A783" s="72" t="s">
        <v>2470</v>
      </c>
      <c r="B783" s="73" t="str">
        <f>IFERROR(VLOOKUP(Proc[[#This Row],[App]],Table2[],3,0),"open")</f>
        <v>ok</v>
      </c>
      <c r="C783" s="72" t="s">
        <v>369</v>
      </c>
      <c r="D783" t="s">
        <v>2467</v>
      </c>
      <c r="E783" t="s">
        <v>2450</v>
      </c>
      <c r="F783" s="73" t="s">
        <v>2474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75">
        <v>45721</v>
      </c>
      <c r="O783" s="75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1044</v>
      </c>
      <c r="S783" s="73"/>
    </row>
    <row r="784" spans="1:19" hidden="1">
      <c r="A784" s="72" t="s">
        <v>2470</v>
      </c>
      <c r="B784" s="73" t="str">
        <f>IFERROR(VLOOKUP(Proc[[#This Row],[App]],Table2[],3,0),"open")</f>
        <v>ok</v>
      </c>
      <c r="C784" s="72" t="s">
        <v>369</v>
      </c>
      <c r="D784" t="s">
        <v>2468</v>
      </c>
      <c r="E784" t="s">
        <v>2450</v>
      </c>
      <c r="F784" s="73" t="s">
        <v>2475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75">
        <v>45721</v>
      </c>
      <c r="O784" s="75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1044</v>
      </c>
      <c r="S784" s="73"/>
    </row>
    <row r="785" spans="1:19" hidden="1">
      <c r="A785" s="72" t="s">
        <v>2470</v>
      </c>
      <c r="B785" s="73" t="str">
        <f>IFERROR(VLOOKUP(Proc[[#This Row],[App]],Table2[],3,0),"open")</f>
        <v>ok</v>
      </c>
      <c r="C785" s="72" t="s">
        <v>369</v>
      </c>
      <c r="D785" t="s">
        <v>2469</v>
      </c>
      <c r="E785" t="s">
        <v>2450</v>
      </c>
      <c r="F785" s="73" t="s">
        <v>2476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75">
        <v>45721</v>
      </c>
      <c r="O785" s="75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1044</v>
      </c>
      <c r="S785" s="73"/>
    </row>
    <row r="786" spans="1:19" hidden="1">
      <c r="A786" t="s">
        <v>2503</v>
      </c>
      <c r="B786" s="73" t="str">
        <f>IFERROR(VLOOKUP(Proc[[#This Row],[App]],Table2[],3,0),"open")</f>
        <v>ok</v>
      </c>
      <c r="C786" s="72" t="s">
        <v>369</v>
      </c>
      <c r="D786" t="s">
        <v>2477</v>
      </c>
      <c r="E786" t="s">
        <v>2478</v>
      </c>
      <c r="F786" s="73" t="s">
        <v>989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75">
        <v>45721</v>
      </c>
      <c r="O786" s="75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1044</v>
      </c>
      <c r="S786" s="73"/>
    </row>
    <row r="787" spans="1:19" hidden="1">
      <c r="A787" s="72" t="s">
        <v>2503</v>
      </c>
      <c r="B787" s="73" t="str">
        <f>IFERROR(VLOOKUP(Proc[[#This Row],[App]],Table2[],3,0),"open")</f>
        <v>ok</v>
      </c>
      <c r="C787" s="72" t="s">
        <v>369</v>
      </c>
      <c r="D787" t="s">
        <v>2479</v>
      </c>
      <c r="E787" t="s">
        <v>2480</v>
      </c>
      <c r="F787" s="73" t="s">
        <v>2481</v>
      </c>
      <c r="G787" s="72" t="s">
        <v>400</v>
      </c>
      <c r="H787" s="73" t="str">
        <f>IF(Proc[[#This Row],[type]]="LFF (MDG-F)",MID(Proc[[#This Row],[Obj]],13,10),"")</f>
        <v/>
      </c>
      <c r="I787" t="s">
        <v>2527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75">
        <v>45721</v>
      </c>
      <c r="O787" s="75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1044</v>
      </c>
      <c r="S787" s="73"/>
    </row>
    <row r="788" spans="1:19" hidden="1">
      <c r="A788" s="72" t="s">
        <v>2503</v>
      </c>
      <c r="B788" s="73" t="str">
        <f>IFERROR(VLOOKUP(Proc[[#This Row],[App]],Table2[],3,0),"open")</f>
        <v>ok</v>
      </c>
      <c r="C788" s="72" t="s">
        <v>369</v>
      </c>
      <c r="D788" t="s">
        <v>2482</v>
      </c>
      <c r="E788" t="s">
        <v>2483</v>
      </c>
      <c r="F788" s="73" t="s">
        <v>2484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75">
        <v>45721</v>
      </c>
      <c r="O788" s="75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1044</v>
      </c>
      <c r="S788" s="73"/>
    </row>
    <row r="789" spans="1:19" hidden="1">
      <c r="A789" s="72" t="s">
        <v>2503</v>
      </c>
      <c r="B789" s="73" t="str">
        <f>IFERROR(VLOOKUP(Proc[[#This Row],[App]],Table2[],3,0),"open")</f>
        <v>ok</v>
      </c>
      <c r="C789" s="72" t="s">
        <v>369</v>
      </c>
      <c r="D789" t="s">
        <v>2485</v>
      </c>
      <c r="E789" t="s">
        <v>2483</v>
      </c>
      <c r="F789" s="73" t="s">
        <v>2486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75">
        <v>45721</v>
      </c>
      <c r="O789" s="75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1044</v>
      </c>
      <c r="S789" s="73"/>
    </row>
    <row r="790" spans="1:19" hidden="1">
      <c r="A790" s="72" t="s">
        <v>2503</v>
      </c>
      <c r="B790" s="73" t="str">
        <f>IFERROR(VLOOKUP(Proc[[#This Row],[App]],Table2[],3,0),"open")</f>
        <v>ok</v>
      </c>
      <c r="C790" s="72" t="s">
        <v>369</v>
      </c>
      <c r="D790" t="s">
        <v>2487</v>
      </c>
      <c r="E790" t="s">
        <v>2483</v>
      </c>
      <c r="F790" s="73" t="s">
        <v>2488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75">
        <v>45721</v>
      </c>
      <c r="O790" s="75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1044</v>
      </c>
      <c r="S790" s="73"/>
    </row>
    <row r="791" spans="1:19" hidden="1">
      <c r="A791" s="72" t="s">
        <v>2503</v>
      </c>
      <c r="B791" s="73" t="str">
        <f>IFERROR(VLOOKUP(Proc[[#This Row],[App]],Table2[],3,0),"open")</f>
        <v>ok</v>
      </c>
      <c r="C791" s="72" t="s">
        <v>369</v>
      </c>
      <c r="D791" t="s">
        <v>2489</v>
      </c>
      <c r="E791" t="s">
        <v>2483</v>
      </c>
      <c r="F791" s="73" t="s">
        <v>2490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75">
        <v>45721</v>
      </c>
      <c r="O791" s="75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1044</v>
      </c>
      <c r="S791" s="73"/>
    </row>
    <row r="792" spans="1:19" hidden="1">
      <c r="A792" s="72" t="s">
        <v>2503</v>
      </c>
      <c r="B792" s="73" t="str">
        <f>IFERROR(VLOOKUP(Proc[[#This Row],[App]],Table2[],3,0),"open")</f>
        <v>ok</v>
      </c>
      <c r="C792" s="72" t="s">
        <v>369</v>
      </c>
      <c r="D792" t="s">
        <v>2491</v>
      </c>
      <c r="E792" t="s">
        <v>2492</v>
      </c>
      <c r="F792" s="73" t="s">
        <v>2493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75">
        <v>45721</v>
      </c>
      <c r="O792" s="75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1044</v>
      </c>
      <c r="S792" s="73"/>
    </row>
    <row r="793" spans="1:19" hidden="1">
      <c r="A793" s="72" t="s">
        <v>2503</v>
      </c>
      <c r="B793" s="73" t="str">
        <f>IFERROR(VLOOKUP(Proc[[#This Row],[App]],Table2[],3,0),"open")</f>
        <v>ok</v>
      </c>
      <c r="C793" s="72" t="s">
        <v>369</v>
      </c>
      <c r="D793" t="s">
        <v>2494</v>
      </c>
      <c r="E793" t="s">
        <v>2495</v>
      </c>
      <c r="F793" s="73" t="s">
        <v>2496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75">
        <v>45721</v>
      </c>
      <c r="O793" s="75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1044</v>
      </c>
      <c r="S793" s="73"/>
    </row>
    <row r="794" spans="1:19" hidden="1">
      <c r="A794" s="72" t="s">
        <v>2503</v>
      </c>
      <c r="B794" s="73" t="str">
        <f>IFERROR(VLOOKUP(Proc[[#This Row],[App]],Table2[],3,0),"open")</f>
        <v>ok</v>
      </c>
      <c r="C794" s="72" t="s">
        <v>369</v>
      </c>
      <c r="D794" t="s">
        <v>2497</v>
      </c>
      <c r="E794" t="s">
        <v>2480</v>
      </c>
      <c r="F794" s="73" t="s">
        <v>2498</v>
      </c>
      <c r="G794" s="72" t="s">
        <v>400</v>
      </c>
      <c r="H794" s="73" t="str">
        <f>IF(Proc[[#This Row],[type]]="LFF (MDG-F)",MID(Proc[[#This Row],[Obj]],13,10),"")</f>
        <v/>
      </c>
      <c r="I794" s="72" t="s">
        <v>2527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75">
        <v>45721</v>
      </c>
      <c r="O794" s="75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1044</v>
      </c>
      <c r="S794" s="73"/>
    </row>
    <row r="795" spans="1:19" hidden="1">
      <c r="A795" s="72" t="s">
        <v>2503</v>
      </c>
      <c r="B795" s="73" t="str">
        <f>IFERROR(VLOOKUP(Proc[[#This Row],[App]],Table2[],3,0),"open")</f>
        <v>ok</v>
      </c>
      <c r="C795" s="72" t="s">
        <v>369</v>
      </c>
      <c r="D795" t="s">
        <v>2499</v>
      </c>
      <c r="E795" t="s">
        <v>2483</v>
      </c>
      <c r="F795" s="73" t="s">
        <v>2500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75">
        <v>45721</v>
      </c>
      <c r="O795" s="75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1044</v>
      </c>
      <c r="S795" s="73"/>
    </row>
    <row r="796" spans="1:19" hidden="1">
      <c r="A796" s="72" t="s">
        <v>2503</v>
      </c>
      <c r="B796" s="73" t="str">
        <f>IFERROR(VLOOKUP(Proc[[#This Row],[App]],Table2[],3,0),"open")</f>
        <v>ok</v>
      </c>
      <c r="C796" s="72" t="s">
        <v>369</v>
      </c>
      <c r="D796" t="s">
        <v>2501</v>
      </c>
      <c r="E796" t="s">
        <v>2483</v>
      </c>
      <c r="F796" s="73" t="s">
        <v>2502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75">
        <v>45721</v>
      </c>
      <c r="O796" s="75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1044</v>
      </c>
      <c r="S796" s="73"/>
    </row>
    <row r="797" spans="1:19" hidden="1">
      <c r="A797" t="s">
        <v>2506</v>
      </c>
      <c r="B797" s="73" t="str">
        <f>IFERROR(VLOOKUP(Proc[[#This Row],[App]],Table2[],3,0),"open")</f>
        <v>ok</v>
      </c>
      <c r="C797" s="72" t="s">
        <v>369</v>
      </c>
      <c r="D797" t="s">
        <v>2504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75">
        <v>45721</v>
      </c>
      <c r="O797" s="75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2505</v>
      </c>
      <c r="S797" s="73"/>
    </row>
    <row r="798" spans="1:19" hidden="1">
      <c r="A798" t="s">
        <v>2508</v>
      </c>
      <c r="B798" s="73" t="str">
        <f>IFERROR(VLOOKUP(Proc[[#This Row],[App]],Table2[],3,0),"open")</f>
        <v>ok</v>
      </c>
      <c r="C798" s="72" t="s">
        <v>369</v>
      </c>
      <c r="D798" t="s">
        <v>1850</v>
      </c>
      <c r="E798" t="s">
        <v>513</v>
      </c>
      <c r="F798" s="73" t="s">
        <v>1851</v>
      </c>
      <c r="G798" s="72" t="s">
        <v>400</v>
      </c>
      <c r="H798" s="73" t="str">
        <f>IF(Proc[[#This Row],[type]]="LFF (MDG-F)",MID(Proc[[#This Row],[Obj]],13,10),"")</f>
        <v/>
      </c>
      <c r="I798" t="s">
        <v>1250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75">
        <v>45721</v>
      </c>
      <c r="O798" s="75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2508</v>
      </c>
      <c r="B799" s="73" t="str">
        <f>IFERROR(VLOOKUP(Proc[[#This Row],[App]],Table2[],3,0),"open")</f>
        <v>ok</v>
      </c>
      <c r="C799" s="72" t="s">
        <v>369</v>
      </c>
      <c r="D799" t="s">
        <v>2507</v>
      </c>
      <c r="E799" t="s">
        <v>2509</v>
      </c>
      <c r="F799" s="73" t="s">
        <v>2510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75">
        <v>45721</v>
      </c>
      <c r="O799" s="75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2526</v>
      </c>
      <c r="B800" s="73" t="str">
        <f>IFERROR(VLOOKUP(Proc[[#This Row],[App]],Table2[],3,0),"open")</f>
        <v>ok</v>
      </c>
      <c r="C800" s="72" t="s">
        <v>369</v>
      </c>
      <c r="D800" t="s">
        <v>2511</v>
      </c>
      <c r="E800" t="s">
        <v>2512</v>
      </c>
      <c r="F800" s="73" t="s">
        <v>2513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75">
        <v>45721</v>
      </c>
      <c r="O800" s="75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2526</v>
      </c>
      <c r="B801" s="73" t="str">
        <f>IFERROR(VLOOKUP(Proc[[#This Row],[App]],Table2[],3,0),"open")</f>
        <v>ok</v>
      </c>
      <c r="C801" s="72" t="s">
        <v>369</v>
      </c>
      <c r="D801" t="s">
        <v>2514</v>
      </c>
      <c r="E801" t="s">
        <v>2512</v>
      </c>
      <c r="F801" s="73" t="s">
        <v>2513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75">
        <v>45721</v>
      </c>
      <c r="O801" s="75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2526</v>
      </c>
      <c r="B802" s="73" t="str">
        <f>IFERROR(VLOOKUP(Proc[[#This Row],[App]],Table2[],3,0),"open")</f>
        <v>ok</v>
      </c>
      <c r="C802" s="72" t="s">
        <v>369</v>
      </c>
      <c r="D802" t="s">
        <v>2515</v>
      </c>
      <c r="E802" t="s">
        <v>2512</v>
      </c>
      <c r="F802" s="73" t="s">
        <v>2513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75">
        <v>45721</v>
      </c>
      <c r="O802" s="75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2526</v>
      </c>
      <c r="B803" s="73" t="str">
        <f>IFERROR(VLOOKUP(Proc[[#This Row],[App]],Table2[],3,0),"open")</f>
        <v>ok</v>
      </c>
      <c r="C803" s="72" t="s">
        <v>369</v>
      </c>
      <c r="D803" t="s">
        <v>2516</v>
      </c>
      <c r="E803" t="s">
        <v>2512</v>
      </c>
      <c r="F803" s="73" t="s">
        <v>2513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75">
        <v>45721</v>
      </c>
      <c r="O803" s="75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2526</v>
      </c>
      <c r="B804" s="73" t="str">
        <f>IFERROR(VLOOKUP(Proc[[#This Row],[App]],Table2[],3,0),"open")</f>
        <v>ok</v>
      </c>
      <c r="C804" s="72" t="s">
        <v>369</v>
      </c>
      <c r="D804" t="s">
        <v>2517</v>
      </c>
      <c r="E804" t="s">
        <v>2518</v>
      </c>
      <c r="F804" s="73" t="s">
        <v>2513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75">
        <v>45721</v>
      </c>
      <c r="O804" s="75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2526</v>
      </c>
      <c r="B805" s="73" t="str">
        <f>IFERROR(VLOOKUP(Proc[[#This Row],[App]],Table2[],3,0),"open")</f>
        <v>ok</v>
      </c>
      <c r="C805" s="72" t="s">
        <v>369</v>
      </c>
      <c r="D805" t="s">
        <v>2519</v>
      </c>
      <c r="E805" t="s">
        <v>2518</v>
      </c>
      <c r="F805" s="73" t="s">
        <v>2520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75">
        <v>45721</v>
      </c>
      <c r="O805" s="75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2526</v>
      </c>
      <c r="B806" s="73" t="str">
        <f>IFERROR(VLOOKUP(Proc[[#This Row],[App]],Table2[],3,0),"open")</f>
        <v>ok</v>
      </c>
      <c r="C806" s="72" t="s">
        <v>369</v>
      </c>
      <c r="D806" t="s">
        <v>2521</v>
      </c>
      <c r="E806" t="s">
        <v>2518</v>
      </c>
      <c r="F806" s="73" t="s">
        <v>2522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75">
        <v>45721</v>
      </c>
      <c r="O806" s="75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2526</v>
      </c>
      <c r="B807" s="73" t="str">
        <f>IFERROR(VLOOKUP(Proc[[#This Row],[App]],Table2[],3,0),"open")</f>
        <v>ok</v>
      </c>
      <c r="C807" s="72" t="s">
        <v>369</v>
      </c>
      <c r="D807" t="s">
        <v>2523</v>
      </c>
      <c r="E807" t="s">
        <v>2524</v>
      </c>
      <c r="F807" s="73" t="s">
        <v>2525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75">
        <v>45721</v>
      </c>
      <c r="O807" s="75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2528</v>
      </c>
      <c r="B808" s="73" t="str">
        <f>IFERROR(VLOOKUP(Proc[[#This Row],[App]],Table2[],3,0),"open")</f>
        <v>ok</v>
      </c>
      <c r="C808" t="s">
        <v>369</v>
      </c>
      <c r="D808" t="s">
        <v>2529</v>
      </c>
      <c r="E808" t="s">
        <v>658</v>
      </c>
      <c r="F808" s="73" t="s">
        <v>2547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75">
        <v>45722</v>
      </c>
      <c r="O808" s="75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2528</v>
      </c>
      <c r="B809" s="73" t="str">
        <f>IFERROR(VLOOKUP(Proc[[#This Row],[App]],Table2[],3,0),"open")</f>
        <v>ok</v>
      </c>
      <c r="C809" s="72" t="s">
        <v>377</v>
      </c>
      <c r="D809" t="s">
        <v>2530</v>
      </c>
      <c r="E809" t="s">
        <v>658</v>
      </c>
      <c r="F809" s="73" t="s">
        <v>2548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75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2528</v>
      </c>
      <c r="B810" s="73" t="str">
        <f>IFERROR(VLOOKUP(Proc[[#This Row],[App]],Table2[],3,0),"open")</f>
        <v>ok</v>
      </c>
      <c r="C810" s="72" t="s">
        <v>377</v>
      </c>
      <c r="D810" t="s">
        <v>2531</v>
      </c>
      <c r="E810" t="s">
        <v>658</v>
      </c>
      <c r="F810" s="73" t="s">
        <v>2548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75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2528</v>
      </c>
      <c r="B811" s="73" t="str">
        <f>IFERROR(VLOOKUP(Proc[[#This Row],[App]],Table2[],3,0),"open")</f>
        <v>ok</v>
      </c>
      <c r="C811" s="72" t="s">
        <v>377</v>
      </c>
      <c r="D811" t="s">
        <v>2532</v>
      </c>
      <c r="E811" t="s">
        <v>658</v>
      </c>
      <c r="F811" s="73" t="s">
        <v>2549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75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2528</v>
      </c>
      <c r="B812" s="73" t="str">
        <f>IFERROR(VLOOKUP(Proc[[#This Row],[App]],Table2[],3,0),"open")</f>
        <v>ok</v>
      </c>
      <c r="C812" s="72" t="s">
        <v>369</v>
      </c>
      <c r="D812" t="s">
        <v>2533</v>
      </c>
      <c r="E812" t="s">
        <v>658</v>
      </c>
      <c r="F812" s="73" t="s">
        <v>2547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75">
        <v>45722</v>
      </c>
      <c r="O812" s="75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2528</v>
      </c>
      <c r="B813" s="73" t="str">
        <f>IFERROR(VLOOKUP(Proc[[#This Row],[App]],Table2[],3,0),"open")</f>
        <v>ok</v>
      </c>
      <c r="C813" s="72" t="s">
        <v>369</v>
      </c>
      <c r="D813" t="s">
        <v>2534</v>
      </c>
      <c r="E813" t="s">
        <v>658</v>
      </c>
      <c r="F813" s="73" t="s">
        <v>2547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75">
        <v>45722</v>
      </c>
      <c r="O813" s="75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2528</v>
      </c>
      <c r="B814" s="73" t="str">
        <f>IFERROR(VLOOKUP(Proc[[#This Row],[App]],Table2[],3,0),"open")</f>
        <v>ok</v>
      </c>
      <c r="C814" s="72" t="s">
        <v>369</v>
      </c>
      <c r="D814" t="s">
        <v>2535</v>
      </c>
      <c r="E814" t="s">
        <v>658</v>
      </c>
      <c r="F814" s="73" t="s">
        <v>2547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75">
        <v>45722</v>
      </c>
      <c r="O814" s="75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2528</v>
      </c>
      <c r="B815" s="73" t="str">
        <f>IFERROR(VLOOKUP(Proc[[#This Row],[App]],Table2[],3,0),"open")</f>
        <v>ok</v>
      </c>
      <c r="C815" s="72" t="s">
        <v>369</v>
      </c>
      <c r="D815" t="s">
        <v>2536</v>
      </c>
      <c r="E815" t="s">
        <v>658</v>
      </c>
      <c r="F815" s="73" t="s">
        <v>2547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75">
        <v>45722</v>
      </c>
      <c r="O815" s="75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2528</v>
      </c>
      <c r="B816" s="73" t="str">
        <f>IFERROR(VLOOKUP(Proc[[#This Row],[App]],Table2[],3,0),"open")</f>
        <v>ok</v>
      </c>
      <c r="C816" s="72" t="s">
        <v>369</v>
      </c>
      <c r="D816" t="s">
        <v>2537</v>
      </c>
      <c r="E816" t="s">
        <v>658</v>
      </c>
      <c r="F816" s="73" t="s">
        <v>2547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75">
        <v>45722</v>
      </c>
      <c r="O816" s="75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2528</v>
      </c>
      <c r="B817" s="73" t="str">
        <f>IFERROR(VLOOKUP(Proc[[#This Row],[App]],Table2[],3,0),"open")</f>
        <v>ok</v>
      </c>
      <c r="C817" s="72" t="s">
        <v>369</v>
      </c>
      <c r="D817" t="s">
        <v>2538</v>
      </c>
      <c r="E817" t="s">
        <v>658</v>
      </c>
      <c r="F817" s="73" t="s">
        <v>2547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75">
        <v>45722</v>
      </c>
      <c r="O817" s="75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2528</v>
      </c>
      <c r="B818" s="73" t="str">
        <f>IFERROR(VLOOKUP(Proc[[#This Row],[App]],Table2[],3,0),"open")</f>
        <v>ok</v>
      </c>
      <c r="C818" s="72" t="s">
        <v>369</v>
      </c>
      <c r="D818" t="s">
        <v>2539</v>
      </c>
      <c r="E818" t="s">
        <v>658</v>
      </c>
      <c r="F818" s="73" t="s">
        <v>2547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75">
        <v>45722</v>
      </c>
      <c r="O818" s="75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2528</v>
      </c>
      <c r="B819" s="73" t="str">
        <f>IFERROR(VLOOKUP(Proc[[#This Row],[App]],Table2[],3,0),"open")</f>
        <v>ok</v>
      </c>
      <c r="C819" s="72" t="s">
        <v>369</v>
      </c>
      <c r="D819" t="s">
        <v>2540</v>
      </c>
      <c r="E819" t="s">
        <v>658</v>
      </c>
      <c r="F819" s="73" t="s">
        <v>2547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75">
        <v>45722</v>
      </c>
      <c r="O819" s="75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2528</v>
      </c>
      <c r="B820" s="73" t="str">
        <f>IFERROR(VLOOKUP(Proc[[#This Row],[App]],Table2[],3,0),"open")</f>
        <v>ok</v>
      </c>
      <c r="C820" s="72" t="s">
        <v>369</v>
      </c>
      <c r="D820" t="s">
        <v>2541</v>
      </c>
      <c r="E820" t="s">
        <v>658</v>
      </c>
      <c r="F820" s="73" t="s">
        <v>2550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75">
        <v>45722</v>
      </c>
      <c r="O820" s="75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2528</v>
      </c>
      <c r="B821" s="73" t="str">
        <f>IFERROR(VLOOKUP(Proc[[#This Row],[App]],Table2[],3,0),"open")</f>
        <v>ok</v>
      </c>
      <c r="C821" s="72" t="s">
        <v>369</v>
      </c>
      <c r="D821" t="s">
        <v>2542</v>
      </c>
      <c r="E821" t="s">
        <v>658</v>
      </c>
      <c r="F821" s="73" t="s">
        <v>2550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75">
        <v>45722</v>
      </c>
      <c r="O821" s="75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2528</v>
      </c>
      <c r="B822" s="73" t="str">
        <f>IFERROR(VLOOKUP(Proc[[#This Row],[App]],Table2[],3,0),"open")</f>
        <v>ok</v>
      </c>
      <c r="C822" t="s">
        <v>377</v>
      </c>
      <c r="D822" t="s">
        <v>2543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75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2528</v>
      </c>
      <c r="B823" s="73" t="str">
        <f>IFERROR(VLOOKUP(Proc[[#This Row],[App]],Table2[],3,0),"open")</f>
        <v>ok</v>
      </c>
      <c r="C823" s="72" t="s">
        <v>377</v>
      </c>
      <c r="D823" t="s">
        <v>2544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75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2528</v>
      </c>
      <c r="B824" s="73" t="str">
        <f>IFERROR(VLOOKUP(Proc[[#This Row],[App]],Table2[],3,0),"open")</f>
        <v>ok</v>
      </c>
      <c r="C824" s="72" t="s">
        <v>377</v>
      </c>
      <c r="D824" t="s">
        <v>2545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75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2528</v>
      </c>
      <c r="B825" s="73" t="str">
        <f>IFERROR(VLOOKUP(Proc[[#This Row],[App]],Table2[],3,0),"open")</f>
        <v>ok</v>
      </c>
      <c r="C825" s="72" t="s">
        <v>377</v>
      </c>
      <c r="D825" t="s">
        <v>2546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75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2556</v>
      </c>
      <c r="B826" s="73" t="str">
        <f>IFERROR(VLOOKUP(Proc[[#This Row],[App]],Table2[],3,0),"open")</f>
        <v>ok</v>
      </c>
      <c r="C826" s="72" t="s">
        <v>369</v>
      </c>
      <c r="D826" t="s">
        <v>2551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75">
        <v>45721</v>
      </c>
      <c r="O826" s="75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2556</v>
      </c>
      <c r="B827" s="73" t="str">
        <f>IFERROR(VLOOKUP(Proc[[#This Row],[App]],Table2[],3,0),"open")</f>
        <v>ok</v>
      </c>
      <c r="C827" s="72" t="s">
        <v>369</v>
      </c>
      <c r="D827" t="s">
        <v>2552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75">
        <v>45721</v>
      </c>
      <c r="O827" s="75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2556</v>
      </c>
      <c r="B828" s="73" t="str">
        <f>IFERROR(VLOOKUP(Proc[[#This Row],[App]],Table2[],3,0),"open")</f>
        <v>ok</v>
      </c>
      <c r="C828" s="72" t="s">
        <v>369</v>
      </c>
      <c r="D828" t="s">
        <v>2553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75">
        <v>45721</v>
      </c>
      <c r="O828" s="75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2556</v>
      </c>
      <c r="B829" s="73" t="str">
        <f>IFERROR(VLOOKUP(Proc[[#This Row],[App]],Table2[],3,0),"open")</f>
        <v>ok</v>
      </c>
      <c r="C829" s="72" t="s">
        <v>369</v>
      </c>
      <c r="D829" t="s">
        <v>2554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75">
        <v>45721</v>
      </c>
      <c r="O829" s="75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2556</v>
      </c>
      <c r="B830" s="73" t="str">
        <f>IFERROR(VLOOKUP(Proc[[#This Row],[App]],Table2[],3,0),"open")</f>
        <v>ok</v>
      </c>
      <c r="C830" s="72" t="s">
        <v>369</v>
      </c>
      <c r="D830" t="s">
        <v>2555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75">
        <v>45721</v>
      </c>
      <c r="O830" s="75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2558</v>
      </c>
      <c r="B831" s="73" t="str">
        <f>IFERROR(VLOOKUP(Proc[[#This Row],[App]],Table2[],3,0),"open")</f>
        <v>ok</v>
      </c>
      <c r="C831" s="72" t="s">
        <v>369</v>
      </c>
      <c r="D831" t="s">
        <v>2557</v>
      </c>
      <c r="E831" t="s">
        <v>2559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75">
        <v>45736</v>
      </c>
      <c r="O831" s="75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2563</v>
      </c>
      <c r="B832" s="73" t="str">
        <f>IFERROR(VLOOKUP(Proc[[#This Row],[App]],Table2[],3,0),"open")</f>
        <v>ok</v>
      </c>
      <c r="C832" s="72" t="s">
        <v>369</v>
      </c>
      <c r="D832" t="s">
        <v>2561</v>
      </c>
      <c r="E832" t="s">
        <v>2562</v>
      </c>
      <c r="F832" s="73" t="s">
        <v>1630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75">
        <v>45721</v>
      </c>
      <c r="O832" s="75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1112</v>
      </c>
      <c r="S832" s="73"/>
    </row>
    <row r="833" spans="1:19" hidden="1">
      <c r="A833" t="s">
        <v>2566</v>
      </c>
      <c r="B833" s="73" t="str">
        <f>IFERROR(VLOOKUP(Proc[[#This Row],[App]],Table2[],3,0),"open")</f>
        <v>ok</v>
      </c>
      <c r="C833" t="s">
        <v>369</v>
      </c>
      <c r="D833" t="s">
        <v>2564</v>
      </c>
      <c r="E833" t="s">
        <v>1668</v>
      </c>
      <c r="F833" s="73" t="s">
        <v>2565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75">
        <v>45723</v>
      </c>
      <c r="O833" s="75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2586</v>
      </c>
      <c r="B834" s="73" t="str">
        <f>IFERROR(VLOOKUP(Proc[[#This Row],[App]],Table2[],3,0),"open")</f>
        <v>open</v>
      </c>
      <c r="C834" t="s">
        <v>369</v>
      </c>
      <c r="D834" t="s">
        <v>2567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18</v>
      </c>
      <c r="R834" s="74" t="s">
        <v>1530</v>
      </c>
      <c r="S834" s="73"/>
    </row>
    <row r="835" spans="1:19" hidden="1">
      <c r="A835" t="s">
        <v>2586</v>
      </c>
      <c r="B835" s="73" t="str">
        <f>IFERROR(VLOOKUP(Proc[[#This Row],[App]],Table2[],3,0),"open")</f>
        <v>open</v>
      </c>
      <c r="C835" s="72" t="s">
        <v>369</v>
      </c>
      <c r="D835" t="s">
        <v>2568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18</v>
      </c>
      <c r="R835" s="74" t="s">
        <v>1530</v>
      </c>
      <c r="S835" s="73"/>
    </row>
    <row r="836" spans="1:19" hidden="1">
      <c r="A836" t="s">
        <v>2586</v>
      </c>
      <c r="B836" s="73" t="str">
        <f>IFERROR(VLOOKUP(Proc[[#This Row],[App]],Table2[],3,0),"open")</f>
        <v>open</v>
      </c>
      <c r="C836" s="72" t="s">
        <v>369</v>
      </c>
      <c r="D836" t="s">
        <v>2569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18</v>
      </c>
      <c r="R836" s="74" t="s">
        <v>1530</v>
      </c>
      <c r="S836" s="73"/>
    </row>
    <row r="837" spans="1:19" hidden="1">
      <c r="A837" t="s">
        <v>2586</v>
      </c>
      <c r="B837" s="73" t="str">
        <f>IFERROR(VLOOKUP(Proc[[#This Row],[App]],Table2[],3,0),"open")</f>
        <v>open</v>
      </c>
      <c r="C837" s="72" t="s">
        <v>369</v>
      </c>
      <c r="D837" t="s">
        <v>2570</v>
      </c>
      <c r="E837" t="s">
        <v>1529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18</v>
      </c>
      <c r="R837" s="74" t="s">
        <v>1530</v>
      </c>
      <c r="S837" s="73"/>
    </row>
    <row r="838" spans="1:19" hidden="1">
      <c r="A838" t="s">
        <v>2586</v>
      </c>
      <c r="B838" s="73" t="str">
        <f>IFERROR(VLOOKUP(Proc[[#This Row],[App]],Table2[],3,0),"open")</f>
        <v>open</v>
      </c>
      <c r="C838" s="72" t="s">
        <v>369</v>
      </c>
      <c r="D838" t="s">
        <v>2571</v>
      </c>
      <c r="E838" t="s">
        <v>2587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18</v>
      </c>
      <c r="R838" s="74" t="s">
        <v>1530</v>
      </c>
      <c r="S838" s="73"/>
    </row>
    <row r="839" spans="1:19">
      <c r="A839" t="s">
        <v>2586</v>
      </c>
      <c r="B839" s="73" t="str">
        <f>IFERROR(VLOOKUP(Proc[[#This Row],[App]],Table2[],3,0),"open")</f>
        <v>open</v>
      </c>
      <c r="C839" t="s">
        <v>370</v>
      </c>
      <c r="D839" t="s">
        <v>2572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18</v>
      </c>
      <c r="R839" s="74" t="s">
        <v>1530</v>
      </c>
      <c r="S839" s="73"/>
    </row>
    <row r="840" spans="1:19" hidden="1">
      <c r="A840" t="s">
        <v>2586</v>
      </c>
      <c r="B840" s="73" t="str">
        <f>IFERROR(VLOOKUP(Proc[[#This Row],[App]],Table2[],3,0),"open")</f>
        <v>open</v>
      </c>
      <c r="C840" s="72" t="s">
        <v>369</v>
      </c>
      <c r="D840" t="s">
        <v>2573</v>
      </c>
      <c r="E840" t="s">
        <v>2588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18</v>
      </c>
      <c r="R840" s="74" t="s">
        <v>1530</v>
      </c>
      <c r="S840" s="73"/>
    </row>
    <row r="841" spans="1:19" hidden="1">
      <c r="A841" t="s">
        <v>2586</v>
      </c>
      <c r="B841" s="73" t="str">
        <f>IFERROR(VLOOKUP(Proc[[#This Row],[App]],Table2[],3,0),"open")</f>
        <v>open</v>
      </c>
      <c r="C841" s="72" t="s">
        <v>369</v>
      </c>
      <c r="D841" t="s">
        <v>2574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18</v>
      </c>
      <c r="R841" s="74" t="s">
        <v>1530</v>
      </c>
      <c r="S841" s="73"/>
    </row>
    <row r="842" spans="1:19" hidden="1">
      <c r="A842" t="s">
        <v>2586</v>
      </c>
      <c r="B842" s="73" t="str">
        <f>IFERROR(VLOOKUP(Proc[[#This Row],[App]],Table2[],3,0),"open")</f>
        <v>open</v>
      </c>
      <c r="C842" s="72" t="s">
        <v>369</v>
      </c>
      <c r="D842" t="s">
        <v>2575</v>
      </c>
      <c r="E842" t="s">
        <v>1529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18</v>
      </c>
      <c r="R842" s="74" t="s">
        <v>1530</v>
      </c>
      <c r="S842" s="73"/>
    </row>
    <row r="843" spans="1:19" hidden="1">
      <c r="A843" t="s">
        <v>2586</v>
      </c>
      <c r="B843" s="73" t="str">
        <f>IFERROR(VLOOKUP(Proc[[#This Row],[App]],Table2[],3,0),"open")</f>
        <v>open</v>
      </c>
      <c r="C843" s="72" t="s">
        <v>369</v>
      </c>
      <c r="D843" t="s">
        <v>2576</v>
      </c>
      <c r="E843" t="s">
        <v>1529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18</v>
      </c>
      <c r="R843" s="74" t="s">
        <v>1530</v>
      </c>
      <c r="S843" s="73"/>
    </row>
    <row r="844" spans="1:19" hidden="1">
      <c r="A844" t="s">
        <v>2586</v>
      </c>
      <c r="B844" s="73" t="str">
        <f>IFERROR(VLOOKUP(Proc[[#This Row],[App]],Table2[],3,0),"open")</f>
        <v>open</v>
      </c>
      <c r="C844" s="72" t="s">
        <v>369</v>
      </c>
      <c r="D844" t="s">
        <v>2577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18</v>
      </c>
      <c r="R844" s="74" t="s">
        <v>1530</v>
      </c>
      <c r="S844" s="73"/>
    </row>
    <row r="845" spans="1:19" hidden="1">
      <c r="A845" t="s">
        <v>2586</v>
      </c>
      <c r="B845" s="73" t="str">
        <f>IFERROR(VLOOKUP(Proc[[#This Row],[App]],Table2[],3,0),"open")</f>
        <v>open</v>
      </c>
      <c r="C845" s="72" t="s">
        <v>369</v>
      </c>
      <c r="D845" t="s">
        <v>2578</v>
      </c>
      <c r="E845" t="s">
        <v>1285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18</v>
      </c>
      <c r="R845" s="74" t="s">
        <v>1530</v>
      </c>
      <c r="S845" s="73"/>
    </row>
    <row r="846" spans="1:19" hidden="1">
      <c r="A846" t="s">
        <v>2586</v>
      </c>
      <c r="B846" s="73" t="str">
        <f>IFERROR(VLOOKUP(Proc[[#This Row],[App]],Table2[],3,0),"open")</f>
        <v>open</v>
      </c>
      <c r="C846" s="72" t="s">
        <v>369</v>
      </c>
      <c r="D846" t="s">
        <v>2579</v>
      </c>
      <c r="E846" t="s">
        <v>1285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18</v>
      </c>
      <c r="R846" s="74" t="s">
        <v>1530</v>
      </c>
      <c r="S846" s="73"/>
    </row>
    <row r="847" spans="1:19" hidden="1">
      <c r="A847" t="s">
        <v>2586</v>
      </c>
      <c r="B847" s="73" t="str">
        <f>IFERROR(VLOOKUP(Proc[[#This Row],[App]],Table2[],3,0),"open")</f>
        <v>open</v>
      </c>
      <c r="C847" s="72" t="s">
        <v>369</v>
      </c>
      <c r="D847" t="s">
        <v>2580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18</v>
      </c>
      <c r="R847" s="74" t="s">
        <v>1530</v>
      </c>
      <c r="S847" s="73"/>
    </row>
    <row r="848" spans="1:19" hidden="1">
      <c r="A848" t="s">
        <v>2586</v>
      </c>
      <c r="B848" s="73" t="str">
        <f>IFERROR(VLOOKUP(Proc[[#This Row],[App]],Table2[],3,0),"open")</f>
        <v>open</v>
      </c>
      <c r="C848" s="72" t="s">
        <v>369</v>
      </c>
      <c r="D848" t="s">
        <v>2581</v>
      </c>
      <c r="E848" t="s">
        <v>1529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18</v>
      </c>
      <c r="R848" s="74" t="s">
        <v>1530</v>
      </c>
      <c r="S848" s="73"/>
    </row>
    <row r="849" spans="1:19" hidden="1">
      <c r="A849" t="s">
        <v>2586</v>
      </c>
      <c r="B849" s="73" t="str">
        <f>IFERROR(VLOOKUP(Proc[[#This Row],[App]],Table2[],3,0),"open")</f>
        <v>open</v>
      </c>
      <c r="C849" s="72" t="s">
        <v>369</v>
      </c>
      <c r="D849" t="s">
        <v>2582</v>
      </c>
      <c r="E849" t="s">
        <v>1529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18</v>
      </c>
      <c r="R849" s="74" t="s">
        <v>1530</v>
      </c>
      <c r="S849" s="73"/>
    </row>
    <row r="850" spans="1:19" hidden="1">
      <c r="A850" t="s">
        <v>2586</v>
      </c>
      <c r="B850" s="73" t="str">
        <f>IFERROR(VLOOKUP(Proc[[#This Row],[App]],Table2[],3,0),"open")</f>
        <v>open</v>
      </c>
      <c r="C850" s="72" t="s">
        <v>369</v>
      </c>
      <c r="D850" t="s">
        <v>2583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18</v>
      </c>
      <c r="R850" s="74" t="s">
        <v>1530</v>
      </c>
      <c r="S850" s="73"/>
    </row>
    <row r="851" spans="1:19" hidden="1">
      <c r="A851" t="s">
        <v>2586</v>
      </c>
      <c r="B851" s="73" t="str">
        <f>IFERROR(VLOOKUP(Proc[[#This Row],[App]],Table2[],3,0),"open")</f>
        <v>open</v>
      </c>
      <c r="C851" s="72" t="s">
        <v>369</v>
      </c>
      <c r="D851" t="s">
        <v>2584</v>
      </c>
      <c r="E851" t="s">
        <v>2589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18</v>
      </c>
      <c r="R851" s="74" t="s">
        <v>1530</v>
      </c>
      <c r="S851" s="73"/>
    </row>
    <row r="852" spans="1:19" hidden="1">
      <c r="A852" t="s">
        <v>2586</v>
      </c>
      <c r="B852" s="73" t="str">
        <f>IFERROR(VLOOKUP(Proc[[#This Row],[App]],Table2[],3,0),"open")</f>
        <v>open</v>
      </c>
      <c r="C852" s="72" t="s">
        <v>369</v>
      </c>
      <c r="D852" t="s">
        <v>2585</v>
      </c>
      <c r="E852" t="s">
        <v>1529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18</v>
      </c>
      <c r="R852" s="74" t="s">
        <v>1530</v>
      </c>
      <c r="S852" s="73"/>
    </row>
    <row r="853" spans="1:19" hidden="1">
      <c r="A853" t="s">
        <v>2598</v>
      </c>
      <c r="B853" s="73" t="str">
        <f>IFERROR(VLOOKUP(Proc[[#This Row],[App]],Table2[],3,0),"open")</f>
        <v>ok</v>
      </c>
      <c r="C853" s="72" t="s">
        <v>377</v>
      </c>
      <c r="D853" t="s">
        <v>2591</v>
      </c>
      <c r="E853" t="s">
        <v>2592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75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2598</v>
      </c>
      <c r="B854" s="73" t="str">
        <f>IFERROR(VLOOKUP(Proc[[#This Row],[App]],Table2[],3,0),"open")</f>
        <v>ok</v>
      </c>
      <c r="C854" s="72" t="s">
        <v>377</v>
      </c>
      <c r="D854" t="s">
        <v>2593</v>
      </c>
      <c r="E854" t="s">
        <v>2592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75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2598</v>
      </c>
      <c r="B855" s="73" t="str">
        <f>IFERROR(VLOOKUP(Proc[[#This Row],[App]],Table2[],3,0),"open")</f>
        <v>ok</v>
      </c>
      <c r="C855" s="72" t="s">
        <v>377</v>
      </c>
      <c r="D855" t="s">
        <v>2594</v>
      </c>
      <c r="E855" t="s">
        <v>2592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75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2598</v>
      </c>
      <c r="B856" s="73" t="str">
        <f>IFERROR(VLOOKUP(Proc[[#This Row],[App]],Table2[],3,0),"open")</f>
        <v>ok</v>
      </c>
      <c r="C856" s="72" t="s">
        <v>369</v>
      </c>
      <c r="D856" t="s">
        <v>2595</v>
      </c>
      <c r="E856" t="s">
        <v>2592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75">
        <v>45722</v>
      </c>
      <c r="O856" s="75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2598</v>
      </c>
      <c r="B857" s="73" t="str">
        <f>IFERROR(VLOOKUP(Proc[[#This Row],[App]],Table2[],3,0),"open")</f>
        <v>ok</v>
      </c>
      <c r="C857" s="72" t="s">
        <v>369</v>
      </c>
      <c r="D857" t="s">
        <v>2596</v>
      </c>
      <c r="E857" t="s">
        <v>2592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75">
        <v>45722</v>
      </c>
      <c r="O857" s="75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2598</v>
      </c>
      <c r="B858" s="73" t="str">
        <f>IFERROR(VLOOKUP(Proc[[#This Row],[App]],Table2[],3,0),"open")</f>
        <v>ok</v>
      </c>
      <c r="C858" s="72" t="s">
        <v>369</v>
      </c>
      <c r="D858" t="s">
        <v>2597</v>
      </c>
      <c r="E858" t="s">
        <v>2592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75">
        <v>45722</v>
      </c>
      <c r="O858" s="75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2603</v>
      </c>
      <c r="B859" s="73" t="str">
        <f>IFERROR(VLOOKUP(Proc[[#This Row],[App]],Table2[],3,0),"open")</f>
        <v>ok</v>
      </c>
      <c r="C859" s="72" t="s">
        <v>369</v>
      </c>
      <c r="D859" t="s">
        <v>2599</v>
      </c>
      <c r="E859" t="s">
        <v>658</v>
      </c>
      <c r="F859" s="73" t="s">
        <v>2602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75">
        <v>45723</v>
      </c>
      <c r="O859" s="75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2603</v>
      </c>
      <c r="B860" s="73" t="str">
        <f>IFERROR(VLOOKUP(Proc[[#This Row],[App]],Table2[],3,0),"open")</f>
        <v>ok</v>
      </c>
      <c r="C860" s="72" t="s">
        <v>377</v>
      </c>
      <c r="D860" t="s">
        <v>2600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75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2603</v>
      </c>
      <c r="B861" s="73" t="str">
        <f>IFERROR(VLOOKUP(Proc[[#This Row],[App]],Table2[],3,0),"open")</f>
        <v>ok</v>
      </c>
      <c r="C861" s="72" t="s">
        <v>377</v>
      </c>
      <c r="D861" t="s">
        <v>2601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75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2641</v>
      </c>
      <c r="B862" s="73" t="str">
        <f>IFERROR(VLOOKUP(Proc[[#This Row],[App]],Table2[],3,0),"open")</f>
        <v>ok</v>
      </c>
      <c r="C862" t="s">
        <v>369</v>
      </c>
      <c r="D862" t="s">
        <v>2604</v>
      </c>
      <c r="E862" t="s">
        <v>2622</v>
      </c>
      <c r="F862" s="73" t="s">
        <v>1316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75">
        <v>45722</v>
      </c>
      <c r="O862" s="75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2641</v>
      </c>
      <c r="B863" s="73" t="str">
        <f>IFERROR(VLOOKUP(Proc[[#This Row],[App]],Table2[],3,0),"open")</f>
        <v>ok</v>
      </c>
      <c r="C863" s="72" t="s">
        <v>369</v>
      </c>
      <c r="D863" t="s">
        <v>2605</v>
      </c>
      <c r="E863" t="s">
        <v>2623</v>
      </c>
      <c r="F863" s="73" t="s">
        <v>1316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75">
        <v>45722</v>
      </c>
      <c r="O863" s="75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2641</v>
      </c>
      <c r="B864" s="73" t="str">
        <f>IFERROR(VLOOKUP(Proc[[#This Row],[App]],Table2[],3,0),"open")</f>
        <v>ok</v>
      </c>
      <c r="C864" s="72" t="s">
        <v>369</v>
      </c>
      <c r="D864" t="s">
        <v>2606</v>
      </c>
      <c r="E864" t="s">
        <v>2624</v>
      </c>
      <c r="F864" s="73" t="s">
        <v>1316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75">
        <v>45722</v>
      </c>
      <c r="O864" s="75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2641</v>
      </c>
      <c r="B865" s="73" t="str">
        <f>IFERROR(VLOOKUP(Proc[[#This Row],[App]],Table2[],3,0),"open")</f>
        <v>ok</v>
      </c>
      <c r="C865" s="72" t="s">
        <v>369</v>
      </c>
      <c r="D865" t="s">
        <v>2607</v>
      </c>
      <c r="E865" t="s">
        <v>2624</v>
      </c>
      <c r="F865" s="73" t="s">
        <v>1316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75">
        <v>45722</v>
      </c>
      <c r="O865" s="75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2641</v>
      </c>
      <c r="B866" s="73" t="str">
        <f>IFERROR(VLOOKUP(Proc[[#This Row],[App]],Table2[],3,0),"open")</f>
        <v>ok</v>
      </c>
      <c r="C866" s="72" t="s">
        <v>369</v>
      </c>
      <c r="D866" t="s">
        <v>2608</v>
      </c>
      <c r="E866" t="s">
        <v>2625</v>
      </c>
      <c r="F866" s="73" t="s">
        <v>1522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75">
        <v>45722</v>
      </c>
      <c r="O866" s="75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2641</v>
      </c>
      <c r="B867" s="73" t="str">
        <f>IFERROR(VLOOKUP(Proc[[#This Row],[App]],Table2[],3,0),"open")</f>
        <v>ok</v>
      </c>
      <c r="C867" s="72" t="s">
        <v>369</v>
      </c>
      <c r="D867" t="s">
        <v>2609</v>
      </c>
      <c r="E867" t="s">
        <v>2626</v>
      </c>
      <c r="F867" s="73" t="s">
        <v>1316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75">
        <v>45722</v>
      </c>
      <c r="O867" s="75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2641</v>
      </c>
      <c r="B868" s="73" t="str">
        <f>IFERROR(VLOOKUP(Proc[[#This Row],[App]],Table2[],3,0),"open")</f>
        <v>ok</v>
      </c>
      <c r="C868" s="72" t="s">
        <v>369</v>
      </c>
      <c r="D868" t="s">
        <v>2610</v>
      </c>
      <c r="E868" t="s">
        <v>2627</v>
      </c>
      <c r="F868" s="73" t="s">
        <v>1316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75">
        <v>45722</v>
      </c>
      <c r="O868" s="75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2641</v>
      </c>
      <c r="B869" s="73" t="str">
        <f>IFERROR(VLOOKUP(Proc[[#This Row],[App]],Table2[],3,0),"open")</f>
        <v>ok</v>
      </c>
      <c r="C869" s="72" t="s">
        <v>369</v>
      </c>
      <c r="D869" t="s">
        <v>2611</v>
      </c>
      <c r="E869" t="s">
        <v>2628</v>
      </c>
      <c r="F869" s="73" t="s">
        <v>1316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75">
        <v>45722</v>
      </c>
      <c r="O869" s="75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2641</v>
      </c>
      <c r="B870" s="73" t="str">
        <f>IFERROR(VLOOKUP(Proc[[#This Row],[App]],Table2[],3,0),"open")</f>
        <v>ok</v>
      </c>
      <c r="C870" s="72" t="s">
        <v>369</v>
      </c>
      <c r="D870" t="s">
        <v>2612</v>
      </c>
      <c r="E870" t="s">
        <v>2628</v>
      </c>
      <c r="F870" s="73" t="s">
        <v>1316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75">
        <v>45722</v>
      </c>
      <c r="O870" s="75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2641</v>
      </c>
      <c r="B871" s="73" t="str">
        <f>IFERROR(VLOOKUP(Proc[[#This Row],[App]],Table2[],3,0),"open")</f>
        <v>ok</v>
      </c>
      <c r="C871" s="72" t="s">
        <v>369</v>
      </c>
      <c r="D871" t="s">
        <v>2613</v>
      </c>
      <c r="E871" t="s">
        <v>2628</v>
      </c>
      <c r="F871" s="73" t="s">
        <v>1316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75">
        <v>45722</v>
      </c>
      <c r="O871" s="75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2641</v>
      </c>
      <c r="B872" s="73" t="str">
        <f>IFERROR(VLOOKUP(Proc[[#This Row],[App]],Table2[],3,0),"open")</f>
        <v>ok</v>
      </c>
      <c r="C872" s="72" t="s">
        <v>369</v>
      </c>
      <c r="D872" t="s">
        <v>2614</v>
      </c>
      <c r="E872" t="s">
        <v>2629</v>
      </c>
      <c r="F872" s="73" t="s">
        <v>2633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75">
        <v>45722</v>
      </c>
      <c r="O872" s="75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2641</v>
      </c>
      <c r="B873" s="73" t="str">
        <f>IFERROR(VLOOKUP(Proc[[#This Row],[App]],Table2[],3,0),"open")</f>
        <v>ok</v>
      </c>
      <c r="C873" s="72" t="s">
        <v>369</v>
      </c>
      <c r="D873" t="s">
        <v>2615</v>
      </c>
      <c r="E873" t="s">
        <v>2630</v>
      </c>
      <c r="F873" s="73" t="s">
        <v>2634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75">
        <v>45722</v>
      </c>
      <c r="O873" s="75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2641</v>
      </c>
      <c r="B874" s="73" t="str">
        <f>IFERROR(VLOOKUP(Proc[[#This Row],[App]],Table2[],3,0),"open")</f>
        <v>ok</v>
      </c>
      <c r="C874" s="72" t="s">
        <v>369</v>
      </c>
      <c r="D874" t="s">
        <v>2616</v>
      </c>
      <c r="E874" t="s">
        <v>2630</v>
      </c>
      <c r="F874" s="73" t="s">
        <v>2635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75">
        <v>45722</v>
      </c>
      <c r="O874" s="75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2641</v>
      </c>
      <c r="B875" s="73" t="str">
        <f>IFERROR(VLOOKUP(Proc[[#This Row],[App]],Table2[],3,0),"open")</f>
        <v>ok</v>
      </c>
      <c r="C875" s="72" t="s">
        <v>369</v>
      </c>
      <c r="D875" t="s">
        <v>2617</v>
      </c>
      <c r="E875" t="s">
        <v>2630</v>
      </c>
      <c r="F875" s="73" t="s">
        <v>2636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75">
        <v>45722</v>
      </c>
      <c r="O875" s="75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2641</v>
      </c>
      <c r="B876" s="73" t="str">
        <f>IFERROR(VLOOKUP(Proc[[#This Row],[App]],Table2[],3,0),"open")</f>
        <v>ok</v>
      </c>
      <c r="C876" s="72" t="s">
        <v>369</v>
      </c>
      <c r="D876" t="s">
        <v>2618</v>
      </c>
      <c r="E876" t="s">
        <v>2631</v>
      </c>
      <c r="F876" s="73" t="s">
        <v>2637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75">
        <v>45722</v>
      </c>
      <c r="O876" s="75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2641</v>
      </c>
      <c r="B877" s="73" t="str">
        <f>IFERROR(VLOOKUP(Proc[[#This Row],[App]],Table2[],3,0),"open")</f>
        <v>ok</v>
      </c>
      <c r="C877" s="72" t="s">
        <v>369</v>
      </c>
      <c r="D877" t="s">
        <v>2619</v>
      </c>
      <c r="E877" t="s">
        <v>2631</v>
      </c>
      <c r="F877" s="73" t="s">
        <v>2638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75">
        <v>45722</v>
      </c>
      <c r="O877" s="75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2641</v>
      </c>
      <c r="B878" s="73" t="str">
        <f>IFERROR(VLOOKUP(Proc[[#This Row],[App]],Table2[],3,0),"open")</f>
        <v>ok</v>
      </c>
      <c r="C878" s="72" t="s">
        <v>369</v>
      </c>
      <c r="D878" t="s">
        <v>2620</v>
      </c>
      <c r="E878" t="s">
        <v>2632</v>
      </c>
      <c r="F878" s="73" t="s">
        <v>2639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75">
        <v>45722</v>
      </c>
      <c r="O878" s="75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2641</v>
      </c>
      <c r="B879" s="73" t="str">
        <f>IFERROR(VLOOKUP(Proc[[#This Row],[App]],Table2[],3,0),"open")</f>
        <v>ok</v>
      </c>
      <c r="C879" s="72" t="s">
        <v>369</v>
      </c>
      <c r="D879" t="s">
        <v>2621</v>
      </c>
      <c r="E879" t="s">
        <v>2632</v>
      </c>
      <c r="F879" s="73" t="s">
        <v>2640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75">
        <v>45722</v>
      </c>
      <c r="O879" s="75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2642</v>
      </c>
      <c r="B880" s="73" t="str">
        <f>IFERROR(VLOOKUP(Proc[[#This Row],[App]],Table2[],3,0),"open")</f>
        <v>ok</v>
      </c>
      <c r="C880" t="s">
        <v>369</v>
      </c>
      <c r="D880" t="s">
        <v>2643</v>
      </c>
      <c r="E880" t="s">
        <v>1529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75">
        <v>45726</v>
      </c>
      <c r="O880" s="75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1530</v>
      </c>
      <c r="S880" s="73"/>
    </row>
    <row r="881" spans="1:19" hidden="1">
      <c r="A881" s="72" t="s">
        <v>2642</v>
      </c>
      <c r="B881" s="73" t="str">
        <f>IFERROR(VLOOKUP(Proc[[#This Row],[App]],Table2[],3,0),"open")</f>
        <v>ok</v>
      </c>
      <c r="C881" s="72" t="s">
        <v>369</v>
      </c>
      <c r="D881" t="s">
        <v>2644</v>
      </c>
      <c r="E881" t="s">
        <v>1529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75">
        <v>45726</v>
      </c>
      <c r="O881" s="75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1530</v>
      </c>
      <c r="S881" s="73"/>
    </row>
    <row r="882" spans="1:19" hidden="1">
      <c r="A882" t="s">
        <v>2647</v>
      </c>
      <c r="B882" s="73" t="str">
        <f>IFERROR(VLOOKUP(Proc[[#This Row],[App]],Table2[],3,0),"open")</f>
        <v>ok</v>
      </c>
      <c r="C882" t="s">
        <v>398</v>
      </c>
      <c r="D882" t="s">
        <v>2645</v>
      </c>
      <c r="E882" t="s">
        <v>2632</v>
      </c>
      <c r="F882" s="73" t="s">
        <v>1316</v>
      </c>
      <c r="G882" s="72" t="s">
        <v>400</v>
      </c>
      <c r="H882" s="73" t="str">
        <f>IF(Proc[[#This Row],[type]]="LFF (MDG-F)",MID(Proc[[#This Row],[Obj]],13,10),"")</f>
        <v/>
      </c>
      <c r="I882" t="s">
        <v>1250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75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1003</v>
      </c>
      <c r="S882" s="73"/>
    </row>
    <row r="883" spans="1:19" hidden="1">
      <c r="A883" s="72" t="s">
        <v>2647</v>
      </c>
      <c r="B883" s="73" t="str">
        <f>IFERROR(VLOOKUP(Proc[[#This Row],[App]],Table2[],3,0),"open")</f>
        <v>ok</v>
      </c>
      <c r="C883" s="72" t="s">
        <v>369</v>
      </c>
      <c r="D883" t="s">
        <v>2646</v>
      </c>
      <c r="E883" t="s">
        <v>2648</v>
      </c>
      <c r="F883" s="73" t="s">
        <v>2649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75">
        <v>45726</v>
      </c>
      <c r="O883" s="75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1003</v>
      </c>
      <c r="S883" s="73"/>
    </row>
    <row r="884" spans="1:19" hidden="1">
      <c r="A884" t="s">
        <v>2653</v>
      </c>
      <c r="B884" s="73" t="str">
        <f>IFERROR(VLOOKUP(Proc[[#This Row],[App]],Table2[],3,0),"open")</f>
        <v>ok</v>
      </c>
      <c r="C884" s="72" t="s">
        <v>369</v>
      </c>
      <c r="D884" t="s">
        <v>2650</v>
      </c>
      <c r="E884" t="s">
        <v>2652</v>
      </c>
      <c r="F884" s="72" t="s">
        <v>2651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75">
        <v>45729</v>
      </c>
      <c r="O884" s="75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2654</v>
      </c>
      <c r="B885" s="73" t="str">
        <f>IFERROR(VLOOKUP(Proc[[#This Row],[App]],Table2[],3,0),"open")</f>
        <v>ok</v>
      </c>
      <c r="C885" s="72" t="s">
        <v>369</v>
      </c>
      <c r="D885" t="s">
        <v>2655</v>
      </c>
      <c r="E885" t="s">
        <v>2657</v>
      </c>
      <c r="F885" s="73" t="s">
        <v>2656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75">
        <v>45729</v>
      </c>
      <c r="O885" s="75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2667</v>
      </c>
      <c r="S885" s="73"/>
    </row>
    <row r="886" spans="1:19" hidden="1">
      <c r="A886" t="s">
        <v>2662</v>
      </c>
      <c r="B886" s="73" t="str">
        <f>IFERROR(VLOOKUP(Proc[[#This Row],[App]],Table2[],3,0),"open")</f>
        <v>ok</v>
      </c>
      <c r="C886" s="72" t="s">
        <v>369</v>
      </c>
      <c r="D886" t="s">
        <v>2658</v>
      </c>
      <c r="E886" t="s">
        <v>2663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14</v>
      </c>
      <c r="R886" s="74" t="s">
        <v>2667</v>
      </c>
      <c r="S886" s="73"/>
    </row>
    <row r="887" spans="1:19" hidden="1">
      <c r="A887" s="72" t="s">
        <v>2662</v>
      </c>
      <c r="B887" s="73" t="str">
        <f>IFERROR(VLOOKUP(Proc[[#This Row],[App]],Table2[],3,0),"open")</f>
        <v>ok</v>
      </c>
      <c r="C887" s="72" t="s">
        <v>369</v>
      </c>
      <c r="D887" t="s">
        <v>2659</v>
      </c>
      <c r="E887" t="s">
        <v>2664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14</v>
      </c>
      <c r="R887" s="74" t="s">
        <v>2667</v>
      </c>
      <c r="S887" s="73"/>
    </row>
    <row r="888" spans="1:19" hidden="1">
      <c r="A888" s="72" t="s">
        <v>2662</v>
      </c>
      <c r="B888" s="73" t="str">
        <f>IFERROR(VLOOKUP(Proc[[#This Row],[App]],Table2[],3,0),"open")</f>
        <v>ok</v>
      </c>
      <c r="C888" s="72" t="s">
        <v>369</v>
      </c>
      <c r="D888" t="s">
        <v>2660</v>
      </c>
      <c r="E888" t="s">
        <v>2665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14</v>
      </c>
      <c r="R888" s="74" t="s">
        <v>2667</v>
      </c>
      <c r="S888" s="73"/>
    </row>
    <row r="889" spans="1:19" hidden="1">
      <c r="A889" s="72" t="s">
        <v>2662</v>
      </c>
      <c r="B889" s="73" t="str">
        <f>IFERROR(VLOOKUP(Proc[[#This Row],[App]],Table2[],3,0),"open")</f>
        <v>ok</v>
      </c>
      <c r="C889" s="72" t="s">
        <v>369</v>
      </c>
      <c r="D889" t="s">
        <v>2661</v>
      </c>
      <c r="E889" t="s">
        <v>2691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75">
        <v>45735</v>
      </c>
      <c r="O889" s="75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2667</v>
      </c>
      <c r="S889" s="73"/>
    </row>
    <row r="890" spans="1:19" hidden="1">
      <c r="A890" t="s">
        <v>2669</v>
      </c>
      <c r="B890" s="73" t="str">
        <f>IFERROR(VLOOKUP(Proc[[#This Row],[App]],Table2[],3,0),"open")</f>
        <v>ok</v>
      </c>
      <c r="C890" t="s">
        <v>369</v>
      </c>
      <c r="D890" t="s">
        <v>2670</v>
      </c>
      <c r="E890" t="s">
        <v>2687</v>
      </c>
      <c r="F890" s="73" t="s">
        <v>2671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75">
        <v>45730</v>
      </c>
      <c r="O890" s="75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2672</v>
      </c>
      <c r="B891" s="73" t="str">
        <f>IFERROR(VLOOKUP(Proc[[#This Row],[App]],Table2[],3,0),"open")</f>
        <v>ok</v>
      </c>
      <c r="C891" s="72" t="s">
        <v>369</v>
      </c>
      <c r="D891" t="s">
        <v>2673</v>
      </c>
      <c r="E891" t="s">
        <v>414</v>
      </c>
      <c r="F891" s="73" t="s">
        <v>2674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75">
        <v>45730</v>
      </c>
      <c r="O891" s="75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2686</v>
      </c>
      <c r="B892" s="73" t="str">
        <f>IFERROR(VLOOKUP(Proc[[#This Row],[App]],Table2[],3,0),"open")</f>
        <v>ok</v>
      </c>
      <c r="C892" s="72" t="s">
        <v>369</v>
      </c>
      <c r="D892" t="s">
        <v>2675</v>
      </c>
      <c r="E892" t="s">
        <v>2679</v>
      </c>
      <c r="F892" s="73" t="s">
        <v>2683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75">
        <v>45730</v>
      </c>
      <c r="O892" s="75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2686</v>
      </c>
      <c r="B893" s="73" t="str">
        <f>IFERROR(VLOOKUP(Proc[[#This Row],[App]],Table2[],3,0),"open")</f>
        <v>ok</v>
      </c>
      <c r="C893" s="72" t="s">
        <v>369</v>
      </c>
      <c r="D893" t="s">
        <v>2676</v>
      </c>
      <c r="E893" t="s">
        <v>2680</v>
      </c>
      <c r="F893" s="73" t="s">
        <v>2684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75">
        <v>45730</v>
      </c>
      <c r="O893" s="75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2686</v>
      </c>
      <c r="B894" s="73" t="str">
        <f>IFERROR(VLOOKUP(Proc[[#This Row],[App]],Table2[],3,0),"open")</f>
        <v>ok</v>
      </c>
      <c r="C894" s="72" t="s">
        <v>369</v>
      </c>
      <c r="D894" t="s">
        <v>2677</v>
      </c>
      <c r="E894" t="s">
        <v>2681</v>
      </c>
      <c r="F894" s="73" t="s">
        <v>2112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75">
        <v>45730</v>
      </c>
      <c r="O894" s="75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2686</v>
      </c>
      <c r="B895" s="73" t="str">
        <f>IFERROR(VLOOKUP(Proc[[#This Row],[App]],Table2[],3,0),"open")</f>
        <v>ok</v>
      </c>
      <c r="C895" s="72" t="s">
        <v>369</v>
      </c>
      <c r="D895" t="s">
        <v>2678</v>
      </c>
      <c r="E895" t="s">
        <v>2682</v>
      </c>
      <c r="F895" s="73" t="s">
        <v>2685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75">
        <v>45730</v>
      </c>
      <c r="O895" s="75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2692</v>
      </c>
      <c r="B896" s="73" t="str">
        <f>IFERROR(VLOOKUP(Proc[[#This Row],[App]],Table2[],3,0),"open")</f>
        <v>ok</v>
      </c>
      <c r="C896" s="72" t="s">
        <v>369</v>
      </c>
      <c r="D896" t="s">
        <v>2693</v>
      </c>
      <c r="E896" t="s">
        <v>2702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75">
        <v>45733</v>
      </c>
      <c r="O896" s="75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1112</v>
      </c>
      <c r="S896" s="73"/>
    </row>
    <row r="897" spans="1:19" hidden="1">
      <c r="A897" s="72" t="s">
        <v>2692</v>
      </c>
      <c r="B897" s="73" t="str">
        <f>IFERROR(VLOOKUP(Proc[[#This Row],[App]],Table2[],3,0),"open")</f>
        <v>ok</v>
      </c>
      <c r="C897" s="72" t="s">
        <v>369</v>
      </c>
      <c r="D897" t="s">
        <v>2694</v>
      </c>
      <c r="E897" t="s">
        <v>2702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75">
        <v>45733</v>
      </c>
      <c r="O897" s="75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1112</v>
      </c>
      <c r="S897" s="73"/>
    </row>
    <row r="898" spans="1:19" hidden="1">
      <c r="A898" s="72" t="s">
        <v>2692</v>
      </c>
      <c r="B898" s="73" t="str">
        <f>IFERROR(VLOOKUP(Proc[[#This Row],[App]],Table2[],3,0),"open")</f>
        <v>ok</v>
      </c>
      <c r="C898" s="72" t="s">
        <v>369</v>
      </c>
      <c r="D898" t="s">
        <v>2695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75">
        <v>45733</v>
      </c>
      <c r="O898" s="75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1112</v>
      </c>
      <c r="S898" s="73"/>
    </row>
    <row r="899" spans="1:19" hidden="1">
      <c r="A899" s="72" t="s">
        <v>2692</v>
      </c>
      <c r="B899" s="73" t="str">
        <f>IFERROR(VLOOKUP(Proc[[#This Row],[App]],Table2[],3,0),"open")</f>
        <v>ok</v>
      </c>
      <c r="C899" s="72" t="s">
        <v>369</v>
      </c>
      <c r="D899" t="s">
        <v>2696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75">
        <v>45733</v>
      </c>
      <c r="O899" s="75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1112</v>
      </c>
      <c r="S899" s="73"/>
    </row>
    <row r="900" spans="1:19" hidden="1">
      <c r="A900" s="72" t="s">
        <v>2692</v>
      </c>
      <c r="B900" s="73" t="str">
        <f>IFERROR(VLOOKUP(Proc[[#This Row],[App]],Table2[],3,0),"open")</f>
        <v>ok</v>
      </c>
      <c r="C900" s="72" t="s">
        <v>369</v>
      </c>
      <c r="D900" t="s">
        <v>2697</v>
      </c>
      <c r="E900" t="s">
        <v>2703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75">
        <v>45733</v>
      </c>
      <c r="O900" s="75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1112</v>
      </c>
      <c r="S900" s="73"/>
    </row>
    <row r="901" spans="1:19" hidden="1">
      <c r="A901" s="72" t="s">
        <v>2692</v>
      </c>
      <c r="B901" s="73" t="str">
        <f>IFERROR(VLOOKUP(Proc[[#This Row],[App]],Table2[],3,0),"open")</f>
        <v>ok</v>
      </c>
      <c r="C901" s="72" t="s">
        <v>369</v>
      </c>
      <c r="D901" t="s">
        <v>2698</v>
      </c>
      <c r="E901" t="s">
        <v>2704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75">
        <v>45733</v>
      </c>
      <c r="O901" s="75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1112</v>
      </c>
      <c r="S901" s="73"/>
    </row>
    <row r="902" spans="1:19" hidden="1">
      <c r="A902" s="72" t="s">
        <v>2692</v>
      </c>
      <c r="B902" s="73" t="str">
        <f>IFERROR(VLOOKUP(Proc[[#This Row],[App]],Table2[],3,0),"open")</f>
        <v>ok</v>
      </c>
      <c r="C902" s="72" t="s">
        <v>369</v>
      </c>
      <c r="D902" t="s">
        <v>2699</v>
      </c>
      <c r="E902" t="s">
        <v>2702</v>
      </c>
      <c r="F902" s="73" t="s">
        <v>2705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75">
        <v>45733</v>
      </c>
      <c r="O902" s="75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1112</v>
      </c>
      <c r="S902" s="73"/>
    </row>
    <row r="903" spans="1:19" hidden="1">
      <c r="A903" s="72" t="s">
        <v>2692</v>
      </c>
      <c r="B903" s="73" t="str">
        <f>IFERROR(VLOOKUP(Proc[[#This Row],[App]],Table2[],3,0),"open")</f>
        <v>ok</v>
      </c>
      <c r="C903" s="72" t="s">
        <v>369</v>
      </c>
      <c r="D903" t="s">
        <v>2700</v>
      </c>
      <c r="E903" t="s">
        <v>2702</v>
      </c>
      <c r="F903" s="73" t="s">
        <v>2705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75">
        <v>45733</v>
      </c>
      <c r="O903" s="75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1112</v>
      </c>
      <c r="S903" s="73"/>
    </row>
    <row r="904" spans="1:19" hidden="1">
      <c r="A904" s="72" t="s">
        <v>2692</v>
      </c>
      <c r="B904" s="73" t="str">
        <f>IFERROR(VLOOKUP(Proc[[#This Row],[App]],Table2[],3,0),"open")</f>
        <v>ok</v>
      </c>
      <c r="C904" s="72" t="s">
        <v>369</v>
      </c>
      <c r="D904" t="s">
        <v>2701</v>
      </c>
      <c r="E904" t="s">
        <v>2702</v>
      </c>
      <c r="F904" s="73" t="s">
        <v>2705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75">
        <v>45733</v>
      </c>
      <c r="O904" s="75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1112</v>
      </c>
      <c r="S904" s="73"/>
    </row>
    <row r="905" spans="1:19" hidden="1">
      <c r="A905" t="s">
        <v>2708</v>
      </c>
      <c r="B905" s="73" t="str">
        <f>IFERROR(VLOOKUP(Proc[[#This Row],[App]],Table2[],3,0),"open")</f>
        <v>ok</v>
      </c>
      <c r="C905" s="72" t="s">
        <v>369</v>
      </c>
      <c r="D905" t="s">
        <v>2706</v>
      </c>
      <c r="E905" t="s">
        <v>2707</v>
      </c>
      <c r="F905" s="73" t="s">
        <v>2592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75">
        <v>45733</v>
      </c>
      <c r="O905" s="75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2709</v>
      </c>
      <c r="S905" s="73"/>
    </row>
    <row r="906" spans="1:19" hidden="1">
      <c r="A906" t="s">
        <v>2712</v>
      </c>
      <c r="B906" s="73" t="str">
        <f>IFERROR(VLOOKUP(Proc[[#This Row],[App]],Table2[],3,0),"open")</f>
        <v>ok</v>
      </c>
      <c r="C906" s="72" t="s">
        <v>369</v>
      </c>
      <c r="D906" t="s">
        <v>2710</v>
      </c>
      <c r="E906" t="s">
        <v>2711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8</v>
      </c>
      <c r="R906" s="74" t="s">
        <v>2713</v>
      </c>
      <c r="S906" s="73"/>
    </row>
    <row r="907" spans="1:19" hidden="1">
      <c r="A907" t="s">
        <v>2714</v>
      </c>
      <c r="B907" s="73" t="str">
        <f>IFERROR(VLOOKUP(Proc[[#This Row],[App]],Table2[],3,0),"open")</f>
        <v>ok</v>
      </c>
      <c r="C907" t="s">
        <v>369</v>
      </c>
      <c r="D907" t="s">
        <v>2715</v>
      </c>
      <c r="E907" t="s">
        <v>2716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2717</v>
      </c>
      <c r="S907" s="73"/>
    </row>
    <row r="908" spans="1:19" hidden="1">
      <c r="A908" t="s">
        <v>2719</v>
      </c>
      <c r="B908" s="73" t="str">
        <f>IFERROR(VLOOKUP(Proc[[#This Row],[App]],Table2[],3,0),"open")</f>
        <v>ok</v>
      </c>
      <c r="C908" t="s">
        <v>369</v>
      </c>
      <c r="D908" s="77" t="s">
        <v>2718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9</v>
      </c>
      <c r="R908" s="74" t="s">
        <v>538</v>
      </c>
      <c r="S908" s="73"/>
    </row>
    <row r="909" spans="1:19" hidden="1">
      <c r="A909" t="s">
        <v>2732</v>
      </c>
      <c r="B909" s="73" t="str">
        <f>IFERROR(VLOOKUP(Proc[[#This Row],[App]],Table2[],3,0),"open")</f>
        <v>ok</v>
      </c>
      <c r="C909" s="76" t="s">
        <v>398</v>
      </c>
      <c r="D909" t="s">
        <v>2720</v>
      </c>
      <c r="E909" t="s">
        <v>2731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2747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8</v>
      </c>
      <c r="R909" s="74" t="s">
        <v>858</v>
      </c>
      <c r="S909" s="73"/>
    </row>
    <row r="910" spans="1:19" hidden="1">
      <c r="A910" s="76" t="s">
        <v>2732</v>
      </c>
      <c r="B910" s="73" t="str">
        <f>IFERROR(VLOOKUP(Proc[[#This Row],[App]],Table2[],3,0),"open")</f>
        <v>ok</v>
      </c>
      <c r="C910" s="76" t="s">
        <v>398</v>
      </c>
      <c r="D910" t="s">
        <v>2721</v>
      </c>
      <c r="E910" t="s">
        <v>2731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2747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8</v>
      </c>
      <c r="R910" s="74" t="s">
        <v>858</v>
      </c>
      <c r="S910" s="73"/>
    </row>
    <row r="911" spans="1:19" hidden="1">
      <c r="A911" s="76" t="s">
        <v>2732</v>
      </c>
      <c r="B911" s="73" t="str">
        <f>IFERROR(VLOOKUP(Proc[[#This Row],[App]],Table2[],3,0),"open")</f>
        <v>ok</v>
      </c>
      <c r="C911" s="76" t="s">
        <v>398</v>
      </c>
      <c r="D911" t="s">
        <v>2722</v>
      </c>
      <c r="E911" t="s">
        <v>2731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2747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8</v>
      </c>
      <c r="R911" s="74" t="s">
        <v>858</v>
      </c>
      <c r="S911" s="73"/>
    </row>
    <row r="912" spans="1:19" hidden="1">
      <c r="A912" s="76" t="s">
        <v>2732</v>
      </c>
      <c r="B912" s="73" t="str">
        <f>IFERROR(VLOOKUP(Proc[[#This Row],[App]],Table2[],3,0),"open")</f>
        <v>ok</v>
      </c>
      <c r="C912" s="76" t="s">
        <v>398</v>
      </c>
      <c r="D912" t="s">
        <v>2723</v>
      </c>
      <c r="E912" t="s">
        <v>2731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2747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8</v>
      </c>
      <c r="R912" s="74" t="s">
        <v>858</v>
      </c>
      <c r="S912" s="73"/>
    </row>
    <row r="913" spans="1:19" hidden="1">
      <c r="A913" s="76" t="s">
        <v>2732</v>
      </c>
      <c r="B913" s="73" t="str">
        <f>IFERROR(VLOOKUP(Proc[[#This Row],[App]],Table2[],3,0),"open")</f>
        <v>ok</v>
      </c>
      <c r="C913" s="76" t="s">
        <v>398</v>
      </c>
      <c r="D913" t="s">
        <v>2724</v>
      </c>
      <c r="E913" t="s">
        <v>2731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2747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8</v>
      </c>
      <c r="R913" s="74" t="s">
        <v>858</v>
      </c>
      <c r="S913" s="73"/>
    </row>
    <row r="914" spans="1:19" hidden="1">
      <c r="A914" s="76" t="s">
        <v>2732</v>
      </c>
      <c r="B914" s="73" t="str">
        <f>IFERROR(VLOOKUP(Proc[[#This Row],[App]],Table2[],3,0),"open")</f>
        <v>ok</v>
      </c>
      <c r="C914" s="76" t="s">
        <v>398</v>
      </c>
      <c r="D914" t="s">
        <v>2725</v>
      </c>
      <c r="E914" t="s">
        <v>2731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2747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8</v>
      </c>
      <c r="R914" s="74" t="s">
        <v>858</v>
      </c>
      <c r="S914" s="73"/>
    </row>
    <row r="915" spans="1:19" hidden="1">
      <c r="A915" s="76" t="s">
        <v>2732</v>
      </c>
      <c r="B915" s="73" t="str">
        <f>IFERROR(VLOOKUP(Proc[[#This Row],[App]],Table2[],3,0),"open")</f>
        <v>ok</v>
      </c>
      <c r="C915" s="76" t="s">
        <v>398</v>
      </c>
      <c r="D915" t="s">
        <v>2726</v>
      </c>
      <c r="E915" t="s">
        <v>2731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2747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8</v>
      </c>
      <c r="R915" s="74" t="s">
        <v>858</v>
      </c>
      <c r="S915" s="73"/>
    </row>
    <row r="916" spans="1:19" hidden="1">
      <c r="A916" s="76" t="s">
        <v>2732</v>
      </c>
      <c r="B916" s="73" t="str">
        <f>IFERROR(VLOOKUP(Proc[[#This Row],[App]],Table2[],3,0),"open")</f>
        <v>ok</v>
      </c>
      <c r="C916" s="76" t="s">
        <v>398</v>
      </c>
      <c r="D916" t="s">
        <v>2727</v>
      </c>
      <c r="E916" t="s">
        <v>2731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2747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8</v>
      </c>
      <c r="R916" s="74" t="s">
        <v>858</v>
      </c>
      <c r="S916" s="73"/>
    </row>
    <row r="917" spans="1:19" hidden="1">
      <c r="A917" s="76" t="s">
        <v>2732</v>
      </c>
      <c r="B917" s="73" t="str">
        <f>IFERROR(VLOOKUP(Proc[[#This Row],[App]],Table2[],3,0),"open")</f>
        <v>ok</v>
      </c>
      <c r="C917" s="76" t="s">
        <v>398</v>
      </c>
      <c r="D917" t="s">
        <v>2728</v>
      </c>
      <c r="E917" t="s">
        <v>2731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2747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8</v>
      </c>
      <c r="R917" s="74" t="s">
        <v>858</v>
      </c>
      <c r="S917" s="73"/>
    </row>
    <row r="918" spans="1:19" hidden="1">
      <c r="A918" s="76" t="s">
        <v>2732</v>
      </c>
      <c r="B918" s="73" t="str">
        <f>IFERROR(VLOOKUP(Proc[[#This Row],[App]],Table2[],3,0),"open")</f>
        <v>ok</v>
      </c>
      <c r="C918" s="76" t="s">
        <v>398</v>
      </c>
      <c r="D918" t="s">
        <v>2729</v>
      </c>
      <c r="E918" t="s">
        <v>2731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2747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8</v>
      </c>
      <c r="R918" s="74" t="s">
        <v>858</v>
      </c>
      <c r="S918" s="73"/>
    </row>
    <row r="919" spans="1:19" hidden="1">
      <c r="A919" s="76" t="s">
        <v>2732</v>
      </c>
      <c r="B919" s="73" t="str">
        <f>IFERROR(VLOOKUP(Proc[[#This Row],[App]],Table2[],3,0),"open")</f>
        <v>ok</v>
      </c>
      <c r="C919" s="76" t="s">
        <v>398</v>
      </c>
      <c r="D919" t="s">
        <v>2730</v>
      </c>
      <c r="E919" t="s">
        <v>2731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2747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8</v>
      </c>
      <c r="R919" s="74" t="s">
        <v>858</v>
      </c>
      <c r="S919" s="73"/>
    </row>
    <row r="920" spans="1:19" hidden="1">
      <c r="A920" t="s">
        <v>2733</v>
      </c>
      <c r="B920" s="73" t="str">
        <f>IFERROR(VLOOKUP(Proc[[#This Row],[App]],Table2[],3,0),"open")</f>
        <v>ok</v>
      </c>
      <c r="C920" s="76" t="s">
        <v>369</v>
      </c>
      <c r="D920" t="s">
        <v>2734</v>
      </c>
      <c r="E920" t="s">
        <v>2736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1003</v>
      </c>
      <c r="S920" s="73"/>
    </row>
    <row r="921" spans="1:19" hidden="1">
      <c r="A921" s="76" t="s">
        <v>2733</v>
      </c>
      <c r="B921" s="73" t="str">
        <f>IFERROR(VLOOKUP(Proc[[#This Row],[App]],Table2[],3,0),"open")</f>
        <v>ok</v>
      </c>
      <c r="C921" s="76" t="s">
        <v>369</v>
      </c>
      <c r="D921" t="s">
        <v>2735</v>
      </c>
      <c r="E921" t="s">
        <v>1008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1003</v>
      </c>
      <c r="S921" s="73"/>
    </row>
    <row r="922" spans="1:19" hidden="1">
      <c r="A922" t="s">
        <v>2737</v>
      </c>
      <c r="B922" s="73" t="str">
        <f>IFERROR(VLOOKUP(Proc[[#This Row],[App]],Table2[],3,0),"open")</f>
        <v>ok</v>
      </c>
      <c r="C922" s="76" t="s">
        <v>369</v>
      </c>
      <c r="D922" t="s">
        <v>2557</v>
      </c>
      <c r="E922" s="76" t="s">
        <v>2559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2738</v>
      </c>
      <c r="B923" s="73" t="str">
        <f>IFERROR(VLOOKUP(Proc[[#This Row],[App]],Table2[],3,0),"open")</f>
        <v>ok</v>
      </c>
      <c r="C923" s="76" t="s">
        <v>369</v>
      </c>
      <c r="D923" t="s">
        <v>2739</v>
      </c>
      <c r="E923" t="s">
        <v>2740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1112</v>
      </c>
      <c r="S923" s="73"/>
    </row>
    <row r="924" spans="1:19" hidden="1">
      <c r="A924" t="s">
        <v>2742</v>
      </c>
      <c r="B924" s="73" t="str">
        <f>IFERROR(VLOOKUP(Proc[[#This Row],[App]],Table2[],3,0),"open")</f>
        <v>ok</v>
      </c>
      <c r="C924" s="76" t="s">
        <v>369</v>
      </c>
      <c r="D924" t="s">
        <v>2741</v>
      </c>
      <c r="E924" s="76" t="s">
        <v>2743</v>
      </c>
      <c r="F924" s="73" t="s">
        <v>1098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1112</v>
      </c>
      <c r="S924" s="73"/>
    </row>
    <row r="925" spans="1:19" hidden="1">
      <c r="A925" t="s">
        <v>2744</v>
      </c>
      <c r="B925" s="73" t="str">
        <f>IFERROR(VLOOKUP(Proc[[#This Row],[App]],Table2[],3,0),"open")</f>
        <v>ok</v>
      </c>
      <c r="C925" s="76" t="s">
        <v>369</v>
      </c>
      <c r="D925" t="s">
        <v>2745</v>
      </c>
      <c r="E925" t="s">
        <v>2746</v>
      </c>
      <c r="F925" s="73" t="s">
        <v>1098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1112</v>
      </c>
      <c r="S925" s="73"/>
    </row>
    <row r="926" spans="1:19" hidden="1">
      <c r="A926" t="s">
        <v>2748</v>
      </c>
      <c r="B926" s="73" t="str">
        <f>IFERROR(VLOOKUP(Proc[[#This Row],[App]],Table2[],3,0),"open")</f>
        <v>ok</v>
      </c>
      <c r="C926" t="s">
        <v>369</v>
      </c>
      <c r="D926" t="s">
        <v>2749</v>
      </c>
      <c r="E926" t="s">
        <v>2750</v>
      </c>
      <c r="F926" s="73" t="s">
        <v>2256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2751</v>
      </c>
      <c r="B927" s="73" t="str">
        <f>IFERROR(VLOOKUP(Proc[[#This Row],[App]],Table2[],3,0),"open")</f>
        <v>ok</v>
      </c>
      <c r="C927" s="76" t="s">
        <v>369</v>
      </c>
      <c r="D927" t="s">
        <v>2752</v>
      </c>
      <c r="E927" t="s">
        <v>2755</v>
      </c>
      <c r="F927" s="73" t="s">
        <v>2756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2759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1112</v>
      </c>
      <c r="S927" s="73"/>
    </row>
    <row r="928" spans="1:19" hidden="1">
      <c r="A928" s="76" t="s">
        <v>2751</v>
      </c>
      <c r="B928" s="73" t="str">
        <f>IFERROR(VLOOKUP(Proc[[#This Row],[App]],Table2[],3,0),"open")</f>
        <v>ok</v>
      </c>
      <c r="C928" s="76" t="s">
        <v>369</v>
      </c>
      <c r="D928" t="s">
        <v>2753</v>
      </c>
      <c r="E928" t="s">
        <v>2218</v>
      </c>
      <c r="F928" s="73" t="s">
        <v>1098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1112</v>
      </c>
      <c r="S928" s="73"/>
    </row>
    <row r="929" spans="1:19" hidden="1">
      <c r="A929" s="76" t="s">
        <v>2751</v>
      </c>
      <c r="B929" s="73" t="str">
        <f>IFERROR(VLOOKUP(Proc[[#This Row],[App]],Table2[],3,0),"open")</f>
        <v>ok</v>
      </c>
      <c r="C929" s="76" t="s">
        <v>369</v>
      </c>
      <c r="D929" t="s">
        <v>2214</v>
      </c>
      <c r="E929" t="s">
        <v>1308</v>
      </c>
      <c r="F929" s="73" t="s">
        <v>2757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1112</v>
      </c>
      <c r="S929" s="73"/>
    </row>
    <row r="930" spans="1:19" hidden="1">
      <c r="A930" s="76" t="s">
        <v>2751</v>
      </c>
      <c r="B930" s="73" t="str">
        <f>IFERROR(VLOOKUP(Proc[[#This Row],[App]],Table2[],3,0),"open")</f>
        <v>ok</v>
      </c>
      <c r="C930" s="76" t="s">
        <v>369</v>
      </c>
      <c r="D930" t="s">
        <v>2754</v>
      </c>
      <c r="E930" t="s">
        <v>2218</v>
      </c>
      <c r="F930" s="73" t="s">
        <v>2758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1112</v>
      </c>
      <c r="S930" s="73"/>
    </row>
    <row r="931" spans="1:19" hidden="1">
      <c r="A931" t="s">
        <v>2765</v>
      </c>
      <c r="B931" s="73" t="str">
        <f>IFERROR(VLOOKUP(Proc[[#This Row],[App]],Table2[],3,0),"open")</f>
        <v>ok</v>
      </c>
      <c r="C931" s="76" t="s">
        <v>369</v>
      </c>
      <c r="D931" t="s">
        <v>2760</v>
      </c>
      <c r="E931" t="s">
        <v>2764</v>
      </c>
      <c r="F931" s="73" t="s">
        <v>2639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1003</v>
      </c>
      <c r="S931" s="73"/>
    </row>
    <row r="932" spans="1:19" hidden="1">
      <c r="A932" s="76" t="s">
        <v>2765</v>
      </c>
      <c r="B932" s="73" t="str">
        <f>IFERROR(VLOOKUP(Proc[[#This Row],[App]],Table2[],3,0),"open")</f>
        <v>ok</v>
      </c>
      <c r="C932" s="76" t="s">
        <v>369</v>
      </c>
      <c r="D932" t="s">
        <v>2761</v>
      </c>
      <c r="E932" t="s">
        <v>2632</v>
      </c>
      <c r="F932" s="73" t="s">
        <v>1316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1003</v>
      </c>
      <c r="S932" s="73"/>
    </row>
    <row r="933" spans="1:19" hidden="1">
      <c r="A933" s="76" t="s">
        <v>2765</v>
      </c>
      <c r="B933" s="73" t="str">
        <f>IFERROR(VLOOKUP(Proc[[#This Row],[App]],Table2[],3,0),"open")</f>
        <v>ok</v>
      </c>
      <c r="C933" s="76" t="s">
        <v>369</v>
      </c>
      <c r="D933" t="s">
        <v>2762</v>
      </c>
      <c r="E933" t="s">
        <v>1429</v>
      </c>
      <c r="F933" s="73" t="s">
        <v>2763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1003</v>
      </c>
      <c r="S933" s="73"/>
    </row>
    <row r="934" spans="1:19" hidden="1">
      <c r="A934" t="s">
        <v>2778</v>
      </c>
      <c r="B934" s="73" t="str">
        <f>IFERROR(VLOOKUP(Proc[[#This Row],[App]],Table2[],3,0),"open")</f>
        <v>ok</v>
      </c>
      <c r="C934" s="76" t="s">
        <v>369</v>
      </c>
      <c r="D934" t="s">
        <v>2766</v>
      </c>
      <c r="E934" t="s">
        <v>2770</v>
      </c>
      <c r="F934" s="73" t="s">
        <v>2774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5">
        <v>45744</v>
      </c>
      <c r="O934" s="75">
        <v>45744</v>
      </c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8" t="s">
        <v>508</v>
      </c>
      <c r="S934" s="73"/>
    </row>
    <row r="935" spans="1:19" hidden="1">
      <c r="A935" s="76" t="s">
        <v>2778</v>
      </c>
      <c r="B935" s="73" t="str">
        <f>IFERROR(VLOOKUP(Proc[[#This Row],[App]],Table2[],3,0),"open")</f>
        <v>ok</v>
      </c>
      <c r="C935" s="76" t="s">
        <v>369</v>
      </c>
      <c r="D935" t="s">
        <v>2767</v>
      </c>
      <c r="E935" t="s">
        <v>2771</v>
      </c>
      <c r="F935" s="73" t="s">
        <v>2775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5">
        <v>45744</v>
      </c>
      <c r="O935" s="75">
        <v>45744</v>
      </c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8" t="s">
        <v>508</v>
      </c>
      <c r="S935" s="73"/>
    </row>
    <row r="936" spans="1:19" hidden="1">
      <c r="A936" s="76" t="s">
        <v>2778</v>
      </c>
      <c r="B936" s="73" t="str">
        <f>IFERROR(VLOOKUP(Proc[[#This Row],[App]],Table2[],3,0),"open")</f>
        <v>ok</v>
      </c>
      <c r="C936" s="76" t="s">
        <v>369</v>
      </c>
      <c r="D936" t="s">
        <v>2768</v>
      </c>
      <c r="E936" t="s">
        <v>2772</v>
      </c>
      <c r="F936" s="73" t="s">
        <v>2776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5">
        <v>45744</v>
      </c>
      <c r="O936" s="75">
        <v>45744</v>
      </c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8" t="s">
        <v>508</v>
      </c>
      <c r="S936" s="73"/>
    </row>
    <row r="937" spans="1:19" hidden="1">
      <c r="A937" s="76" t="s">
        <v>2778</v>
      </c>
      <c r="B937" s="73" t="str">
        <f>IFERROR(VLOOKUP(Proc[[#This Row],[App]],Table2[],3,0),"open")</f>
        <v>ok</v>
      </c>
      <c r="C937" s="76" t="s">
        <v>369</v>
      </c>
      <c r="D937" t="s">
        <v>2769</v>
      </c>
      <c r="E937" t="s">
        <v>2773</v>
      </c>
      <c r="F937" s="73" t="s">
        <v>2777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5">
        <v>45744</v>
      </c>
      <c r="O937" s="75">
        <v>45744</v>
      </c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8" t="s">
        <v>508</v>
      </c>
      <c r="S937" s="73"/>
    </row>
  </sheetData>
  <phoneticPr fontId="0" type="noConversion"/>
  <conditionalFormatting sqref="D64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G2:G937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2557</v>
      </c>
      <c r="B1" t="s">
        <v>2560</v>
      </c>
    </row>
    <row r="2" spans="1:2">
      <c r="A2" t="s">
        <v>2567</v>
      </c>
      <c r="B2" t="s">
        <v>690</v>
      </c>
    </row>
    <row r="3" spans="1:2">
      <c r="A3" t="s">
        <v>2568</v>
      </c>
      <c r="B3" t="s">
        <v>429</v>
      </c>
    </row>
    <row r="4" spans="1:2">
      <c r="A4" t="s">
        <v>2569</v>
      </c>
      <c r="B4" t="s">
        <v>690</v>
      </c>
    </row>
    <row r="5" spans="1:2">
      <c r="A5" t="s">
        <v>2570</v>
      </c>
      <c r="B5" t="s">
        <v>1529</v>
      </c>
    </row>
    <row r="6" spans="1:2">
      <c r="A6" t="s">
        <v>2571</v>
      </c>
      <c r="B6" t="s">
        <v>2587</v>
      </c>
    </row>
    <row r="7" spans="1:2">
      <c r="A7" t="s">
        <v>2572</v>
      </c>
      <c r="B7" t="s">
        <v>2590</v>
      </c>
    </row>
    <row r="8" spans="1:2">
      <c r="A8" t="s">
        <v>2573</v>
      </c>
      <c r="B8" t="s">
        <v>2588</v>
      </c>
    </row>
    <row r="9" spans="1:2">
      <c r="A9" t="s">
        <v>2574</v>
      </c>
      <c r="B9" t="s">
        <v>429</v>
      </c>
    </row>
    <row r="10" spans="1:2">
      <c r="A10" t="s">
        <v>2575</v>
      </c>
      <c r="B10" t="s">
        <v>1529</v>
      </c>
    </row>
    <row r="11" spans="1:2">
      <c r="A11" t="s">
        <v>2576</v>
      </c>
      <c r="B11" t="s">
        <v>1529</v>
      </c>
    </row>
    <row r="12" spans="1:2">
      <c r="A12" t="s">
        <v>2577</v>
      </c>
      <c r="B12" t="s">
        <v>431</v>
      </c>
    </row>
    <row r="13" spans="1:2">
      <c r="A13" t="s">
        <v>2578</v>
      </c>
      <c r="B13" t="s">
        <v>1285</v>
      </c>
    </row>
    <row r="14" spans="1:2">
      <c r="A14" t="s">
        <v>2579</v>
      </c>
      <c r="B14" t="s">
        <v>1285</v>
      </c>
    </row>
    <row r="15" spans="1:2">
      <c r="A15" t="s">
        <v>2580</v>
      </c>
      <c r="B15" t="s">
        <v>431</v>
      </c>
    </row>
    <row r="16" spans="1:2">
      <c r="A16" t="s">
        <v>2581</v>
      </c>
      <c r="B16" t="s">
        <v>1529</v>
      </c>
    </row>
    <row r="17" spans="1:2">
      <c r="A17" t="s">
        <v>2582</v>
      </c>
      <c r="B17" t="s">
        <v>1529</v>
      </c>
    </row>
    <row r="18" spans="1:2">
      <c r="A18" t="s">
        <v>2583</v>
      </c>
      <c r="B18" t="s">
        <v>426</v>
      </c>
    </row>
    <row r="19" spans="1:2">
      <c r="A19" t="s">
        <v>2584</v>
      </c>
      <c r="B19" t="s">
        <v>2589</v>
      </c>
    </row>
    <row r="20" spans="1:2">
      <c r="A20" t="s">
        <v>2585</v>
      </c>
      <c r="B20" t="s">
        <v>1529</v>
      </c>
    </row>
    <row r="21" spans="1:2">
      <c r="A21" t="s">
        <v>2658</v>
      </c>
      <c r="B21" t="s">
        <v>2663</v>
      </c>
    </row>
    <row r="22" spans="1:2">
      <c r="A22" t="s">
        <v>2659</v>
      </c>
      <c r="B22" t="s">
        <v>2664</v>
      </c>
    </row>
    <row r="23" spans="1:2">
      <c r="A23" t="s">
        <v>2660</v>
      </c>
      <c r="B23" t="s">
        <v>2665</v>
      </c>
    </row>
    <row r="24" spans="1:2">
      <c r="A24" t="s">
        <v>2661</v>
      </c>
      <c r="B24" t="s">
        <v>2666</v>
      </c>
    </row>
    <row r="25" spans="1:2">
      <c r="A25" t="s">
        <v>2710</v>
      </c>
      <c r="B25" t="s">
        <v>2711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1940</v>
      </c>
      <c r="B1" t="str">
        <f>LEFT(A1,22)</f>
        <v>CLFF_VMCA$$$KR07DB3307</v>
      </c>
    </row>
    <row r="2" spans="1:2">
      <c r="A2" s="70" t="s">
        <v>1941</v>
      </c>
      <c r="B2" s="62" t="str">
        <f t="shared" ref="B2:B11" si="0">LEFT(A2,22)</f>
        <v>CLFF_VMCA$$$KR07DB3305</v>
      </c>
    </row>
    <row r="3" spans="1:2">
      <c r="A3" s="71" t="s">
        <v>1942</v>
      </c>
      <c r="B3" s="62" t="str">
        <f t="shared" si="0"/>
        <v>CLFF_VMCA$$$US10DB3015</v>
      </c>
    </row>
    <row r="4" spans="1:2">
      <c r="A4" s="70" t="s">
        <v>1943</v>
      </c>
      <c r="B4" s="62" t="str">
        <f t="shared" si="0"/>
        <v>CLFF_VMCA$$$US10DB3018</v>
      </c>
    </row>
    <row r="5" spans="1:2">
      <c r="A5" s="71" t="s">
        <v>1944</v>
      </c>
      <c r="B5" s="62" t="str">
        <f t="shared" si="0"/>
        <v>CLFF_VMCA$$$US10DB3019</v>
      </c>
    </row>
    <row r="6" spans="1:2">
      <c r="A6" s="70" t="s">
        <v>1945</v>
      </c>
      <c r="B6" s="62" t="str">
        <f t="shared" si="0"/>
        <v>CLFF_VMCA$$$US10DB3010</v>
      </c>
    </row>
    <row r="7" spans="1:2">
      <c r="A7" s="71" t="s">
        <v>1946</v>
      </c>
      <c r="B7" s="62" t="str">
        <f t="shared" si="0"/>
        <v>CLFF_VMCA$$$KR16DB3301</v>
      </c>
    </row>
    <row r="8" spans="1:2">
      <c r="A8" s="70" t="s">
        <v>1947</v>
      </c>
      <c r="B8" s="62" t="str">
        <f t="shared" si="0"/>
        <v>CLFF_VMCA$$$KR15DB3300</v>
      </c>
    </row>
    <row r="9" spans="1:2">
      <c r="A9" s="71" t="s">
        <v>1948</v>
      </c>
      <c r="B9" s="62" t="str">
        <f t="shared" si="0"/>
        <v>CLFF_VMCA$$$KR15DB3302</v>
      </c>
    </row>
    <row r="10" spans="1:2">
      <c r="A10" s="70" t="s">
        <v>1949</v>
      </c>
      <c r="B10" s="62" t="str">
        <f t="shared" si="0"/>
        <v>CLFF_VMCA$$$KR15DB3307</v>
      </c>
    </row>
    <row r="11" spans="1:2">
      <c r="A11" s="71" t="s">
        <v>1950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2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1962</v>
      </c>
      <c r="B114" t="s">
        <v>595</v>
      </c>
    </row>
    <row r="115" spans="1:2">
      <c r="A115" t="s">
        <v>2505</v>
      </c>
      <c r="B115" t="s">
        <v>594</v>
      </c>
    </row>
    <row r="116" spans="1:2">
      <c r="A116" s="74" t="s">
        <v>2667</v>
      </c>
      <c r="B116" s="72" t="s">
        <v>596</v>
      </c>
    </row>
    <row r="117" spans="1:2">
      <c r="A117" t="s">
        <v>2709</v>
      </c>
      <c r="B117" t="s">
        <v>596</v>
      </c>
    </row>
    <row r="118" spans="1:2">
      <c r="A118" t="s">
        <v>2713</v>
      </c>
      <c r="B118" t="s">
        <v>595</v>
      </c>
    </row>
    <row r="119" spans="1:2">
      <c r="A119" s="74" t="s">
        <v>2717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2025-03-28T07:25:05Z</dcterms:modified>
  <cp:category/>
  <cp:contentStatus/>
</cp:coreProperties>
</file>