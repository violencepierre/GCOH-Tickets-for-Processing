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"/>
    </mc:Choice>
  </mc:AlternateContent>
  <xr:revisionPtr revIDLastSave="0" documentId="13_ncr:1_{4FE1BF97-F42F-47D7-9541-80855B7494F0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01" i="1" l="1"/>
  <c r="H3601" i="1"/>
  <c r="J3601" i="1"/>
  <c r="K3601" i="1"/>
  <c r="Q3601" i="1"/>
  <c r="P3601" i="1" s="1"/>
  <c r="B3590" i="1"/>
  <c r="B3591" i="1"/>
  <c r="B3592" i="1"/>
  <c r="B3593" i="1"/>
  <c r="B3594" i="1"/>
  <c r="B3595" i="1"/>
  <c r="B3596" i="1"/>
  <c r="B3597" i="1"/>
  <c r="B3598" i="1"/>
  <c r="B3599" i="1"/>
  <c r="B3600" i="1"/>
  <c r="H3590" i="1"/>
  <c r="H3591" i="1"/>
  <c r="H3592" i="1"/>
  <c r="H3593" i="1"/>
  <c r="H3594" i="1"/>
  <c r="H3595" i="1"/>
  <c r="H3596" i="1"/>
  <c r="H3597" i="1"/>
  <c r="H3598" i="1"/>
  <c r="H3599" i="1"/>
  <c r="H3600" i="1"/>
  <c r="J3590" i="1"/>
  <c r="J3591" i="1"/>
  <c r="J3592" i="1"/>
  <c r="J3593" i="1"/>
  <c r="J3594" i="1"/>
  <c r="J3595" i="1"/>
  <c r="J3596" i="1"/>
  <c r="J3597" i="1"/>
  <c r="J3598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B3589" i="1"/>
  <c r="H3589" i="1"/>
  <c r="J3589" i="1"/>
  <c r="K3589" i="1"/>
  <c r="Q3589" i="1"/>
  <c r="P3589" i="1" s="1"/>
  <c r="B3584" i="1"/>
  <c r="B3585" i="1"/>
  <c r="B3586" i="1"/>
  <c r="B3587" i="1"/>
  <c r="B3588" i="1"/>
  <c r="H3584" i="1"/>
  <c r="H3585" i="1"/>
  <c r="H3586" i="1"/>
  <c r="H3587" i="1"/>
  <c r="H3588" i="1"/>
  <c r="J3584" i="1"/>
  <c r="J3585" i="1"/>
  <c r="J3586" i="1"/>
  <c r="J3587" i="1"/>
  <c r="J3588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B3583" i="1"/>
  <c r="H3583" i="1"/>
  <c r="J3583" i="1"/>
  <c r="K3583" i="1"/>
  <c r="Q3583" i="1"/>
  <c r="P3583" i="1" s="1"/>
  <c r="F3488" i="1"/>
  <c r="J3488" i="1" s="1"/>
  <c r="F3487" i="1"/>
  <c r="J3487" i="1" s="1"/>
  <c r="F3486" i="1"/>
  <c r="J3486" i="1" s="1"/>
  <c r="F3485" i="1"/>
  <c r="F3484" i="1"/>
  <c r="F3483" i="1"/>
  <c r="F3482" i="1"/>
  <c r="F3481" i="1"/>
  <c r="F3480" i="1"/>
  <c r="F3479" i="1"/>
  <c r="B3582" i="1"/>
  <c r="H3582" i="1"/>
  <c r="J3582" i="1"/>
  <c r="K3582" i="1"/>
  <c r="Q3582" i="1"/>
  <c r="P3582" i="1" s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B3487" i="1"/>
  <c r="B3488" i="1"/>
  <c r="H3487" i="1"/>
  <c r="H3488" i="1"/>
  <c r="K3487" i="1"/>
  <c r="K3488" i="1"/>
  <c r="Q3487" i="1"/>
  <c r="P3487" i="1" s="1"/>
  <c r="Q3488" i="1"/>
  <c r="P3488" i="1" s="1"/>
  <c r="B3486" i="1"/>
  <c r="H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<sst xmlns="http://schemas.openxmlformats.org/spreadsheetml/2006/main" count="32503" uniqueCount="5708">
  <si>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</si>
  <si>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</si>
  <si>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</si>
  <si>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</si>
  <si>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</si>
  <si>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</si>
  <si>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</si>
  <si>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</si>
  <si>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</si>
  <si>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</si>
  <si>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</si>
  <si>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</si>
  <si>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</si>
  <si>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</si>
  <si>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</si>
  <si>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</si>
  <si>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</si>
  <si>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</si>
  <si>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</si>
  <si>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</si>
  <si>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</si>
  <si>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</si>
  <si>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</si>
  <si>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</si>
  <si>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</si>
  <si>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</si>
  <si>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</si>
  <si>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</si>
  <si>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</si>
  <si>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</si>
  <si>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</si>
  <si>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</si>
  <si>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</si>
  <si>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</si>
  <si>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</si>
  <si>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</si>
  <si>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</si>
  <si>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</si>
  <si>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</si>
  <si>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</si>
  <si>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</si>
  <si>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</si>
  <si>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</si>
  <si>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</si>
  <si>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</si>
  <si>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</si>
  <si>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</si>
  <si>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</si>
  <si>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</si>
  <si>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</si>
  <si>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</si>
  <si>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</si>
  <si>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</si>
  <si>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</si>
  <si>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</si>
  <si>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</si>
  <si>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</si>
  <si>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</si>
  <si>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</si>
  <si>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</si>
  <si>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</si>
  <si>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</si>
  <si>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</si>
  <si>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</si>
  <si>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</si>
  <si>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</si>
  <si>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</si>
  <si>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</si>
  <si>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</si>
  <si>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</si>
  <si>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</si>
  <si>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</si>
  <si>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</si>
  <si>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</si>
  <si>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</si>
  <si>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</si>
  <si>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</si>
  <si>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</si>
  <si>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</si>
  <si>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</si>
  <si>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</si>
  <si>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</si>
  <si>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</si>
  <si>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</si>
  <si>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</si>
  <si>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</si>
  <si>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</si>
  <si>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</si>
  <si>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</si>
  <si>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</si>
  <si>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</si>
  <si>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</si>
  <si>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</si>
  <si>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</si>
  <si>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</si>
  <si>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</si>
  <si>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</si>
  <si>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</si>
  <si>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</si>
  <si>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</si>
  <si>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</si>
  <si>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</si>
  <si>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</si>
  <si>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</si>
  <si>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</si>
  <si>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</si>
  <si>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</si>
  <si>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</si>
  <si>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</si>
  <si>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</si>
  <si>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</si>
  <si>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</si>
  <si>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</si>
  <si>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</si>
  <si>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</si>
  <si>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</si>
  <si>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</si>
  <si>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</si>
  <si>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</si>
  <si>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</si>
  <si>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</si>
  <si>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</si>
  <si>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</si>
  <si>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</si>
  <si>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</si>
  <si>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</si>
  <si>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</si>
  <si>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</si>
  <si>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</si>
  <si>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</si>
  <si>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</si>
  <si>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</si>
  <si>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</si>
  <si>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</si>
  <si>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</si>
  <si>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</si>
  <si>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</si>
  <si>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</si>
  <si>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</si>
  <si>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</si>
  <si>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</si>
  <si>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</si>
  <si>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</si>
  <si>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</si>
  <si>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</si>
  <si>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</si>
  <si>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</si>
  <si>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</si>
  <si>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</si>
  <si>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</si>
  <si>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</si>
  <si>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</si>
  <si>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</si>
  <si>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</si>
  <si>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</si>
  <si>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</si>
  <si>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</si>
  <si>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</si>
  <si>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</si>
  <si>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</si>
  <si>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</si>
  <si>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</si>
  <si>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</si>
  <si>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</si>
  <si>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</si>
  <si>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</si>
  <si>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</si>
  <si>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</si>
  <si>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</si>
  <si>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</si>
  <si>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</si>
  <si>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</si>
  <si>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</si>
  <si>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</si>
  <si>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</si>
  <si>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</si>
  <si>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</si>
  <si>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</si>
  <si>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</si>
  <si>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</si>
  <si>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</si>
  <si>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</si>
  <si>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</si>
  <si>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</si>
  <si>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</si>
  <si>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</si>
  <si>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</si>
  <si>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</si>
  <si>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</si>
  <si>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</si>
  <si>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</si>
  <si>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</si>
  <si>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</si>
  <si>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</si>
  <si>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</si>
  <si>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</si>
  <si>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</si>
  <si>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</si>
  <si>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</si>
  <si>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</si>
  <si>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</si>
  <si>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</si>
  <si>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</si>
  <si>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</si>
  <si>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</si>
  <si>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</si>
  <si>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</si>
  <si>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</si>
  <si>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</si>
  <si>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</si>
  <si>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</si>
  <si>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</si>
  <si>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</si>
  <si>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</si>
  <si>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</si>
  <si>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</si>
  <si>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</si>
  <si>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</si>
  <si>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</si>
  <si>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</si>
  <si>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</si>
  <si>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</si>
  <si>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</si>
  <si>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</si>
  <si>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</si>
  <si>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</si>
  <si>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</si>
  <si>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</si>
  <si>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</si>
  <si>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</si>
  <si>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</si>
  <si>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</si>
  <si>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</si>
  <si>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</si>
  <si>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</si>
  <si>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</si>
  <si>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</si>
  <si>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</si>
  <si>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</si>
  <si>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</si>
  <si>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</si>
  <si>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</si>
  <si>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</si>
  <si>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</si>
  <si>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</si>
  <si>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</si>
  <si>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</si>
  <si>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</si>
  <si>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</si>
  <si>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</si>
  <si>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</si>
  <si>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</si>
  <si>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</si>
  <si>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</si>
  <si>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</si>
  <si>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</si>
  <si>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</si>
  <si>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</si>
  <si>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</si>
  <si>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</si>
  <si>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</si>
  <si>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</si>
  <si>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</si>
  <si>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</si>
  <si>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</si>
  <si>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</si>
  <si>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</si>
  <si>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</si>
  <si>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</si>
  <si>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</si>
  <si>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</si>
  <si>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</si>
  <si>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</si>
  <si>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</si>
  <si>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</si>
  <si>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</si>
  <si>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</si>
  <si>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</si>
  <si>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</si>
  <si>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</si>
  <si>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</si>
  <si>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</si>
  <si>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</si>
  <si>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</si>
  <si>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</si>
  <si>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</si>
  <si>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</si>
  <si>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</si>
  <si>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</si>
  <si>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</si>
  <si>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</si>
  <si>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</si>
  <si>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</si>
  <si>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</si>
  <si>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</si>
  <si>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</si>
  <si>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</si>
  <si>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</si>
  <si>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</si>
  <si>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</si>
  <si>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</si>
  <si>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</si>
  <si>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</si>
  <si>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</si>
  <si>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</si>
  <si>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</si>
  <si>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</si>
  <si>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</si>
  <si>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</si>
  <si>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</si>
  <si>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</si>
  <si>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</si>
  <si>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</si>
  <si>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</si>
  <si>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</si>
  <si>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</si>
  <si>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</si>
  <si>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</si>
  <si>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</si>
  <si>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</si>
  <si>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</si>
  <si>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</si>
  <si>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</si>
  <si>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</si>
  <si>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</si>
  <si>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</si>
  <si>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</si>
  <si>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</si>
  <si>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</si>
  <si>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</si>
  <si>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</si>
  <si>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</si>
  <si>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</si>
  <si>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</si>
  <si>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</si>
  <si>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</si>
  <si>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</si>
  <si>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</si>
  <si>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</si>
  <si>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</si>
  <si>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</si>
  <si>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</si>
  <si>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</si>
  <si>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</si>
  <si>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</si>
  <si>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</si>
  <si>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</si>
  <si>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</si>
  <si>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</si>
  <si>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</si>
  <si>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</si>
  <si>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</si>
  <si>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</si>
  <si>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</si>
  <si>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</si>
  <si>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</si>
  <si>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</si>
  <si>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</si>
  <si>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</si>
  <si>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</si>
  <si>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</si>
  <si>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</si>
  <si>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</si>
  <si>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</si>
  <si>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</si>
  <si>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</si>
  <si>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</si>
  <si>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</si>
  <si>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</si>
  <si>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</si>
  <si>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</si>
  <si>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</si>
  <si>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</si>
  <si>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</si>
  <si>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</si>
  <si>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</si>
  <si>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</si>
  <si>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</si>
  <si>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</si>
  <si>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</si>
  <si>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</si>
  <si>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</si>
  <si>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</si>
  <si>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</si>
  <si>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</si>
  <si>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</si>
  <si>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</si>
  <si>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</si>
  <si>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</si>
  <si>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</si>
  <si>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</si>
  <si>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</si>
  <si>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</si>
  <si>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</si>
  <si>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</si>
  <si>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</si>
  <si>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</si>
  <si>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</si>
  <si>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</si>
  <si>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</si>
  <si>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</si>
  <si>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</si>
  <si>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</si>
  <si>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</si>
  <si>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</si>
  <si>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</si>
  <si>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</si>
  <si>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</si>
  <si>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</si>
  <si>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</si>
  <si>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</si>
  <si>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</si>
  <si>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</si>
  <si>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</si>
  <si>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</si>
  <si>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</si>
  <si>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</si>
  <si>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</si>
  <si>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</si>
  <si>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</si>
  <si>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</si>
  <si>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</si>
  <si>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</si>
  <si>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</si>
  <si>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</si>
  <si>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</si>
  <si>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</si>
  <si>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</si>
  <si>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</si>
  <si>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</si>
  <si>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</si>
  <si>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</si>
  <si>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</si>
  <si>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</si>
  <si>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</si>
  <si>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</si>
  <si>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</si>
  <si>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</si>
  <si>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</si>
  <si>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</si>
  <si>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</si>
  <si>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</si>
  <si>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</si>
  <si>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</si>
  <si>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</si>
  <si>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</si>
  <si>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</si>
  <si>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</si>
  <si>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</si>
  <si>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</si>
  <si>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</si>
  <si>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</si>
  <si>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</si>
  <si>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</si>
  <si>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</si>
  <si>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</si>
  <si>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</si>
  <si>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</si>
  <si>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</si>
  <si>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</si>
  <si>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</si>
  <si>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</si>
  <si>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</si>
  <si>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</si>
  <si>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</si>
  <si>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</si>
  <si>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</si>
  <si>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</si>
  <si>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</si>
  <si>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</si>
  <si>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</si>
  <si>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</si>
  <si>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</si>
  <si>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</si>
  <si>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</si>
  <si>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</si>
  <si>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</si>
  <si>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</si>
  <si>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</si>
  <si>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</si>
  <si>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</si>
  <si>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</si>
  <si>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</si>
  <si>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</si>
  <si>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</si>
  <si>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</si>
  <si>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</si>
  <si>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</si>
  <si>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</si>
  <si>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</si>
  <si>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</si>
  <si>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</si>
  <si>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</si>
  <si>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</si>
  <si>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</si>
  <si>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</si>
  <si>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</si>
  <si>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</si>
  <si>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</si>
  <si>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</si>
  <si>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</si>
  <si>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</si>
  <si>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</si>
  <si>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</si>
  <si>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</si>
  <si>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</si>
  <si>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</si>
  <si>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</si>
  <si>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</si>
  <si>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</si>
  <si>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</si>
  <si>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</si>
  <si>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</si>
  <si>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</si>
  <si>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</si>
  <si>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</si>
  <si>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</si>
  <si>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</si>
  <si>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</si>
  <si>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</si>
  <si>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</si>
  <si>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</si>
  <si>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</si>
  <si>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</si>
  <si>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</si>
  <si>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</si>
  <si>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</si>
  <si>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</si>
  <si>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</si>
  <si>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</si>
  <si>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</si>
  <si>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</si>
  <si>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</si>
  <si>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</si>
  <si>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</si>
  <si>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</si>
  <si>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</si>
  <si>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</si>
  <si>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</si>
  <si>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</si>
  <si>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</si>
  <si>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</si>
  <si>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</si>
  <si>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</si>
  <si>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</si>
  <si>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</si>
  <si>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</si>
  <si>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</si>
  <si>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</si>
  <si>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</si>
  <si>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</si>
  <si>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</si>
  <si>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</si>
  <si>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</si>
  <si>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</si>
  <si>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</si>
  <si>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</si>
  <si>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</si>
  <si>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</si>
  <si>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</si>
  <si>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</si>
  <si>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</si>
  <si>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</si>
  <si>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</si>
  <si>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</si>
  <si>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</si>
  <si>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</si>
  <si>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</si>
  <si>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</si>
  <si>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</si>
  <si>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</si>
  <si>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</si>
  <si>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</si>
  <si>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</si>
  <si>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</si>
  <si>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</si>
  <si>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</si>
  <si>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</si>
  <si>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</si>
  <si>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</si>
  <si>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</si>
  <si>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</si>
  <si>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</si>
  <si>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</si>
  <si>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</si>
  <si>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</si>
  <si>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</si>
  <si>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</si>
  <si>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</si>
  <si>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</si>
  <si>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</si>
  <si>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</si>
  <si>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</si>
  <si>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</si>
  <si>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</si>
  <si>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</si>
  <si>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</si>
  <si>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</si>
  <si>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</si>
  <si>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</si>
  <si>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</si>
  <si>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</si>
  <si>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</si>
  <si>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</si>
  <si>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</si>
  <si>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</si>
  <si>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</si>
  <si>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</si>
  <si>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</si>
  <si>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</si>
  <si>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</si>
  <si>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</si>
  <si>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</si>
  <si>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</si>
  <si>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</si>
  <si>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</si>
  <si>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</si>
  <si>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</si>
  <si>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</si>
  <si>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</si>
  <si>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</si>
  <si>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</si>
  <si>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</si>
  <si>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</si>
  <si>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</si>
  <si>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</si>
  <si>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</si>
  <si>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</si>
  <si>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</si>
  <si>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</si>
  <si>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</si>
  <si>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</si>
  <si>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</si>
  <si>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</si>
  <si>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</si>
  <si>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</si>
  <si>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</si>
  <si>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</si>
  <si>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</si>
  <si>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</si>
  <si>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</si>
  <si>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</si>
  <si>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</si>
  <si>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</si>
  <si>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</si>
  <si>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</si>
  <si>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</si>
  <si>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</si>
  <si>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</si>
  <si>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</si>
  <si>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</si>
  <si>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</si>
  <si>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</si>
  <si>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</si>
  <si>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</si>
  <si>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</si>
  <si>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</si>
  <si>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</si>
  <si>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</si>
  <si>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</si>
  <si>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</si>
  <si>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</si>
  <si>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</si>
  <si>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</si>
  <si>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</si>
  <si>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</si>
  <si>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</si>
  <si>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</si>
  <si>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</si>
  <si>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</si>
  <si>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</si>
  <si>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</si>
  <si>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</si>
  <si>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</si>
  <si>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</si>
  <si>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</si>
  <si>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</si>
  <si>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</si>
  <si>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</si>
  <si>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</si>
  <si>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</si>
  <si>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</si>
  <si>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</si>
  <si>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</si>
  <si>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</si>
  <si>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</si>
  <si>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</si>
  <si>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</si>
  <si>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</si>
  <si>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</si>
  <si>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</si>
  <si>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</si>
  <si>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</si>
  <si>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</si>
  <si>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</si>
  <si>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</si>
  <si>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</si>
  <si>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</si>
  <si>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</si>
  <si>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</si>
  <si>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</si>
  <si>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</si>
  <si>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</si>
  <si>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</si>
  <si>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</si>
  <si>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</si>
  <si>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</si>
  <si>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</si>
  <si>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</si>
  <si>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</si>
  <si>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</si>
  <si>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</si>
  <si>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</si>
  <si>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</si>
  <si>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</si>
  <si>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</si>
  <si>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</si>
  <si>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</si>
  <si>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</si>
  <si>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</si>
  <si>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</si>
  <si>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</si>
  <si>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</si>
  <si>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</si>
  <si>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</si>
  <si>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</si>
  <si>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</si>
  <si>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</si>
  <si>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</si>
  <si>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</si>
  <si>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</si>
  <si>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</si>
  <si>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</si>
  <si>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</si>
  <si>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</si>
  <si>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</si>
  <si>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</si>
  <si>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</si>
  <si>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</si>
  <si>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</si>
  <si>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</si>
  <si>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</si>
  <si>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</si>
  <si>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</si>
  <si>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</si>
  <si>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</si>
  <si>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</si>
  <si>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</si>
  <si>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</si>
  <si>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</si>
  <si>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</si>
  <si>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</si>
  <si>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</si>
  <si>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</si>
  <si>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</si>
  <si>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</si>
  <si>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</si>
  <si>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</si>
  <si>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</si>
  <si>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</si>
  <si>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</si>
  <si>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</si>
  <si>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</si>
  <si>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</si>
  <si>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</si>
  <si>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</si>
  <si>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</si>
  <si>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</si>
  <si>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</si>
  <si>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</si>
  <si>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</si>
  <si>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</si>
  <si>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</si>
  <si>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</si>
  <si>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</si>
  <si>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</si>
  <si>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</si>
  <si>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</si>
  <si>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</si>
  <si>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</si>
  <si>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</si>
  <si>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</si>
  <si>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</si>
  <si>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</si>
  <si>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</si>
  <si>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</si>
  <si>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</si>
  <si>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</si>
  <si>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</si>
  <si>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</si>
  <si>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</si>
  <si>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</si>
  <si>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</si>
  <si>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</si>
  <si>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</si>
  <si>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</si>
  <si>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</si>
  <si>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</si>
  <si>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</si>
  <si>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</si>
  <si>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</si>
  <si>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</si>
  <si>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</si>
  <si>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</si>
  <si>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</si>
  <si>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</si>
  <si>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</si>
  <si>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</si>
  <si>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</si>
  <si>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</si>
  <si>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</si>
  <si>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</si>
  <si>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</si>
  <si>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</si>
  <si>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</si>
  <si>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</si>
  <si>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</si>
  <si>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</si>
  <si>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</si>
  <si>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</si>
  <si>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</si>
  <si>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</si>
  <si>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</si>
  <si>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</si>
  <si>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</si>
  <si>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</si>
  <si>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</si>
  <si>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</si>
  <si>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</si>
  <si>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</si>
  <si>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</si>
  <si>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</si>
  <si>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</si>
  <si>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</si>
  <si>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</si>
  <si>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</si>
  <si>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</si>
  <si>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</si>
  <si>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</si>
  <si>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</si>
  <si>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</si>
  <si>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</si>
  <si>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</si>
  <si>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</si>
  <si>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</si>
  <si>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</si>
  <si>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</si>
  <si>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</si>
  <si>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</si>
  <si>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</si>
  <si>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</si>
  <si>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</si>
  <si>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</si>
  <si>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</si>
  <si>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</si>
  <si>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</si>
  <si>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</si>
  <si>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</si>
  <si>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</si>
  <si>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</si>
  <si>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</si>
  <si>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</si>
  <si>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</si>
  <si>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</si>
  <si>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</si>
  <si>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</si>
  <si>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</si>
  <si>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</si>
  <si>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</si>
  <si>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</si>
  <si>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</si>
  <si>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</si>
  <si>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</si>
  <si>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</si>
  <si>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</si>
  <si>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</si>
  <si>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</si>
  <si>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</si>
  <si>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</si>
  <si>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</si>
  <si>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</si>
  <si>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</si>
  <si>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</si>
  <si>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</si>
  <si>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</si>
  <si>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</si>
  <si>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</si>
  <si>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</si>
  <si>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</si>
  <si>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</si>
  <si>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</si>
  <si>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</si>
  <si>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</si>
  <si>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</si>
  <si>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</si>
  <si>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</si>
  <si>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</si>
  <si>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</si>
  <si>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</si>
  <si>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</si>
  <si>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</si>
  <si>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</si>
  <si>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</si>
  <si>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</si>
  <si>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</si>
  <si>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</si>
  <si>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</si>
  <si>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</si>
  <si>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</si>
  <si>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</si>
  <si>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</si>
  <si>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</si>
  <si>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</si>
  <si>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</si>
  <si>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</si>
  <si>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</si>
  <si>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</si>
  <si>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</si>
  <si>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</si>
  <si>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</si>
  <si>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</si>
  <si>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</si>
  <si>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</si>
  <si>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</si>
  <si>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</si>
  <si>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</si>
  <si>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</si>
  <si>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</si>
  <si>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</si>
  <si>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</si>
  <si>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</si>
  <si>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</si>
  <si>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</si>
  <si>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</si>
  <si>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</si>
  <si>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</si>
  <si>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</si>
  <si>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</si>
  <si>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</si>
  <si>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</si>
  <si>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</si>
  <si>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</si>
  <si>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</si>
  <si>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</si>
  <si>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</si>
  <si>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</si>
  <si>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</si>
  <si>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</si>
  <si>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</si>
  <si>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</si>
  <si>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</si>
  <si>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</si>
  <si>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</si>
  <si>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</si>
  <si>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</si>
  <si>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</si>
  <si>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</si>
  <si>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</si>
  <si>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</si>
  <si>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</si>
  <si>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</si>
  <si>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</si>
  <si>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</si>
  <si>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</si>
  <si>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</si>
  <si>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</si>
  <si>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</si>
  <si>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</si>
  <si>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</si>
  <si>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</si>
  <si>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</si>
  <si>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</si>
  <si>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</si>
  <si>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</si>
  <si>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</si>
  <si>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</si>
  <si>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</si>
  <si>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</si>
  <si>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</si>
  <si>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</si>
  <si>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</si>
  <si>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</si>
  <si>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</si>
  <si>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</si>
  <si>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</si>
  <si>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</si>
  <si>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</si>
  <si>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</si>
  <si>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</si>
  <si>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</si>
  <si>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</si>
  <si>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</si>
  <si>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</si>
  <si>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</si>
  <si>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</si>
  <si>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</si>
  <si>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</si>
  <si>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</si>
  <si>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</si>
  <si>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</si>
  <si>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</si>
  <si>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</si>
  <si>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</si>
  <si>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</si>
  <si>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</si>
  <si>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</si>
  <si>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</si>
  <si>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</si>
  <si>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</si>
  <si>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</si>
  <si>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</si>
  <si>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</si>
  <si>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</si>
  <si>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</si>
  <si>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</si>
  <si>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</si>
  <si>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</si>
  <si>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</si>
  <si>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</si>
  <si>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</si>
  <si>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</si>
  <si>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</si>
  <si>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</si>
  <si>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</si>
  <si>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</si>
  <si>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</si>
  <si>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</si>
  <si>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</si>
  <si>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</si>
  <si>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</si>
  <si>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</si>
  <si>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</si>
  <si>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</si>
  <si>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</si>
  <si>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</si>
  <si>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</si>
  <si>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</si>
  <si>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</si>
  <si>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</si>
  <si>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</si>
  <si>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</si>
  <si>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</si>
  <si>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</si>
  <si>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</si>
  <si>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</si>
  <si>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</si>
  <si>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</si>
  <si>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</si>
  <si>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</si>
  <si>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</si>
  <si>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</si>
  <si>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</si>
  <si>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</si>
  <si>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</si>
  <si>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</si>
  <si>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</si>
  <si>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</si>
  <si>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</si>
  <si>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</si>
  <si>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</si>
  <si>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</si>
  <si>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</si>
  <si>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</si>
  <si>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</si>
  <si>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</si>
  <si>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</si>
  <si>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</si>
  <si>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</si>
  <si>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</si>
  <si>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</si>
  <si>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</si>
  <si>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</si>
  <si>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</si>
  <si>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</si>
  <si>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</si>
  <si>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</si>
  <si>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</si>
  <si>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</si>
  <si>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</si>
  <si>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</si>
  <si>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</si>
  <si>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</si>
  <si>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</si>
  <si>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</si>
  <si>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</si>
  <si>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</si>
  <si>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</si>
  <si>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</si>
  <si>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</si>
  <si>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</si>
  <si>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</si>
  <si>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</si>
  <si>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</si>
  <si>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</si>
  <si>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</si>
  <si>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</si>
  <si>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</si>
  <si>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</si>
  <si>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</si>
  <si>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</si>
  <si>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</si>
  <si>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</si>
  <si>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</si>
  <si>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</si>
  <si>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</si>
  <si>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</si>
  <si>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</si>
  <si>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</si>
  <si>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</si>
  <si>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</si>
  <si>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</si>
  <si>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</si>
  <si>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</si>
  <si>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</si>
  <si>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</si>
  <si>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</si>
  <si>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</si>
  <si>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</si>
  <si>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</si>
  <si>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</si>
  <si>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</si>
  <si>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</si>
  <si>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</si>
  <si>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</si>
  <si>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</si>
  <si>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</si>
  <si>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</si>
  <si>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</si>
  <si>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</si>
  <si>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</si>
  <si>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</si>
  <si>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</si>
  <si>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</si>
  <si>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</si>
  <si>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</si>
  <si>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</si>
  <si>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</si>
  <si>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</si>
  <si>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</si>
  <si>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</si>
  <si>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</si>
  <si>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</si>
  <si>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</si>
  <si>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</si>
  <si>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</si>
  <si>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</si>
  <si>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</si>
  <si>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</si>
  <si>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</si>
  <si>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</si>
  <si>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</si>
  <si>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</si>
  <si>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</si>
  <si>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</si>
  <si>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</si>
  <si>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</si>
  <si>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</si>
  <si>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</si>
  <si>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</si>
  <si>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</si>
  <si>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</si>
  <si>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</si>
  <si>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</si>
  <si>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</si>
  <si>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</si>
  <si>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</si>
  <si>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</si>
  <si>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</si>
  <si>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</si>
  <si>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</si>
  <si>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</si>
  <si>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</si>
  <si>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</si>
  <si>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</si>
  <si>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</si>
  <si>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</si>
  <si>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</si>
  <si>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</si>
  <si>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</si>
  <si>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</si>
  <si>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</si>
  <si>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</si>
  <si>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</si>
  <si>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</si>
  <si>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</si>
  <si>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</si>
  <si>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</si>
  <si>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</si>
  <si>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</si>
  <si>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</si>
  <si>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</si>
  <si>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</si>
  <si>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</si>
  <si>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</si>
  <si>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</si>
  <si>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</si>
  <si>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</si>
  <si>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</si>
  <si>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</si>
  <si>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</si>
  <si>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</si>
  <si>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</si>
  <si>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</si>
  <si>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</si>
  <si>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</si>
  <si>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</si>
  <si>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</si>
  <si>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</si>
  <si>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</si>
  <si>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</si>
  <si>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</si>
  <si>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</si>
  <si>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</si>
  <si>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</si>
  <si>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</si>
  <si>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</si>
  <si>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</si>
  <si>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</si>
  <si>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</si>
  <si>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</si>
  <si>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</si>
  <si>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</si>
  <si>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</si>
  <si>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</si>
  <si>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</si>
  <si>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</si>
  <si>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</si>
  <si>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</si>
  <si>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</si>
  <si>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</si>
  <si>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</si>
  <si>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</si>
  <si>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</si>
  <si>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</si>
  <si>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</si>
  <si>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</si>
  <si>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</si>
  <si>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</si>
  <si>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</si>
  <si>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</si>
  <si>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</si>
  <si>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</si>
  <si>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</si>
  <si>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</si>
  <si>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</si>
  <si>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</si>
  <si>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</si>
  <si>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</si>
  <si>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</si>
  <si>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</si>
  <si>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</si>
  <si>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</si>
  <si>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</si>
  <si>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</si>
  <si>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</si>
  <si>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</si>
  <si>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</si>
  <si>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</si>
  <si>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</si>
  <si>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</si>
  <si>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</si>
  <si>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</si>
  <si>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</si>
  <si>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</si>
  <si>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</si>
  <si>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</si>
  <si>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</si>
  <si>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</si>
  <si>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</si>
  <si>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</si>
  <si>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</si>
  <si>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</si>
  <si>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</si>
  <si>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</si>
  <si>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</si>
  <si>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</si>
  <si>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</si>
  <si>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</si>
  <si>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</si>
  <si>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</si>
  <si>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</si>
  <si>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</si>
  <si>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</si>
  <si>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</si>
  <si>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</si>
  <si>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</si>
  <si>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</si>
  <si>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</si>
  <si>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</si>
  <si>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</si>
  <si>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</si>
  <si>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</si>
  <si>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</si>
  <si>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</si>
  <si>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</si>
  <si>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</si>
  <si>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</si>
  <si>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</si>
  <si>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</si>
  <si>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</si>
  <si>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</si>
  <si>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</si>
  <si>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</si>
  <si>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</si>
  <si>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</si>
  <si>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</si>
  <si>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</si>
  <si>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</si>
  <si>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</si>
  <si>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</si>
  <si>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</si>
  <si>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</si>
  <si>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</si>
  <si>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</si>
  <si>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</si>
  <si>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</si>
  <si>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</si>
  <si>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</si>
  <si>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</si>
  <si>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</si>
  <si>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</si>
  <si>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</si>
  <si>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</si>
  <si>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</si>
  <si>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</si>
  <si>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</si>
  <si>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</si>
  <si>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</si>
  <si>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</si>
  <si>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</si>
  <si>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</si>
  <si>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</si>
  <si>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</si>
  <si>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</si>
  <si>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</si>
  <si>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</si>
  <si>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</si>
  <si>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</si>
  <si>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</si>
  <si>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</si>
  <si>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</si>
  <si>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</si>
  <si>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</si>
  <si>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</si>
  <si>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</si>
  <si>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</si>
  <si>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</si>
  <si>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</si>
  <si>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</si>
  <si>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</si>
  <si>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</si>
  <si>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</si>
  <si>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</si>
  <si>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</si>
  <si>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</si>
  <si>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</si>
  <si>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</si>
  <si>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</si>
  <si>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</si>
  <si>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</si>
  <si>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</si>
  <si>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</si>
  <si>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</si>
  <si>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</si>
  <si>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</si>
  <si>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</si>
  <si>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</si>
  <si>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</si>
  <si>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</si>
  <si>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</si>
  <si>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</si>
  <si>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</si>
  <si>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</si>
  <si>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</si>
  <si>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</si>
  <si>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</si>
  <si>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</si>
  <si>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</si>
  <si>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</si>
  <si>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</si>
  <si>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</si>
  <si>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</si>
  <si>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</si>
  <si>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</si>
  <si>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</si>
  <si>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</si>
  <si>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</si>
  <si>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</si>
  <si>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</si>
  <si>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</si>
  <si>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</si>
  <si>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</si>
  <si>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</si>
  <si>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</si>
  <si>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</si>
  <si>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</si>
  <si>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</si>
  <si>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</si>
  <si>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</si>
  <si>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</si>
  <si>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</si>
  <si>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</si>
  <si>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</si>
  <si>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</si>
  <si>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</si>
  <si>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</si>
  <si>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</si>
  <si>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</si>
  <si>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</si>
  <si>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</si>
  <si>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</si>
  <si>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</si>
  <si>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</si>
  <si>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</si>
  <si>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</si>
  <si>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</si>
  <si>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</si>
  <si>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</si>
  <si>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</si>
  <si>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</si>
  <si>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</si>
  <si>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</si>
  <si>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</si>
  <si>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</si>
  <si>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</si>
  <si>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</si>
  <si>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</si>
  <si>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</si>
  <si>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</si>
  <si>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</si>
  <si>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</si>
  <si>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</si>
  <si>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</si>
  <si>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</si>
  <si>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</si>
  <si>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</si>
  <si>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</si>
  <si>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</si>
  <si>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</si>
  <si>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</si>
  <si>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</si>
  <si>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</si>
  <si>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</si>
  <si>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</si>
  <si>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</si>
  <si>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</si>
  <si>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</si>
  <si>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</si>
  <si>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</si>
  <si>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</si>
  <si>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</si>
  <si>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</si>
  <si>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</si>
  <si>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</si>
  <si>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</si>
  <si>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</si>
  <si>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</si>
  <si>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</si>
  <si>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</si>
  <si>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</si>
  <si>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</si>
  <si>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</si>
  <si>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</si>
  <si>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</si>
  <si>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</si>
  <si>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</si>
  <si>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</si>
  <si>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</si>
  <si>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</si>
  <si>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</si>
  <si>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</si>
  <si>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</si>
  <si>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</si>
  <si>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</si>
  <si>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</si>
  <si>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</si>
  <si>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</si>
  <si>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</si>
  <si>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</si>
  <si>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</si>
  <si>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</si>
  <si>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</si>
  <si>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</si>
  <si>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</si>
  <si>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</si>
  <si>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</si>
  <si>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</si>
  <si>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</si>
  <si>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</si>
  <si>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</si>
  <si>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</si>
  <si>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</si>
  <si>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</si>
  <si>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</si>
  <si>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</si>
  <si>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</si>
  <si>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</si>
  <si>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</si>
  <si>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</si>
  <si>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</si>
  <si>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</si>
  <si>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</si>
  <si>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</si>
  <si>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</si>
  <si>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</si>
  <si>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</si>
  <si>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</si>
  <si>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</si>
  <si>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</si>
  <si>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</si>
  <si>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</si>
  <si>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</si>
  <si>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</si>
  <si>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</si>
  <si>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</si>
  <si>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</si>
  <si>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</si>
  <si>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</si>
  <si>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</si>
  <si>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</si>
  <si>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</si>
  <si>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</si>
  <si>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</si>
  <si>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</si>
  <si>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</si>
  <si>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</si>
  <si>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</si>
  <si>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</si>
  <si>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</si>
  <si>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</si>
  <si>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</si>
  <si>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</si>
  <si>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</si>
  <si>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</si>
  <si>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</si>
  <si>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</si>
  <si>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</si>
  <si>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</si>
  <si>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</si>
  <si>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</si>
  <si>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</si>
  <si>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</si>
  <si>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</si>
  <si>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</si>
  <si>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</si>
  <si>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</si>
  <si>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</si>
  <si>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</si>
  <si>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</si>
  <si>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</si>
  <si>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</si>
  <si>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</si>
  <si>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</si>
  <si>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</si>
  <si>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</si>
  <si>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</si>
  <si>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</si>
  <si>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</si>
  <si>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</si>
  <si>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</si>
  <si>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</si>
  <si>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</si>
  <si>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</si>
  <si>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</si>
  <si>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</si>
  <si>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</si>
  <si>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</si>
  <si>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</si>
  <si>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</si>
  <si>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</si>
  <si>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</si>
  <si>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</si>
  <si>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</si>
  <si>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</si>
  <si>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</si>
  <si>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</si>
  <si>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</si>
  <si>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</si>
  <si>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</si>
  <si>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</si>
  <si>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</si>
  <si>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</si>
  <si>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</si>
  <si>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</si>
  <si>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</si>
  <si>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</si>
  <si>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</si>
  <si>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</si>
  <si>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</si>
  <si>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</si>
  <si>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</si>
  <si>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</si>
  <si>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</si>
  <si>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</si>
  <si>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</si>
  <si>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</si>
  <si>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</si>
  <si>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</si>
  <si>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</si>
  <si>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</si>
  <si>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</si>
  <si>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</si>
  <si>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</si>
  <si>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</si>
  <si>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</si>
  <si>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</si>
  <si>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</si>
  <si>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</si>
  <si>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</si>
  <si>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</si>
  <si>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</si>
  <si>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</si>
  <si>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</si>
  <si>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</si>
  <si>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</si>
  <si>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</si>
  <si>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</si>
  <si>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</si>
  <si>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</si>
  <si>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</si>
  <si>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</si>
  <si>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</si>
  <si>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</si>
  <si>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</si>
  <si>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</si>
  <si>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</si>
  <si>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</si>
  <si>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</si>
  <si>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</si>
  <si>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</si>
  <si>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</si>
  <si>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</si>
  <si>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</si>
  <si>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</si>
  <si>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</si>
  <si>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</si>
  <si>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</si>
  <si>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</si>
  <si>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</si>
  <si>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</si>
  <si>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</si>
  <si>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</si>
  <si>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</si>
  <si>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</si>
  <si>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</si>
  <si>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</si>
  <si>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</si>
  <si>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</si>
  <si>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</si>
  <si>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</si>
  <si>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</si>
  <si>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</si>
  <si>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</si>
  <si>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</si>
  <si>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</si>
  <si>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</si>
  <si>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</si>
  <si>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</si>
  <si>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</si>
  <si>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</si>
  <si>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</si>
  <si>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</si>
  <si>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</si>
  <si>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</si>
  <si>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</si>
  <si>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</si>
  <si>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</si>
  <si>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</si>
  <si>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</si>
  <si>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</si>
  <si>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</si>
  <si>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</si>
  <si>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</si>
  <si>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</si>
  <si>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</si>
  <si>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</si>
  <si>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</si>
  <si>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</si>
  <si>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</si>
  <si>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</si>
  <si>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</si>
  <si>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</si>
  <si>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</si>
  <si>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</si>
  <si>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</si>
  <si>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</si>
  <si>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</si>
  <si>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</si>
  <si>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</si>
  <si>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</si>
  <si>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</si>
  <si>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</si>
  <si>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</si>
  <si>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</si>
  <si>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</si>
  <si>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</si>
  <si>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</si>
  <si>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</si>
  <si>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</si>
  <si>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</si>
  <si>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</si>
  <si>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</si>
  <si>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</si>
  <si>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</si>
  <si>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</si>
  <si>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</si>
  <si>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</si>
  <si>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</si>
  <si>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</si>
  <si>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</si>
  <si>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</si>
  <si>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</si>
  <si>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</si>
  <si>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</si>
  <si>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</si>
  <si>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</si>
  <si>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</si>
  <si>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</si>
  <si>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</si>
  <si>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</si>
  <si>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</si>
  <si>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</si>
  <si>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</si>
  <si>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</si>
  <si>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</si>
  <si>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</si>
  <si>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</si>
  <si>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</si>
  <si>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</si>
  <si>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</si>
  <si>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</si>
  <si>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</si>
  <si>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</si>
  <si>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</si>
  <si>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</si>
  <si>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</si>
  <si>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</si>
  <si>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</si>
  <si>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</si>
  <si>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</si>
  <si>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</si>
  <si>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</si>
  <si>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</si>
  <si>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</si>
  <si>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</si>
  <si>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</si>
  <si>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</si>
  <si>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</si>
  <si>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</si>
  <si>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</si>
  <si>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</si>
  <si>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</si>
  <si>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</si>
  <si>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</si>
  <si>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</si>
  <si>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</si>
  <si>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</si>
  <si>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</si>
  <si>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</si>
  <si>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</si>
  <si>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</si>
  <si>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</si>
  <si>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</si>
  <si>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</si>
  <si>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</si>
  <si>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</si>
  <si>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</si>
  <si>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</si>
  <si>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</si>
  <si>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</si>
  <si>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</si>
  <si>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</si>
  <si>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</si>
  <si>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</si>
  <si>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</si>
  <si>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</si>
  <si>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</si>
  <si>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</si>
  <si>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</si>
  <si>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</si>
  <si>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</si>
  <si>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</si>
  <si>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</si>
  <si>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</si>
  <si>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</si>
  <si>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</si>
  <si>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</si>
  <si>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</si>
  <si>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</si>
  <si>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</si>
  <si>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</si>
  <si>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</si>
  <si>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</si>
  <si>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</si>
  <si>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</si>
  <si>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</si>
  <si>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</si>
  <si>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</si>
  <si>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</si>
  <si>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</si>
  <si>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</si>
  <si>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</si>
  <si>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</si>
  <si>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</si>
  <si>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</si>
  <si>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</si>
  <si>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</si>
  <si>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</si>
  <si>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</si>
  <si>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</si>
  <si>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</si>
  <si>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</si>
  <si>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</si>
  <si>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</si>
  <si>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</si>
  <si>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</si>
  <si>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</si>
  <si>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</si>
  <si>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</si>
  <si>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</si>
  <si>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</si>
  <si>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</si>
  <si>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</si>
  <si>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</si>
  <si>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</si>
  <si>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</si>
  <si>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</si>
  <si>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</si>
  <si>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</si>
  <si>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</si>
  <si>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</si>
  <si>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</si>
  <si>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</si>
  <si>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</si>
  <si>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</si>
  <si>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</si>
  <si>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</si>
  <si>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</si>
  <si>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</si>
  <si>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</si>
  <si>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</si>
  <si>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</si>
  <si>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</si>
  <si>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</si>
  <si>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</si>
  <si>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</si>
  <si>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</si>
  <si>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</si>
  <si>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</si>
  <si>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</si>
  <si>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</si>
  <si>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</si>
  <si>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</si>
  <si>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</si>
  <si>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</si>
  <si>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</si>
  <si>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</si>
  <si>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</si>
  <si>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</si>
  <si>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</si>
  <si>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</si>
  <si>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</si>
  <si>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</si>
  <si>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</si>
  <si>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</si>
  <si>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</si>
  <si>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</si>
  <si>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</si>
  <si>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</si>
  <si>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</si>
  <si>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</si>
  <si>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</si>
  <si>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</si>
  <si>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</si>
  <si>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</si>
  <si>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</si>
  <si>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</si>
  <si>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</si>
  <si>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</si>
  <si>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</si>
  <si>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</si>
  <si>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</si>
  <si>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</si>
  <si>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</si>
  <si>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</si>
  <si>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</si>
  <si>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</si>
  <si>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</si>
  <si>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</si>
  <si>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</si>
  <si>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</si>
  <si>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</si>
  <si>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</si>
  <si>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</si>
  <si>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</si>
  <si>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</si>
  <si>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</si>
  <si>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</si>
  <si>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</si>
  <si>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</si>
  <si>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</si>
  <si>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</si>
  <si>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</si>
  <si>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</si>
  <si>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</si>
  <si>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</si>
  <si>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</si>
  <si>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</si>
  <si>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</si>
  <si>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</si>
  <si>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</si>
  <si>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</si>
  <si>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</si>
  <si>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</si>
  <si>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</si>
  <si>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</si>
  <si>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</si>
  <si>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</si>
  <si>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</si>
  <si>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</si>
  <si>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</si>
  <si>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</si>
  <si>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</si>
  <si>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</si>
  <si>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</si>
  <si>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</si>
  <si>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</si>
  <si>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</si>
  <si>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</si>
  <si>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</si>
  <si>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</si>
  <si>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</si>
  <si>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</si>
  <si>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</si>
  <si>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</si>
  <si>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</si>
  <si>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</si>
  <si>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</si>
  <si>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</si>
  <si>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</si>
  <si>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</si>
  <si>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</si>
  <si>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</si>
  <si>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</si>
  <si>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</si>
  <si>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</si>
  <si>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</si>
  <si>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</si>
  <si>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</si>
  <si>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</si>
  <si>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</si>
  <si>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</si>
  <si>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</si>
  <si>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</si>
  <si>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</si>
  <si>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</si>
  <si>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</si>
  <si>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</si>
  <si>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</si>
  <si>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</si>
  <si>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</si>
  <si>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</si>
  <si>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</si>
  <si>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</si>
  <si>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</si>
  <si>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</si>
  <si>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</si>
  <si>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</si>
  <si>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</si>
  <si>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</si>
  <si>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</si>
  <si>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</si>
  <si>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</si>
  <si>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</si>
  <si>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</si>
  <si>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</si>
  <si>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</si>
  <si>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</si>
  <si>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</si>
  <si>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</si>
  <si>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</si>
  <si>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</si>
  <si>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</si>
  <si>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</si>
  <si>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</si>
  <si>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</si>
  <si>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</si>
  <si>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</si>
  <si>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</si>
  <si>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</si>
  <si>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</si>
  <si>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</si>
  <si>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</si>
  <si>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</si>
  <si>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</si>
  <si>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</si>
  <si>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</si>
  <si>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</si>
  <si>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</si>
  <si>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</si>
  <si>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</si>
  <si>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</si>
  <si>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</si>
  <si>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</si>
  <si>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</si>
  <si>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</si>
  <si>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</si>
  <si>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</si>
  <si>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</si>
  <si>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</si>
  <si>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</si>
  <si>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</si>
  <si>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</si>
  <si>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</si>
  <si>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</si>
  <si>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</si>
  <si>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</si>
  <si>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</si>
  <si>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</si>
  <si>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</si>
  <si>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</si>
  <si>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</si>
  <si>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</si>
  <si>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</si>
  <si>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</si>
  <si>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</si>
  <si>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</si>
  <si>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</si>
  <si>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</si>
  <si>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</si>
  <si>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</si>
  <si>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</si>
  <si>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</si>
  <si>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</si>
  <si>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</si>
  <si>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</si>
  <si>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</si>
  <si>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</si>
  <si>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</si>
  <si>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</si>
  <si>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</si>
  <si>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</si>
  <si>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</si>
  <si>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</si>
  <si>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</si>
  <si>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</si>
  <si>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</si>
  <si>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</si>
  <si>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</si>
  <si>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</si>
  <si>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</si>
  <si>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</si>
  <si>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</si>
  <si>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</si>
  <si>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</si>
  <si>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</si>
  <si>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</si>
  <si>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</si>
  <si>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</si>
  <si>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</si>
  <si>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</si>
  <si>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</si>
  <si>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</si>
  <si>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</si>
  <si>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</si>
  <si>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</si>
  <si>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</si>
  <si>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</si>
  <si>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</si>
  <si>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</si>
  <si>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</si>
  <si>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</si>
  <si>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</si>
  <si>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</si>
  <si>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</si>
  <si>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</si>
  <si>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</si>
  <si>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</si>
  <si>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</si>
  <si>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</si>
  <si>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</si>
  <si>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</si>
  <si>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</si>
  <si>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</si>
  <si>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</si>
  <si>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</si>
  <si>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</si>
  <si>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</si>
  <si>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</si>
  <si>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</si>
  <si>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</si>
  <si>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</si>
  <si>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</si>
  <si>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</si>
  <si>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</si>
  <si>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</si>
  <si>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</si>
  <si>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</si>
  <si>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</si>
  <si>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</si>
  <si>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</si>
  <si>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</si>
  <si>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</si>
  <si>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</si>
  <si>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</si>
  <si>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</si>
  <si>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</si>
  <si>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</si>
  <si>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</si>
  <si>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</si>
  <si>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</si>
  <si>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</si>
  <si>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</si>
  <si>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</si>
  <si>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</si>
  <si>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</si>
  <si>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</si>
  <si>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</si>
  <si>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</si>
  <si>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</si>
  <si>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</si>
  <si>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</si>
  <si>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</si>
  <si>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</si>
  <si>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</si>
  <si>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</si>
  <si>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</si>
  <si>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</si>
  <si>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</si>
  <si>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</si>
  <si>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</si>
  <si>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</si>
  <si>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</si>
  <si>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</si>
  <si>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</si>
  <si>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</si>
  <si>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</si>
  <si>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</si>
  <si>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</si>
  <si>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</si>
  <si>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</si>
  <si>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</si>
  <si>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</si>
  <si>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</si>
  <si>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</si>
  <si>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</si>
  <si>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</si>
  <si>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</si>
  <si>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</si>
  <si>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</si>
  <si>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</si>
  <si>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</si>
  <si>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</si>
  <si>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</si>
  <si>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</si>
  <si>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</si>
  <si>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</si>
  <si>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</si>
  <si>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</si>
  <si>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</si>
  <si>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</si>
  <si>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</si>
  <si>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</si>
  <si>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</si>
  <si>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</si>
  <si>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</si>
  <si>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</si>
  <si>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</si>
  <si>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</si>
  <si>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</si>
  <si>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</si>
  <si>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</si>
  <si>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</si>
  <si>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</si>
  <si>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</si>
  <si>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</si>
  <si>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</si>
  <si>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</si>
  <si>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</si>
  <si>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</si>
  <si>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</si>
  <si>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</si>
  <si>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</si>
  <si>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</si>
  <si>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</si>
  <si>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</si>
  <si>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</si>
  <si>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</si>
  <si>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</si>
  <si>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</si>
  <si>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</si>
  <si>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</si>
  <si>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</si>
  <si>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</si>
  <si>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</si>
  <si>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</si>
  <si>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</si>
  <si>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</si>
  <si>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</si>
  <si>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</si>
  <si>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</si>
  <si>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</si>
  <si>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</si>
  <si>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</si>
  <si>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</si>
  <si>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</si>
  <si>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</si>
  <si>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</si>
  <si>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</si>
  <si>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</si>
  <si>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</si>
  <si>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</si>
  <si>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</si>
  <si>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</si>
  <si>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</si>
  <si>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</si>
  <si>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</si>
  <si>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</si>
  <si>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</si>
  <si>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</si>
  <si>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</si>
  <si>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</si>
  <si>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</si>
  <si>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</si>
  <si>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</si>
  <si>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</si>
  <si>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</si>
  <si>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</si>
  <si>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</si>
  <si>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</si>
  <si>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</si>
  <si>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</si>
  <si>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</si>
  <si>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</si>
  <si>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</si>
  <si>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</si>
  <si>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</si>
  <si>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</si>
  <si>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</si>
  <si>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</si>
  <si>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</si>
  <si>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</si>
  <si>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</si>
  <si>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</si>
  <si>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</si>
  <si>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</si>
  <si>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</si>
  <si>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</si>
  <si>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</si>
  <si>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</si>
  <si>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</si>
  <si>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</si>
  <si>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</si>
  <si>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</si>
  <si>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</si>
  <si>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</si>
  <si>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</si>
  <si>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</si>
  <si>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</si>
  <si>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</si>
  <si>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</si>
  <si>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</si>
  <si>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</si>
  <si>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</si>
  <si>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</si>
  <si>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</si>
  <si>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</si>
  <si>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</si>
  <si>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</si>
  <si>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</si>
  <si>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</si>
  <si>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</si>
  <si>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</si>
  <si>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</si>
  <si>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</si>
  <si>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</si>
  <si>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</si>
  <si>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</si>
  <si>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</si>
  <si>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</si>
  <si>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</si>
  <si>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</si>
  <si>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</si>
  <si>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</si>
  <si>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</si>
  <si>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</si>
  <si>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</si>
  <si>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</si>
  <si>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</si>
  <si>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</si>
  <si>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</si>
  <si>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</si>
  <si>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</si>
  <si>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</si>
  <si>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</si>
  <si>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</si>
  <si>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</si>
  <si>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</si>
  <si>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</si>
  <si>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</si>
  <si>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</si>
  <si>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</si>
  <si>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</si>
  <si>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</si>
  <si>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</si>
  <si>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</si>
  <si>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</si>
  <si>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</si>
  <si>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</si>
  <si>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</si>
  <si>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</si>
  <si>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</si>
  <si>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</si>
  <si>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</si>
  <si>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</si>
  <si>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</si>
  <si>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</si>
  <si>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</si>
  <si>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</si>
  <si>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</si>
  <si>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</si>
  <si>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</si>
  <si>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</si>
  <si>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</si>
  <si>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</si>
  <si>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</si>
  <si>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</si>
  <si>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</si>
  <si>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</si>
  <si>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</si>
  <si>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</si>
  <si>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</si>
  <si>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</si>
  <si>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</si>
  <si>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</si>
  <si>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</si>
  <si>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</si>
  <si>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</si>
  <si>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</si>
  <si>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</si>
  <si>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</si>
  <si>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</si>
  <si>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</si>
  <si>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</si>
  <si>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</si>
  <si>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</si>
  <si>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</si>
  <si>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</si>
  <si>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</si>
  <si>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</si>
  <si>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</si>
  <si>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</si>
  <si>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</si>
  <si>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</si>
  <si>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</si>
  <si>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</si>
  <si>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</si>
  <si>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</si>
  <si>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</si>
  <si>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</si>
  <si>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</si>
  <si>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</si>
  <si>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</si>
  <si>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</si>
  <si>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</si>
  <si>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</si>
  <si>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</si>
  <si>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</si>
  <si>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</si>
  <si>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</si>
  <si>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</si>
  <si>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</si>
  <si>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</si>
  <si>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</si>
  <si>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</si>
  <si>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</si>
  <si>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</si>
  <si>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</si>
  <si>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</si>
  <si>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</si>
  <si>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</si>
  <si>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</si>
  <si>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</si>
  <si>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</si>
  <si>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</si>
  <si>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</si>
  <si>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</si>
  <si>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</si>
  <si>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</si>
  <si>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</si>
  <si>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</si>
  <si>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</si>
  <si>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</si>
  <si>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</si>
  <si>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</si>
  <si>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</si>
  <si>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</si>
  <si>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</si>
  <si>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</si>
  <si>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</si>
  <si>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</si>
  <si>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</si>
  <si>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</si>
  <si>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</si>
  <si>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</si>
  <si>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</si>
  <si>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</si>
  <si>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</si>
  <si>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</si>
  <si>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</si>
  <si>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</si>
  <si>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</si>
  <si>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</si>
  <si>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</si>
  <si>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</si>
  <si>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</si>
  <si>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</si>
  <si>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</si>
  <si>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</si>
  <si>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</si>
  <si>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</si>
  <si>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</si>
  <si>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</si>
  <si>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</si>
  <si>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</si>
  <si>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</si>
  <si>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</si>
  <si>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</si>
  <si>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</si>
  <si>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</si>
  <si>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</si>
  <si>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</si>
  <si>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</si>
  <si>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</si>
  <si>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</si>
  <si>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</si>
  <si>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</si>
  <si>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</si>
  <si>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</si>
  <si>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</si>
  <si>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</si>
  <si>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</si>
  <si>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</si>
  <si>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</si>
  <si>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</si>
  <si>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</si>
  <si>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</si>
  <si>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</si>
  <si>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</si>
  <si>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</si>
  <si>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</si>
  <si>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</si>
  <si>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</si>
  <si>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</si>
  <si>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</si>
  <si>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</si>
  <si>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</si>
  <si>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</si>
  <si>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</si>
  <si>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</si>
  <si>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</si>
  <si>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</si>
  <si>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</si>
  <si>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</si>
  <si>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</si>
  <si>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</si>
  <si>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</si>
  <si>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</si>
  <si>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</si>
  <si>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</si>
  <si>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</si>
  <si>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</si>
  <si>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</si>
  <si>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</si>
  <si>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</si>
  <si>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</si>
  <si>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</si>
  <si>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</si>
  <si>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</si>
  <si>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</si>
  <si>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</si>
  <si>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</si>
  <si>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</si>
  <si>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</si>
  <si>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</si>
  <si>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</si>
  <si>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</si>
  <si>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</si>
  <si>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</si>
  <si>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</si>
  <si>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</si>
  <si>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</si>
  <si>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</si>
  <si>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</si>
  <si>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</si>
  <si>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</si>
  <si>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</si>
  <si>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</si>
  <si>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</si>
  <si>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</si>
  <si>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</si>
  <si>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</si>
  <si>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</si>
  <si>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</si>
  <si>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</si>
  <si>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</si>
  <si>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</si>
  <si>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</si>
  <si>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</si>
  <si>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</si>
  <si>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</si>
  <si>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</si>
  <si>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</si>
  <si>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</si>
  <si>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</si>
  <si>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</si>
  <si>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</si>
  <si>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</si>
  <si>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</si>
  <si>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</si>
  <si>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</si>
  <si>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</si>
  <si>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</si>
  <si>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</si>
  <si>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</si>
  <si>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</si>
  <si>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</si>
  <si>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</si>
  <si>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</si>
  <si>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</si>
  <si>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</si>
  <si>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</si>
  <si>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</si>
  <si>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</si>
  <si>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</si>
  <si>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</si>
  <si>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</si>
  <si>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</si>
  <si>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</si>
  <si>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</si>
  <si>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</si>
  <si>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</si>
  <si>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</si>
  <si>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</si>
  <si>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</si>
  <si>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</si>
  <si>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</si>
  <si>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</si>
  <si>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</si>
  <si>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</si>
  <si>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</si>
  <si>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</si>
  <si>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</si>
  <si>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</si>
  <si>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</si>
  <si>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</si>
  <si>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</si>
  <si>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</si>
  <si>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</si>
  <si>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</si>
  <si>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</si>
  <si>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</si>
  <si>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</si>
  <si>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</si>
  <si>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</si>
  <si>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</si>
  <si>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</si>
  <si>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</si>
  <si>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</si>
  <si>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</si>
  <si>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</si>
  <si>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</si>
  <si>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</si>
  <si>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</si>
  <si>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</si>
  <si>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</si>
  <si>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</si>
  <si>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</si>
  <si>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</si>
  <si>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</si>
  <si>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</si>
  <si>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</si>
  <si>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</si>
  <si>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</si>
  <si>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</si>
  <si>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</si>
  <si>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</si>
  <si>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</si>
  <si>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</si>
  <si>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</si>
  <si>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</si>
  <si>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</si>
  <si>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</si>
  <si>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</si>
  <si>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</si>
  <si>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</si>
  <si>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</si>
  <si>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</si>
  <si>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</si>
  <si>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</si>
  <si>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</si>
  <si>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</si>
  <si>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</si>
  <si>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</si>
  <si>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</si>
  <si>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</si>
  <si>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</si>
  <si>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</si>
  <si>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</si>
  <si>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</si>
  <si>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</si>
  <si>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</si>
  <si>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</si>
  <si>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</si>
  <si>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</si>
  <si>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</si>
  <si>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</si>
  <si>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</si>
  <si>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</si>
  <si>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</si>
  <si>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</si>
  <si>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</si>
  <si>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</si>
  <si>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</si>
  <si>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</si>
  <si>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</si>
  <si>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</si>
  <si>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</si>
  <si>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</si>
  <si>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</si>
  <si>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</si>
  <si>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</si>
  <si>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</si>
  <si>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</si>
  <si>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</si>
  <si>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</si>
  <si>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</si>
  <si>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</si>
  <si>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</si>
  <si>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</si>
  <si>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</si>
  <si>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</si>
  <si>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</si>
  <si>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</si>
  <si>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</si>
  <si>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</si>
  <si>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</si>
  <si>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</si>
  <si>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</si>
  <si>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</si>
  <si>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</si>
  <si>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</si>
  <si>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</si>
  <si>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</si>
  <si>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</si>
  <si>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</si>
  <si>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</si>
  <si>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</si>
  <si>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</si>
  <si>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</si>
  <si>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</si>
  <si>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</si>
  <si>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</si>
  <si>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</si>
  <si>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</si>
  <si>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</si>
  <si>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</si>
  <si>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</si>
  <si>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</si>
  <si>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</si>
  <si>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</si>
  <si>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</si>
  <si>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</si>
  <si>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</si>
  <si>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</si>
  <si>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</si>
  <si>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</si>
  <si>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</si>
  <si>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</si>
  <si>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</si>
  <si>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</si>
  <si>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</si>
  <si>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</si>
  <si>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</si>
  <si>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</si>
  <si>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</si>
  <si>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</si>
  <si>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</si>
  <si>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</si>
  <si>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</si>
  <si>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</si>
  <si>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</si>
  <si>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</si>
  <si>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</si>
  <si>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</si>
  <si>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</si>
  <si>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</si>
  <si>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</si>
  <si>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</si>
  <si>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</si>
  <si>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</si>
  <si>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</si>
  <si>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</si>
  <si>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</si>
  <si>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</si>
  <si>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</si>
  <si>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</si>
  <si>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</si>
  <si>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</si>
  <si>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</si>
  <si>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</si>
  <si>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</si>
  <si>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</si>
  <si>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</si>
  <si>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</si>
  <si>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</si>
  <si>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</si>
  <si>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</si>
  <si>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</si>
  <si>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</si>
  <si>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</si>
  <si>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</si>
  <si>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</si>
  <si>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</si>
  <si>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</si>
  <si>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</si>
  <si>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</si>
  <si>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</si>
  <si>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</si>
  <si>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</si>
  <si>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</si>
  <si>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</si>
  <si>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</si>
  <si>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</si>
  <si>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</si>
  <si>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</si>
  <si>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</si>
  <si>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</si>
  <si>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</si>
  <si>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</si>
  <si>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</si>
  <si>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</si>
  <si>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</si>
  <si>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</si>
  <si>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</si>
  <si>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</si>
  <si>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</si>
  <si>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</si>
  <si>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</si>
  <si>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</si>
  <si>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</si>
  <si>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</si>
  <si>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</si>
  <si>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</si>
  <si>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</si>
  <si>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</si>
  <si>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</si>
  <si>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</si>
  <si>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</si>
  <si>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</si>
  <si>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</si>
  <si>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</si>
  <si>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</si>
  <si>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</si>
  <si>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</si>
  <si>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</si>
  <si>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</si>
  <si>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</si>
  <si>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</si>
  <si>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</si>
  <si>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</si>
  <si>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</si>
  <si>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</si>
  <si>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</si>
  <si>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</si>
  <si>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</si>
  <si>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</si>
  <si>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</si>
  <si>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</si>
  <si>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</si>
  <si>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</si>
  <si>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</si>
  <si>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</si>
  <si>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</si>
  <si>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</si>
  <si>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</si>
  <si>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</si>
  <si>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</si>
  <si>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</si>
  <si>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</si>
  <si>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</si>
  <si>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</si>
  <si>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</si>
  <si>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</si>
  <si>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</si>
  <si>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</si>
  <si>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</si>
  <si>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</si>
  <si>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</si>
  <si>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</si>
  <si>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</si>
  <si>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</si>
  <si>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</si>
  <si>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</si>
  <si>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</si>
  <si>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</si>
  <si>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</si>
  <si>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</si>
  <si>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</si>
  <si>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</si>
  <si>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</si>
  <si>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</si>
  <si>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</si>
  <si>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</si>
  <si>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</si>
  <si>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</si>
  <si>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</si>
  <si>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</si>
  <si>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</si>
  <si>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</si>
  <si>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</si>
  <si>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</si>
  <si>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</si>
  <si>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</si>
  <si>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</si>
  <si>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</si>
  <si>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</si>
  <si>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</si>
  <si>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</si>
  <si>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</si>
  <si>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</si>
  <si>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</si>
  <si>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</si>
  <si>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</si>
  <si>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</si>
  <si>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</si>
  <si>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</si>
  <si>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</si>
  <si>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</si>
  <si>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</si>
  <si>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</si>
  <si>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</si>
  <si>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</si>
  <si>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</si>
  <si>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</si>
  <si>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</si>
  <si>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</si>
  <si>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</si>
  <si>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</si>
  <si>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</si>
  <si>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</si>
  <si>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</si>
  <si>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</si>
  <si>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</si>
  <si>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</si>
  <si>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</si>
  <si>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</si>
  <si>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</si>
  <si>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</si>
  <si>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</si>
  <si>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</si>
  <si>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</si>
  <si>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</si>
  <si>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</si>
  <si>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</si>
  <si>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</si>
  <si>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</si>
  <si>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</si>
  <si>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</si>
  <si>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</si>
  <si>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</si>
  <si>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</si>
  <si>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</si>
  <si>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</si>
  <si>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</si>
  <si>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</si>
  <si>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</si>
  <si>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</si>
  <si>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</si>
  <si>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</si>
  <si>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</si>
  <si>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</si>
  <si>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</si>
  <si>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</si>
  <si>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</si>
  <si>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</si>
  <si>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</si>
  <si>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</si>
  <si>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</si>
  <si>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</si>
  <si>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</si>
  <si>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</si>
  <si>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</si>
  <si>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</si>
  <si>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</si>
  <si>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</si>
  <si>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</si>
  <si>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</si>
  <si>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</si>
  <si>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</si>
  <si>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</si>
  <si>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</si>
  <si>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</si>
  <si>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</si>
  <si>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</si>
  <si>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</si>
  <si>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</si>
  <si>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</si>
  <si>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</si>
  <si>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</si>
  <si>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</si>
  <si>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</si>
  <si>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</si>
  <si>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</si>
  <si>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</si>
  <si>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</si>
  <si>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</si>
  <si>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</si>
  <si>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</si>
  <si>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</si>
  <si>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</si>
  <si>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</si>
  <si>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</si>
  <si>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</si>
  <si>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</si>
  <si>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</si>
  <si>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</si>
  <si>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</si>
  <si>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</si>
  <si>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</si>
  <si>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</si>
  <si>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</si>
  <si>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</si>
  <si>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</si>
  <si>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</si>
  <si>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</si>
  <si>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</si>
  <si>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</si>
  <si>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</si>
  <si>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</si>
  <si>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</si>
  <si>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</si>
  <si>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</si>
  <si>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</si>
  <si>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</si>
  <si>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</si>
  <si>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</si>
  <si>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</si>
  <si>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</si>
  <si>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</si>
  <si>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</si>
  <si>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</si>
  <si>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</si>
  <si>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</si>
  <si>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</si>
  <si>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</si>
  <si>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</si>
  <si>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</si>
  <si>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</si>
  <si>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</si>
  <si>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</si>
  <si>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</si>
  <si>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</si>
  <si>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</si>
  <si>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</si>
  <si>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</si>
  <si>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</si>
  <si>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</si>
  <si>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</si>
  <si>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</si>
  <si>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</si>
  <si>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</si>
  <si>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</si>
  <si>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</si>
  <si>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</si>
  <si>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</si>
  <si>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</si>
  <si>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</si>
  <si>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</si>
  <si>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</si>
  <si>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</si>
  <si>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</si>
  <si>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</si>
  <si>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</si>
  <si>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</si>
  <si>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</si>
  <si>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</si>
  <si>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</si>
  <si>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</si>
  <si>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</si>
  <si>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</si>
  <si>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</si>
  <si>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</si>
  <si>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</si>
  <si>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</si>
  <si>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</si>
  <si>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</si>
  <si>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</si>
  <si>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</si>
  <si>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</si>
  <si>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</si>
  <si>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</si>
  <si>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</si>
  <si>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</si>
  <si>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</si>
  <si>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</si>
  <si>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</si>
  <si>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</si>
  <si>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</si>
  <si>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</si>
  <si>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</si>
  <si>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</si>
  <si>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</si>
  <si>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</si>
  <si>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</si>
  <si>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</si>
  <si>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</si>
  <si>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</si>
  <si>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</si>
  <si>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</si>
  <si>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</si>
  <si>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</si>
  <si>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</si>
  <si>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</si>
  <si>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</si>
  <si>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</si>
  <si>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</si>
  <si>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</si>
  <si>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</si>
  <si>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</si>
  <si>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</si>
  <si>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</si>
  <si>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</si>
  <si>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</si>
  <si>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</si>
  <si>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</si>
  <si>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</si>
  <si>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</si>
  <si>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</si>
  <si>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</si>
  <si>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</si>
  <si>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</si>
  <si>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</si>
  <si>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</si>
  <si>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</si>
  <si>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</si>
  <si>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</si>
  <si>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</si>
  <si>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</si>
  <si>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</si>
  <si>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</si>
  <si>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</si>
  <si>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</si>
  <si>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</si>
  <si>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</si>
  <si>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</si>
  <si>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</si>
  <si>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</si>
  <si>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</si>
  <si>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</si>
  <si>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</si>
  <si>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</si>
  <si>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</si>
  <si>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</si>
  <si>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</si>
  <si>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</si>
  <si>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</si>
  <si>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</si>
  <si>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</si>
  <si>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</si>
  <si>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</si>
  <si>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</si>
  <si>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</si>
  <si>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</si>
  <si>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</si>
  <si>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</si>
  <si>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</si>
  <si>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</si>
  <si>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</si>
  <si>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</si>
  <si>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</si>
  <si>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</si>
  <si>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</si>
  <si>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</si>
  <si>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</si>
  <si>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</si>
  <si>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</si>
  <si>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</si>
  <si>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</si>
  <si>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</si>
  <si>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</si>
  <si>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</si>
  <si>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</si>
  <si>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</si>
  <si>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</si>
  <si>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</si>
  <si>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</si>
  <si>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</si>
  <si>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</si>
  <si>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</si>
  <si>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</si>
  <si>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</si>
  <si>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</si>
  <si>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</si>
  <si>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</si>
  <si>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</si>
  <si>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</si>
  <si>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</si>
  <si>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</si>
  <si>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</si>
  <si>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</si>
  <si>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</si>
  <si>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</si>
  <si>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</si>
  <si>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</si>
  <si>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</si>
  <si>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</si>
  <si>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</si>
  <si>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</si>
  <si>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</si>
  <si>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</si>
  <si>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</si>
  <si>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</si>
  <si>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</si>
  <si>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</si>
  <si>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</si>
  <si>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</si>
  <si>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</si>
  <si>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</si>
  <si>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</si>
  <si>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</si>
  <si>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</si>
  <si>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</si>
  <si>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</si>
  <si>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</si>
  <si>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</si>
  <si>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</si>
  <si>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</si>
  <si>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</si>
  <si>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</si>
  <si>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</si>
  <si>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</si>
  <si>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</si>
  <si>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</si>
  <si>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</si>
  <si>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</si>
  <si>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</si>
  <si>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</si>
  <si>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</si>
  <si>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</si>
  <si>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</si>
  <si>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</si>
  <si>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</si>
  <si>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</si>
  <si>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</si>
  <si>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</si>
  <si>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</si>
  <si>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</si>
  <si>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</si>
  <si>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</si>
  <si>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</si>
  <si>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</si>
  <si>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</si>
  <si>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</si>
  <si>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</si>
  <si>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</si>
  <si>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</si>
  <si>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</si>
  <si>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</si>
  <si>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</si>
  <si>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</si>
  <si>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</si>
  <si>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</si>
  <si>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</si>
  <si>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</si>
  <si>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</si>
  <si>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</si>
  <si>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</si>
  <si>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</si>
  <si>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</si>
  <si>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</si>
  <si>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</si>
  <si>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</si>
  <si>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</si>
  <si>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</si>
  <si>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</si>
  <si>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</si>
  <si>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</si>
  <si>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</si>
  <si>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</si>
  <si>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</si>
  <si>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</si>
  <si>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</si>
  <si>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</si>
  <si>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</si>
  <si>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</si>
  <si>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</si>
  <si>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</si>
  <si>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</si>
  <si>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</si>
  <si>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</si>
  <si>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</si>
  <si>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</si>
  <si>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</si>
  <si>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</si>
  <si>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</si>
  <si>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</si>
  <si>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</si>
  <si>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</si>
  <si>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</si>
  <si>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</si>
  <si>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</si>
  <si>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</si>
  <si>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</si>
  <si>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</si>
  <si>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</si>
  <si>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</si>
  <si>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</si>
  <si>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</si>
  <si>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</si>
  <si>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</si>
  <si>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</si>
  <si>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</si>
  <si>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</si>
  <si>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</si>
  <si>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</si>
  <si>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</si>
  <si>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</si>
  <si>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</si>
  <si>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</si>
  <si>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</si>
  <si>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</si>
  <si>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</si>
  <si>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</si>
  <si>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</si>
  <si>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</si>
  <si>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</si>
  <si>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</si>
  <si>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</si>
  <si>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</si>
  <si>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</si>
  <si>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</si>
  <si>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</si>
  <si>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</si>
  <si>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</si>
  <si>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</si>
  <si>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</si>
  <si>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</si>
  <si>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</si>
  <si>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</si>
  <si>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</si>
  <si>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</si>
  <si>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</si>
  <si>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</si>
  <si>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</si>
  <si>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</si>
  <si>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</si>
  <si>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</si>
  <si>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</si>
  <si>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</si>
  <si>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</si>
  <si>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</si>
  <si>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</si>
  <si>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</si>
  <si>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</si>
  <si>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</si>
  <si>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</si>
  <si>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</si>
  <si>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</si>
  <si>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</si>
  <si>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</si>
  <si>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</si>
  <si>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</si>
  <si>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</si>
  <si>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</si>
  <si>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</si>
  <si>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</si>
  <si>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</si>
  <si>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</si>
  <si>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</si>
  <si>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</si>
  <si>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</si>
  <si>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</si>
  <si>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</si>
  <si>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</si>
  <si>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</si>
  <si>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</si>
  <si>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</si>
  <si>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</si>
  <si>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</si>
  <si>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</si>
  <si>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</si>
  <si>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</si>
  <si>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</si>
  <si>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</si>
  <si>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</si>
  <si>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</si>
  <si>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</si>
  <si>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</si>
  <si>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</si>
  <si>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</si>
  <si>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</si>
  <si>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</si>
  <si>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</si>
  <si>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</si>
  <si>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</si>
  <si>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</si>
  <si>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</si>
  <si>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</si>
  <si>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</si>
  <si>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</si>
  <si>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</si>
  <si>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</si>
  <si>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</si>
  <si>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</si>
  <si>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</si>
  <si>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</si>
  <si>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</si>
  <si>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</si>
  <si>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</si>
  <si>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</si>
  <si>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</si>
  <si>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</si>
  <si>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</si>
  <si>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</si>
  <si>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</si>
  <si>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</si>
  <si>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</si>
  <si>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</si>
  <si>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</si>
  <si>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</si>
  <si>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</si>
  <si>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</si>
  <si>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</si>
  <si>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</si>
  <si>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</si>
  <si>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</si>
  <si>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</si>
  <si>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</si>
  <si>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</si>
  <si>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</si>
  <si>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</si>
  <si>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</si>
  <si>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</si>
  <si>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</si>
  <si>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</si>
  <si>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</si>
  <si>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</si>
  <si>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</si>
  <si>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</si>
  <si>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</si>
  <si>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</si>
  <si>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</si>
  <si>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</si>
  <si>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</si>
  <si>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</si>
  <si>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</si>
  <si>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</si>
  <si>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</si>
  <si>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</si>
  <si>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</si>
  <si>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</si>
  <si>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</si>
  <si>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</si>
  <si>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</si>
  <si>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</si>
  <si>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</si>
  <si>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</si>
  <si>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</si>
  <si>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</si>
  <si>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</si>
  <si>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</si>
  <si>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</si>
  <si>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</si>
  <si>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</si>
  <si>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</si>
  <si>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</si>
  <si>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</si>
  <si>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</si>
  <si>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</si>
  <si>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</si>
  <si>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</si>
  <si>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</si>
  <si>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</si>
  <si>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</si>
  <si>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</si>
  <si>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</si>
  <si>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</si>
  <si>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</si>
  <si>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</si>
  <si>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</si>
  <si>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</si>
  <si>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</si>
  <si>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</si>
  <si>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</si>
  <si>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</si>
  <si>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</si>
  <si>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</si>
  <si>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</si>
  <si>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</si>
  <si>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</si>
  <si>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</si>
  <si>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</si>
  <si>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</si>
  <si>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</si>
  <si>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</si>
  <si>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</si>
  <si>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</si>
  <si>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</si>
  <si>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</si>
  <si>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</si>
  <si>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</si>
  <si>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</si>
  <si>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</si>
  <si>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</si>
  <si>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</si>
  <si>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</si>
  <si>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</si>
  <si>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</si>
  <si>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</si>
  <si>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</si>
  <si>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</si>
  <si>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</si>
  <si>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</si>
  <si>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</si>
  <si>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</si>
  <si>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</si>
  <si>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</si>
  <si>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</si>
  <si>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</si>
  <si>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</si>
  <si>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</si>
  <si>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</si>
  <si>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</si>
  <si>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</si>
  <si>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</si>
  <si>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</si>
  <si>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</si>
  <si>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</si>
  <si>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</si>
  <si>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</si>
  <si>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</si>
  <si>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</si>
  <si>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</si>
  <si>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</si>
  <si>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</si>
  <si>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</si>
  <si>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</si>
  <si>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</si>
  <si>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</si>
  <si>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</si>
  <si>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</si>
  <si>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</si>
  <si>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</si>
  <si>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</si>
  <si>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</si>
  <si>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</si>
  <si>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</si>
  <si>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</si>
  <si>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</si>
  <si>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</si>
  <si>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</si>
  <si>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</si>
  <si>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</si>
  <si>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</si>
  <si>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</si>
  <si>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</si>
  <si>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</si>
  <si>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</si>
  <si>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</si>
  <si>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</si>
  <si>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</si>
  <si>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</si>
  <si>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</si>
  <si>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</si>
  <si>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</si>
  <si>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</si>
  <si>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</si>
  <si>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</si>
  <si>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</si>
  <si>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</si>
  <si>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</si>
  <si>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</si>
  <si>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</si>
  <si>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</si>
  <si>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</si>
  <si>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</si>
  <si>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</si>
  <si>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</si>
  <si>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</si>
  <si>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</si>
  <si>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</si>
  <si>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</si>
  <si>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</si>
  <si>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</si>
  <si>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</si>
  <si>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</si>
  <si>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</si>
  <si>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</si>
  <si>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</si>
  <si>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</si>
  <si>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</si>
  <si>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</si>
  <si>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</si>
  <si>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</si>
  <si>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</si>
  <si>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</si>
  <si>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</si>
  <si>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</si>
  <si>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</si>
  <si>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</si>
  <si>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</si>
  <si>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</si>
  <si>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</si>
  <si>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</si>
  <si>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</si>
  <si>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</si>
  <si>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</si>
  <si>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</si>
  <si>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</si>
  <si>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</si>
  <si>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</si>
  <si>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</si>
  <si>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</si>
  <si>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</si>
  <si>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</si>
  <si>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</si>
  <si>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</si>
  <si>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</si>
  <si>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</si>
  <si>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</si>
  <si>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</si>
  <si>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</si>
  <si>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</si>
  <si>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</si>
  <si>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</si>
  <si>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</si>
  <si>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</si>
  <si>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</si>
  <si>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</si>
  <si>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</si>
  <si>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</si>
  <si>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</si>
  <si>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</si>
  <si>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</si>
  <si>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</si>
  <si>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</si>
  <si>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</si>
  <si>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</si>
  <si>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</si>
  <si>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</si>
  <si>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</si>
  <si>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</si>
  <si>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</si>
  <si>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</si>
  <si>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</si>
  <si>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</si>
  <si>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</si>
  <si>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</si>
  <si>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</si>
  <si>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</si>
  <si>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</si>
  <si>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</si>
  <si>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</si>
  <si>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</si>
  <si>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</si>
  <si>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</si>
  <si>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</si>
  <si>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</si>
  <si>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</si>
  <si>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</si>
  <si>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</si>
  <si>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</si>
  <si>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</si>
  <si>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</si>
  <si>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</si>
  <si>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</si>
  <si>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</si>
  <si>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</si>
  <si>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</si>
  <si>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</si>
  <si>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</si>
  <si>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</si>
  <si>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</si>
  <si>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</si>
  <si>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</si>
  <si>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</si>
  <si>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</si>
  <si>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</si>
  <si>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</si>
  <si>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</si>
  <si>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</si>
  <si>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</si>
  <si>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</si>
  <si>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</si>
  <si>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</si>
  <si>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</si>
  <si>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</si>
  <si>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</si>
  <si>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</si>
  <si>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</si>
  <si>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</si>
  <si>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</si>
  <si>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</si>
  <si>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</si>
  <si>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</si>
  <si>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</si>
  <si>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</si>
  <si>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</si>
  <si>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</si>
  <si>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</si>
  <si>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</si>
  <si>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</si>
  <si>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</si>
  <si>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</si>
  <si>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</si>
  <si>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</si>
  <si>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</si>
  <si>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</si>
  <si>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</si>
  <si>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</si>
  <si>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</si>
  <si>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</si>
  <si>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</si>
  <si>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</si>
  <si>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</si>
  <si>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</si>
  <si>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</si>
  <si>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</si>
  <si>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</si>
  <si>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</si>
  <si>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</si>
  <si>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</si>
  <si>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</si>
  <si>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</si>
  <si>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</si>
  <si>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</si>
  <si>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</si>
  <si>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</si>
  <si>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</si>
  <si>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</si>
  <si>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</si>
  <si>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</si>
  <si>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</si>
  <si>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</si>
  <si>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</si>
  <si>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</si>
  <si>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</si>
  <si>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</si>
  <si>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</si>
  <si>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</si>
  <si>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</si>
  <si>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</si>
  <si>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</si>
  <si>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</si>
  <si>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</si>
  <si>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</si>
  <si>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</si>
  <si>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</si>
  <si>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</si>
  <si>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</si>
  <si>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</si>
  <si>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</si>
  <si>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</si>
  <si>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</si>
  <si>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</si>
  <si>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</si>
  <si>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</si>
  <si>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</si>
  <si>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</si>
  <si>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</si>
  <si>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</si>
  <si>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</si>
  <si>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</si>
  <si>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</si>
  <si>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</si>
  <si>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</si>
  <si>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</si>
  <si>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</si>
  <si>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</si>
  <si>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</si>
  <si>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</si>
  <si>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</si>
  <si>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</si>
  <si>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</si>
  <si>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</si>
  <si>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</si>
  <si>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</si>
  <si>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</si>
  <si>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</si>
  <si>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</si>
  <si>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</si>
  <si>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</si>
  <si>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</si>
  <si>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</si>
  <si>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</si>
  <si>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</si>
  <si>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</si>
  <si>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</si>
  <si>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</si>
  <si>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</si>
  <si>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</si>
  <si>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</si>
  <si>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</si>
  <si>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</si>
  <si>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</si>
  <si>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</si>
  <si>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</si>
  <si>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</si>
  <si>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</si>
  <si>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</si>
  <si>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</si>
  <si>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</si>
  <si>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</si>
  <si>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</si>
  <si>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</si>
  <si>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</si>
  <si>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</si>
  <si>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</si>
  <si>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</si>
  <si>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</si>
  <si>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</si>
  <si>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</si>
  <si>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</si>
  <si>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</si>
  <si>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</si>
  <si>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</si>
  <si>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</si>
  <si>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</si>
  <si>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</si>
  <si>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</si>
  <si>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</si>
  <si>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</si>
  <si>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</si>
  <si>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</si>
  <si>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</si>
  <si>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</si>
  <si>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</si>
  <si>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</si>
  <si>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</si>
  <si>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</si>
  <si>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</si>
  <si>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</si>
  <si>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</si>
  <si>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</si>
  <si>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</si>
  <si>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</si>
  <si>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</si>
  <si>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</si>
  <si>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</si>
  <si>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</si>
  <si>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</si>
  <si>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</si>
  <si>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</si>
  <si>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</si>
  <si>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</si>
  <si>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</si>
  <si>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</si>
  <si>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</si>
  <si>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</si>
  <si>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</si>
  <si>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</si>
  <si>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</si>
  <si>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</si>
  <si>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</si>
  <si>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</si>
  <si>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</si>
  <si>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</si>
  <si>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</si>
  <si>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</si>
  <si>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</si>
  <si>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</si>
  <si>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</si>
  <si>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</si>
  <si>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</si>
  <si>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</si>
  <si>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</si>
  <si>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</si>
  <si>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</si>
  <si>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</si>
  <si>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</si>
  <si>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</si>
  <si>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</si>
  <si>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</si>
  <si>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</si>
  <si>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</si>
  <si>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</si>
  <si>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</si>
  <si>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</si>
  <si>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</si>
  <si>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</si>
  <si>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</si>
  <si>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</si>
  <si>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</si>
  <si>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</si>
  <si>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</si>
  <si>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</si>
  <si>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</si>
  <si>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</si>
  <si>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</si>
  <si>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</si>
  <si>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</si>
  <si>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</si>
  <si>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</si>
  <si>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</si>
  <si>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</si>
  <si>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</si>
  <si>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</si>
  <si>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</si>
  <si>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</si>
  <si>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</si>
  <si>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</si>
  <si>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</si>
  <si>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</si>
  <si>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</si>
  <si>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</si>
  <si>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</si>
  <si>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</si>
  <si>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</si>
  <si>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</si>
  <si>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</si>
  <si>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</si>
  <si>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</si>
  <si>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</si>
  <si>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</si>
  <si>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</si>
  <si>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</si>
  <si>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</si>
  <si>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</si>
  <si>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</si>
  <si>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</si>
  <si>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</si>
  <si>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</si>
  <si>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</si>
  <si>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</si>
  <si>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</si>
  <si>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</si>
  <si>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</si>
  <si>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</si>
  <si>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</si>
  <si>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</si>
  <si>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</si>
  <si>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</si>
  <si>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</si>
  <si>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</si>
  <si>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</si>
  <si>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</si>
  <si>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</si>
  <si>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</si>
  <si>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</si>
  <si>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</si>
  <si>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</si>
  <si>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</si>
  <si>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</si>
  <si>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</si>
  <si>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</si>
  <si>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</si>
  <si>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</si>
  <si>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</si>
  <si>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</si>
  <si>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</si>
  <si>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</si>
  <si>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</si>
  <si>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</si>
  <si>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</si>
  <si>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</si>
  <si>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</si>
  <si>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</si>
  <si>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</si>
  <si>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</si>
  <si>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</si>
  <si>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</si>
  <si>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</si>
  <si>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</si>
  <si>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</si>
  <si>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</si>
  <si>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</si>
  <si>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</si>
  <si>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</si>
  <si>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</si>
  <si>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</si>
  <si>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</si>
  <si>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</si>
  <si>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</si>
  <si>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</si>
  <si>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</si>
  <si>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</si>
  <si>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</si>
  <si>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</si>
  <si>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</si>
  <si>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</si>
  <si>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</si>
  <si>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</si>
  <si>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</si>
  <si>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</si>
  <si>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</si>
  <si>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</si>
  <si>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</si>
  <si>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</si>
  <si>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</si>
  <si>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</si>
  <si>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</si>
  <si>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</si>
  <si>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</si>
  <si>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</si>
  <si>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</si>
  <si>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</si>
  <si>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</si>
  <si>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</si>
  <si>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</si>
  <si>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</si>
  <si>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</si>
  <si>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</si>
  <si>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</si>
  <si>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</si>
  <si>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</si>
  <si>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</si>
  <si>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</si>
  <si>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</si>
  <si>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</si>
  <si>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</si>
  <si>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</si>
  <si>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</si>
  <si>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</si>
  <si>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</si>
  <si>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</si>
  <si>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</si>
  <si>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</si>
  <si>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</si>
  <si>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</si>
  <si>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</si>
  <si>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</si>
  <si>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</si>
  <si>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</si>
  <si>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</si>
  <si>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</si>
  <si>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</si>
  <si>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</si>
  <si>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</si>
  <si>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</si>
  <si>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</si>
  <si>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</si>
  <si>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</si>
  <si>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</si>
  <si>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</si>
  <si>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</si>
  <si>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</si>
  <si>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</si>
  <si>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</si>
  <si>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</si>
  <si>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</si>
  <si>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</si>
  <si>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</si>
  <si>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</si>
  <si>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</si>
  <si>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</si>
  <si>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</si>
  <si>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</si>
  <si>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</si>
  <si>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</si>
  <si>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</si>
  <si>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</si>
  <si>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</si>
  <si>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</si>
  <si>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</si>
  <si>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</si>
  <si>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</si>
  <si>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</si>
  <si>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</si>
  <si>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</si>
  <si>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</si>
  <si>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</si>
  <si>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</si>
  <si>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</si>
  <si>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</si>
  <si>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</si>
  <si>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</si>
  <si>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</si>
  <si>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</si>
  <si>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</si>
  <si>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</si>
  <si>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</si>
  <si>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</si>
  <si>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</si>
  <si>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</si>
  <si>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</si>
  <si>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</si>
  <si>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</si>
  <si>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</si>
  <si>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</si>
  <si>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</si>
  <si>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</si>
  <si>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</si>
  <si>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</si>
  <si>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</si>
  <si>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</si>
  <si>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</si>
  <si>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</si>
  <si>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</si>
  <si>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</si>
  <si>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</si>
  <si>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</si>
  <si>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</si>
  <si>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</si>
  <si>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</si>
  <si>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</si>
  <si>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</si>
  <si>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</si>
  <si>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</si>
  <si>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</si>
  <si>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</si>
  <si>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</si>
  <si>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</si>
  <si>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</si>
  <si>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</si>
  <si>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</si>
  <si>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</si>
  <si>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</si>
  <si>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</si>
  <si>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</si>
  <si>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</si>
  <si>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</si>
  <si>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</si>
  <si>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</si>
  <si>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</si>
  <si>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</si>
  <si>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</si>
  <si>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</si>
  <si>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</si>
  <si>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</si>
  <si>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</si>
  <si>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</si>
  <si>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</si>
  <si>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</si>
  <si>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</si>
  <si>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</si>
  <si>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</si>
  <si>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</si>
  <si>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</si>
  <si>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</si>
  <si>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</si>
  <si>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</si>
  <si>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</si>
  <si>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</si>
  <si>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</si>
  <si>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</si>
  <si>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</si>
  <si>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</si>
  <si>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</si>
  <si>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</si>
  <si>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</si>
  <si>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</si>
  <si>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</si>
  <si>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</si>
  <si>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</si>
  <si>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</si>
  <si>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</si>
  <si>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</si>
  <si>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</si>
  <si>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</si>
  <si>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</si>
  <si>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</si>
  <si>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</si>
  <si>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</si>
  <si>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</si>
  <si>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</si>
  <si>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</si>
  <si>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</si>
  <si>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</si>
  <si>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</si>
  <si>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</si>
  <si>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</si>
  <si>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</si>
  <si>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</si>
  <si>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</si>
  <si>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</si>
  <si>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</si>
  <si>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</si>
  <si>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</si>
  <si>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</si>
  <si>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</si>
  <si>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</si>
  <si>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</si>
  <si>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</si>
  <si>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</si>
  <si>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</si>
  <si>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</si>
  <si>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</si>
  <si>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</si>
  <si>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</si>
  <si>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</si>
  <si>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</si>
  <si>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</si>
  <si>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</si>
  <si>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</si>
  <si>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</si>
  <si>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</si>
  <si>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</si>
  <si>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</si>
  <si>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</si>
  <si>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</si>
  <si>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</si>
  <si>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</si>
  <si>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</si>
  <si>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</si>
  <si>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</si>
  <si>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</si>
  <si>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</si>
  <si>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</si>
  <si>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</si>
  <si>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</si>
  <si>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</si>
  <si>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</si>
  <si>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</si>
  <si>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</si>
  <si>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</si>
  <si>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</si>
  <si>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</si>
  <si>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</si>
  <si>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</si>
  <si>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</si>
  <si>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</si>
  <si>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</si>
  <si>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</si>
  <si>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</si>
  <si>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</si>
  <si>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</si>
  <si>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</si>
  <si>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</si>
  <si>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</si>
  <si>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</si>
  <si>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</si>
  <si>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</si>
  <si>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</si>
  <si>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</si>
  <si>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</si>
  <si>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</si>
  <si>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</si>
  <si>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</si>
  <si>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</si>
  <si>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</si>
  <si>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</si>
  <si>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</si>
  <si>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</si>
  <si>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</si>
  <si>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</si>
  <si>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</si>
  <si>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</si>
  <si>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</si>
  <si>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</si>
  <si>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</si>
  <si>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</si>
  <si>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</si>
  <si>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</si>
  <si>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</si>
  <si>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</si>
  <si>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</si>
  <si>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</si>
  <si>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</si>
  <si>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</si>
  <si>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</si>
  <si>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</si>
  <si>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</si>
  <si>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</si>
  <si>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</si>
  <si>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</si>
  <si>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</si>
  <si>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</si>
  <si>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</si>
  <si>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</si>
  <si>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</si>
  <si>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</si>
  <si>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</si>
  <si>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</si>
  <si>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</si>
  <si>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</si>
  <si>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</si>
  <si>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</si>
  <si>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</si>
  <si>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</si>
  <si>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</si>
  <si>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</si>
  <si>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</si>
  <si>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</si>
  <si>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</si>
  <si>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</si>
  <si>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</si>
  <si>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</si>
  <si>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</si>
  <si>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</si>
  <si>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</si>
  <si>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</si>
  <si>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</si>
  <si>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</si>
  <si>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</si>
  <si>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</si>
  <si>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</si>
  <si>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</si>
  <si>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</si>
  <si>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</si>
  <si>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</si>
  <si>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</si>
  <si>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</si>
  <si>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</si>
  <si>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</si>
  <si>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</si>
  <si>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</si>
  <si>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</si>
  <si>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</si>
  <si>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</si>
  <si>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</si>
  <si>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</si>
  <si>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</si>
  <si>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</si>
  <si>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</si>
  <si>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</si>
  <si>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</si>
  <si>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</si>
  <si>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</si>
  <si>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</si>
  <si>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</si>
  <si>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</si>
  <si>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</si>
  <si>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</si>
  <si>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</si>
  <si>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</si>
  <si>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</si>
  <si>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</si>
  <si>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</si>
  <si>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</si>
  <si>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</si>
  <si>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</si>
  <si>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</si>
  <si>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</si>
  <si>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</si>
  <si>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</si>
  <si>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</si>
  <si>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</si>
  <si>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</si>
  <si>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</si>
  <si>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</si>
  <si>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</si>
  <si>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</si>
  <si>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</si>
  <si>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</si>
  <si>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</si>
  <si>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</si>
  <si>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</si>
  <si>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</si>
  <si>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</si>
  <si>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</si>
  <si>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</si>
  <si>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</si>
  <si>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</si>
  <si>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</si>
  <si>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</si>
  <si>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</si>
  <si>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</si>
  <si>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</si>
  <si>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</si>
  <si>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</si>
  <si>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</si>
  <si>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</si>
  <si>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</si>
  <si>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</si>
  <si>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</si>
  <si>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</si>
  <si>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</si>
  <si>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</si>
  <si>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</si>
  <si>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</si>
  <si>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</si>
  <si>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</si>
  <si>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</si>
  <si>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</si>
  <si>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</si>
  <si>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</si>
  <si>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</si>
  <si>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</si>
  <si>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</si>
  <si>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</si>
  <si>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</si>
  <si>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</si>
  <si>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</si>
  <si>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</si>
  <si>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</si>
  <si>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</si>
  <si>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</si>
  <si>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</si>
  <si>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</si>
  <si>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</si>
  <si>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</si>
  <si>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</si>
  <si>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</si>
  <si>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</si>
  <si>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</si>
  <si>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</si>
  <si>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</si>
  <si>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</si>
  <si>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</si>
  <si>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</si>
  <si>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</si>
  <si>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</si>
  <si>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</si>
  <si>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</si>
  <si>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</si>
  <si>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</si>
  <si>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</si>
  <si>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</si>
  <si>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</si>
  <si>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</si>
  <si>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</si>
  <si>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</si>
  <si>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</si>
  <si>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</si>
  <si>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</si>
  <si>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</si>
  <si>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</si>
  <si>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</si>
  <si>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</si>
  <si>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</si>
  <si>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</si>
  <si>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</si>
  <si>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</si>
  <si>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</si>
  <si>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</si>
  <si>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</si>
  <si>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</si>
  <si>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</si>
  <si>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</si>
  <si>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</si>
  <si>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</si>
  <si>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</si>
  <si>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</si>
  <si>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</si>
  <si>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</si>
  <si>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</si>
  <si>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</si>
  <si>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</si>
  <si>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</si>
  <si>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</si>
  <si>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</si>
  <si>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</si>
  <si>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</si>
  <si>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</si>
  <si>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</si>
  <si>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</si>
  <si>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</si>
  <si>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</si>
  <si>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</si>
  <si>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</si>
  <si>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</si>
  <si>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</si>
  <si>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</si>
  <si>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</si>
  <si>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</si>
  <si>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</si>
  <si>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</si>
  <si>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</si>
  <si>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</si>
  <si>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</si>
  <si>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</si>
  <si>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</si>
  <si>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</si>
  <si>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</si>
  <si>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</si>
  <si>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</si>
  <si>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</si>
  <si>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</si>
  <si>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</si>
  <si>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</si>
  <si>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</si>
  <si>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</si>
  <si>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</si>
  <si>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</si>
  <si>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</si>
  <si>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</si>
  <si>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</si>
  <si>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</si>
  <si>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</si>
  <si>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</si>
  <si>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</si>
  <si>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</si>
  <si>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</si>
  <si>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</si>
  <si>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</si>
  <si>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</si>
  <si>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</si>
  <si>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</si>
  <si>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</si>
  <si>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</si>
  <si>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</si>
  <si>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</si>
  <si>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</si>
  <si>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</si>
  <si>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</si>
  <si>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</si>
  <si>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</si>
  <si>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</si>
  <si>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</si>
  <si>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</si>
  <si>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</si>
  <si>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</si>
  <si>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</si>
  <si>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</si>
  <si>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</si>
  <si>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</si>
  <si>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</si>
  <si>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</si>
  <si>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</si>
  <si>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</si>
  <si>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</si>
  <si>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</si>
  <si>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</si>
  <si>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</si>
  <si>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</si>
  <si>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</si>
  <si>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</si>
  <si>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</si>
  <si>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</si>
  <si>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</si>
  <si>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</si>
  <si>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</si>
  <si>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</si>
  <si>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</si>
  <si>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</si>
  <si>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</si>
  <si>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</si>
  <si>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</si>
  <si>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</si>
  <si>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</si>
  <si>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</si>
  <si>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</si>
  <si>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</si>
  <si>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</si>
  <si>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</si>
  <si>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</si>
  <si>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</si>
  <si>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</si>
  <si>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</si>
  <si>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</si>
  <si>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</si>
  <si>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</si>
  <si>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</si>
  <si>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</si>
  <si>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</si>
  <si>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</si>
  <si>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</si>
  <si>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</si>
  <si>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</si>
  <si>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</si>
  <si>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</si>
  <si>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</si>
  <si>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</si>
  <si>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</si>
  <si>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</si>
  <si>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</si>
  <si>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</si>
  <si>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</si>
  <si>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</si>
  <si>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</si>
  <si>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</si>
  <si>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</si>
  <si>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</si>
  <si>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</si>
  <si>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</si>
  <si>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</si>
  <si>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</si>
  <si>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</si>
  <si>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</si>
  <si>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</si>
  <si>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</si>
  <si>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</si>
  <si>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</si>
  <si>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</si>
  <si>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</si>
  <si>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</si>
  <si>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</si>
  <si>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</si>
  <si>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</si>
  <si>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</si>
  <si>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</si>
  <si>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</si>
  <si>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</si>
  <si>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</si>
  <si>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</si>
  <si>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</si>
  <si>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</si>
  <si>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</si>
  <si>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</si>
  <si>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</si>
  <si>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</si>
  <si>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</si>
  <si>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</si>
  <si>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</si>
  <si>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</si>
  <si>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</si>
  <si>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</si>
  <si>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</si>
  <si>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</si>
  <si>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</si>
  <si>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</si>
  <si>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</si>
  <si>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</si>
  <si>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</si>
  <si>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</si>
  <si>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</si>
  <si>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</si>
  <si>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</si>
  <si>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</si>
  <si>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</si>
  <si>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</si>
  <si>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</si>
  <si>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</si>
  <si>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</si>
  <si>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</si>
  <si>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</si>
  <si>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</si>
  <si>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</si>
  <si>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</si>
  <si>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</si>
  <si>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</si>
  <si>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</si>
  <si>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</si>
  <si>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</si>
  <si>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</si>
  <si>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</si>
  <si>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</si>
  <si>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</si>
  <si>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</si>
  <si>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</si>
  <si>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</si>
  <si>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</si>
  <si>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</si>
  <si>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</si>
  <si>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</si>
  <si>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</si>
  <si>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</si>
  <si>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</si>
  <si>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</si>
  <si>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</si>
  <si>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</si>
  <si>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</si>
  <si>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</si>
  <si>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</si>
  <si>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</si>
  <si>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</si>
  <si>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</si>
  <si>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</si>
  <si>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</si>
  <si>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</si>
  <si>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</si>
  <si>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</si>
  <si>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</si>
  <si>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</si>
  <si>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</si>
  <si>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</si>
  <si>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</si>
  <si>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</si>
  <si>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</si>
  <si>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</si>
  <si>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</si>
  <si>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</si>
  <si>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</si>
  <si>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</si>
  <si>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</si>
  <si>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</si>
  <si>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</si>
  <si>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</si>
  <si>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</si>
  <si>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</si>
  <si>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</si>
  <si>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</si>
  <si>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</si>
  <si>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</si>
  <si>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</si>
  <si>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</si>
  <si>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</si>
  <si>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</si>
  <si>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</si>
  <si>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</si>
  <si>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</si>
  <si>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</si>
  <si>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</si>
  <si>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</si>
  <si>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</si>
  <si>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</si>
  <si>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</si>
  <si>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</si>
  <si>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</si>
  <si>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</si>
  <si>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</si>
  <si>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</si>
  <si>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</si>
  <si>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</si>
  <si>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</si>
  <si>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</si>
  <si>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</si>
  <si>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</si>
  <si>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</si>
  <si>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</si>
  <si>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</si>
  <si>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</si>
  <si>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</si>
  <si>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</si>
  <si>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</si>
  <si>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</si>
  <si>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</si>
  <si>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</si>
  <si>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</si>
  <si>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</si>
  <si>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</si>
  <si>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</si>
  <si>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</si>
  <si>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</si>
  <si>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</si>
  <si>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</si>
  <si>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</si>
  <si>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</si>
  <si>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</si>
  <si>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</si>
  <si>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</si>
  <si>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</si>
  <si>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</si>
  <si>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</si>
  <si>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</si>
  <si>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</si>
  <si>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</si>
  <si>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</si>
  <si>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</si>
  <si>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</si>
  <si>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</si>
  <si>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</si>
  <si>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</si>
  <si>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</si>
  <si>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</si>
  <si>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</si>
  <si>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</si>
  <si>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</si>
  <si>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</si>
  <si>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</si>
  <si>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</si>
  <si>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</si>
  <si>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</si>
  <si>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</si>
  <si>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</si>
  <si>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</si>
  <si>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</si>
  <si>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</si>
  <si>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</si>
  <si>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</si>
  <si>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</si>
  <si>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</si>
  <si>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</si>
  <si>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</si>
  <si>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</si>
  <si>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</si>
  <si>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</si>
  <si>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</si>
  <si>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</si>
  <si>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</si>
  <si>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</si>
  <si>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</si>
  <si>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</si>
  <si>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</si>
  <si>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</si>
  <si>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</si>
  <si>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</si>
  <si>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</si>
  <si>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</si>
  <si>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</si>
  <si>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</si>
  <si>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</si>
  <si>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</si>
  <si>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</si>
  <si>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</si>
  <si>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</si>
  <si>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</si>
  <si>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</si>
  <si>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</si>
  <si>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</si>
  <si>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</si>
  <si>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</si>
  <si>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</si>
  <si>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</si>
  <si>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</si>
  <si>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</si>
  <si>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</si>
  <si>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</si>
  <si>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</si>
  <si>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</si>
  <si>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</si>
  <si>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</si>
  <si>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</si>
  <si>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</si>
  <si>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</si>
  <si>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</si>
  <si>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</si>
  <si>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</si>
  <si>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</si>
  <si>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</si>
  <si>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</si>
  <si>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</si>
  <si>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</si>
  <si>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</si>
  <si>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</si>
  <si>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</si>
  <si>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</si>
  <si>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</si>
  <si>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</si>
  <si>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</si>
  <si>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</si>
  <si>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</si>
  <si>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</si>
  <si>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</si>
  <si>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</si>
  <si>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</si>
  <si>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</si>
  <si>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</si>
  <si>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</si>
  <si>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</si>
  <si>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</si>
  <si>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</si>
  <si>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</si>
  <si>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</si>
  <si>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</si>
  <si>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</si>
  <si>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</si>
  <si>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</si>
  <si>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</si>
  <si>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</si>
  <si>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</si>
  <si>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</si>
  <si>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</si>
  <si>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</si>
  <si>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</si>
  <si>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</si>
  <si>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</si>
  <si>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</si>
  <si>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</si>
  <si>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</si>
  <si>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</si>
  <si>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</si>
  <si>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</si>
  <si>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</si>
  <si>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</si>
  <si>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</si>
  <si>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</si>
  <si>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</si>
  <si>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</si>
  <si>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</si>
  <si>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</si>
  <si>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</si>
  <si>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</si>
  <si>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</si>
  <si>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</si>
  <si>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</si>
  <si>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</si>
  <si>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</si>
  <si>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</si>
  <si>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</si>
  <si>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</si>
  <si>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</si>
  <si>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</si>
  <si>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</si>
  <si>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</si>
  <si>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</si>
  <si>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</si>
  <si>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</si>
  <si>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</si>
  <si>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</si>
  <si>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</si>
  <si>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</si>
  <si>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</si>
  <si>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</si>
  <si>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</si>
  <si>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</si>
  <si>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</si>
  <si>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</si>
  <si>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</si>
  <si>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</si>
  <si>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</si>
  <si>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</si>
  <si>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</si>
  <si>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</si>
  <si>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</si>
  <si>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</si>
  <si>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</si>
  <si>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</si>
  <si>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</si>
  <si>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</si>
  <si>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</si>
  <si>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</si>
  <si>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</si>
  <si>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</si>
  <si>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</si>
  <si>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</si>
  <si>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</si>
  <si>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</si>
  <si>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</si>
  <si>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</si>
  <si>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</si>
  <si>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</si>
  <si>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</si>
  <si>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</si>
  <si>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</si>
  <si>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</si>
  <si>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</si>
  <si>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</si>
  <si>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</si>
  <si>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</si>
  <si>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</si>
  <si>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</si>
  <si>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</si>
  <si>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</si>
  <si>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</si>
  <si>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</si>
  <si>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</si>
  <si>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</si>
  <si>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</si>
  <si>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</si>
  <si>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</si>
  <si>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</si>
  <si>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</si>
  <si>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</si>
  <si>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</si>
  <si>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</si>
  <si>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</si>
  <si>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</si>
  <si>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</si>
  <si>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</si>
  <si>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</si>
  <si>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</si>
  <si>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</si>
  <si>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</si>
  <si>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</si>
  <si>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</si>
  <si>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</si>
  <si>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</si>
  <si>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</si>
  <si>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</si>
  <si>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</si>
  <si>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</si>
  <si>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</si>
  <si>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</si>
  <si>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</si>
  <si>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</si>
  <si>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</si>
  <si>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</si>
  <si>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</si>
  <si>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</si>
  <si>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</si>
  <si>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</si>
  <si>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</si>
  <si>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</si>
  <si>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</si>
  <si>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</si>
  <si>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</si>
  <si>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</si>
  <si>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</si>
  <si>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</si>
  <si>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</si>
  <si>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</si>
  <si>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</si>
  <si>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</si>
  <si>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</si>
  <si>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</si>
  <si>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</si>
  <si>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</si>
  <si>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</si>
  <si>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</si>
  <si>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</si>
  <si>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</si>
  <si>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</si>
  <si>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</si>
  <si>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</si>
  <si>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</si>
  <si>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</si>
  <si>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</si>
  <si>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</si>
  <si>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</si>
  <si>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</si>
  <si>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</si>
  <si>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</si>
  <si>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</si>
  <si>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</si>
  <si>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</si>
  <si>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</si>
  <si>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</si>
  <si>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</si>
  <si>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</si>
  <si>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</si>
  <si>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</si>
  <si>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</si>
  <si>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</si>
  <si>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</si>
  <si>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</si>
  <si>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</si>
  <si>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</si>
  <si>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</si>
  <si>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</si>
  <si>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</si>
  <si>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</si>
  <si>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</si>
  <si>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</si>
  <si>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</si>
  <si>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</si>
  <si>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</si>
  <si>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</si>
  <si>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</si>
  <si>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</si>
  <si>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</si>
  <si>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</si>
  <si>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</si>
  <si>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</si>
  <si>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</si>
  <si>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</si>
  <si>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</si>
  <si>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</si>
  <si>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</si>
  <si>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</si>
  <si>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</si>
  <si>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</si>
  <si>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</si>
  <si>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</si>
  <si>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</si>
  <si>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</si>
  <si>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</si>
  <si>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</si>
  <si>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</si>
  <si>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</si>
  <si>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</si>
  <si>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</si>
  <si>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</si>
  <si>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</si>
  <si>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</si>
  <si>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</si>
  <si>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</si>
  <si>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</si>
  <si>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</si>
  <si>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</si>
  <si>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</si>
  <si>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</si>
  <si>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</si>
  <si>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</si>
  <si>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</si>
  <si>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</si>
  <si>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</si>
  <si>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</si>
  <si>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</si>
  <si>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</si>
  <si>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</si>
  <si>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</si>
  <si>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</si>
  <si>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</si>
  <si>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</si>
  <si>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</si>
  <si>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</si>
  <si>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</si>
  <si>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</si>
  <si>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</si>
  <si>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</si>
  <si>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</si>
  <si>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</si>
  <si>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</si>
  <si>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</si>
  <si>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</si>
  <si>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</si>
  <si>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</si>
  <si>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</si>
  <si>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</si>
  <si>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</si>
  <si>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</si>
  <si>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</si>
  <si>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</si>
  <si>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</si>
  <si>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</si>
  <si>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</si>
  <si>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</si>
  <si>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</si>
  <si>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</si>
  <si>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</si>
  <si>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</si>
  <si>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</si>
  <si>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</si>
  <si>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</si>
  <si>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</si>
  <si>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</si>
  <si>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</si>
  <si>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</si>
  <si>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</si>
  <si>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</si>
  <si>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</si>
  <si>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</si>
  <si>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</si>
  <si>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</si>
  <si>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</si>
  <si>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</si>
  <si>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</si>
  <si>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</si>
  <si>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</si>
  <si>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</si>
  <si>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</si>
  <si>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</si>
  <si>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</si>
  <si>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</si>
  <si>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</si>
  <si>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</si>
  <si>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</si>
  <si>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</si>
  <si>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</si>
  <si>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</si>
  <si>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</si>
  <si>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</si>
  <si>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</si>
  <si>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</si>
  <si>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</si>
  <si>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</si>
  <si>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</si>
  <si>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</si>
  <si>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</si>
  <si>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</si>
  <si>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</si>
  <si>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</si>
  <si>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</si>
  <si>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</si>
  <si>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</si>
  <si>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</si>
  <si>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</si>
  <si>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</si>
  <si>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</si>
  <si>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</si>
  <si>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</si>
  <si>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</si>
  <si>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</si>
  <si>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</si>
  <si>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</si>
  <si>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</si>
  <si>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</si>
  <si>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</si>
  <si>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</si>
  <si>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</si>
  <si>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</si>
  <si>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</si>
  <si>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</si>
  <si>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</si>
  <si>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</si>
  <si>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</si>
  <si>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</si>
  <si>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</si>
  <si>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</si>
  <si>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</si>
  <si>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</si>
  <si>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</si>
  <si>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</si>
  <si>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</si>
  <si>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</si>
  <si>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</si>
  <si>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</si>
  <si>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</si>
  <si>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</si>
  <si>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</si>
  <si>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</si>
  <si>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</si>
  <si>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</si>
  <si>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</si>
  <si>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</si>
  <si>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</si>
  <si>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</si>
  <si>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</si>
  <si>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</si>
  <si>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</si>
  <si>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</si>
  <si>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</si>
  <si>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</si>
  <si>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</si>
  <si>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</si>
  <si>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</si>
  <si>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</si>
  <si>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</si>
  <si>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</si>
  <si>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</si>
  <si>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</si>
  <si>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</si>
  <si>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</si>
  <si>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</si>
  <si>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</si>
  <si>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</si>
  <si>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</si>
  <si>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</si>
  <si>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</si>
  <si>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</si>
  <si>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</si>
  <si>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</si>
  <si>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</si>
  <si>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</si>
  <si>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</si>
  <si>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</si>
  <si>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</si>
  <si>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</si>
  <si>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</si>
  <si>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</si>
  <si>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</si>
  <si>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</si>
  <si>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</si>
  <si>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</si>
  <si>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</si>
  <si>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</si>
  <si>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</si>
  <si>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</si>
  <si>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</si>
  <si>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</si>
  <si>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</si>
  <si>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</si>
  <si>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</si>
  <si>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</si>
  <si>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</si>
  <si>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</si>
  <si>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</si>
  <si>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</si>
  <si>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</si>
  <si>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</si>
  <si>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</si>
  <si>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</si>
  <si>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</si>
  <si>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</si>
  <si>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</si>
  <si>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</si>
  <si>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</si>
  <si>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</si>
  <si>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</si>
  <si>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</si>
  <si>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</si>
  <si>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</si>
  <si>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</si>
  <si>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</si>
  <si>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</si>
  <si>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</si>
  <si>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</si>
  <si>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</si>
  <si>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</si>
  <si>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</si>
  <si>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</si>
  <si>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</si>
  <si>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</si>
  <si>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</si>
  <si>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</si>
  <si>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</si>
  <si>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</si>
  <si>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</si>
  <si>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</si>
  <si>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</si>
  <si>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</si>
  <si>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</si>
  <si>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</si>
  <si>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</si>
  <si>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</si>
  <si>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</si>
  <si>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</si>
  <si>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</si>
  <si>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</si>
  <si>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</si>
  <si>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</si>
  <si>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</si>
  <si>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</si>
  <si>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</si>
  <si>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</si>
  <si>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</si>
  <si>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</si>
  <si>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</si>
  <si>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</si>
  <si>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</si>
  <si>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</si>
  <si>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</si>
  <si>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</si>
  <si>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</si>
  <si>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</si>
  <si>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</si>
  <si>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</si>
  <si>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</si>
  <si>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</si>
  <si>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</si>
  <si>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</si>
  <si>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</si>
  <si>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</si>
  <si>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</si>
  <si>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</si>
  <si>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</si>
  <si>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</si>
  <si>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</si>
  <si>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</si>
  <si>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</si>
  <si>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</si>
  <si>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</si>
  <si>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</si>
  <si>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</si>
  <si>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</si>
  <si>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</si>
  <si>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</si>
  <si>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</si>
  <si>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</si>
  <si>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</si>
  <si>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</si>
  <si>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</si>
  <si>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</si>
  <si>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</si>
  <si>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</si>
  <si>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</si>
  <si>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</si>
  <si>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</si>
  <si>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</si>
  <si>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</si>
  <si>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</si>
  <si>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</si>
  <si>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</si>
  <si>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</si>
  <si>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</si>
  <si>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</si>
  <si>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</si>
  <si>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</si>
  <si>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</si>
  <si>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</si>
  <si>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</si>
  <si>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</si>
  <si>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</si>
  <si>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</si>
  <si>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</si>
  <si>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</si>
  <si>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</si>
  <si>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</si>
  <si>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</si>
  <si>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</si>
  <si>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</si>
  <si>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</si>
  <si>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</si>
  <si>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</si>
  <si>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</si>
  <si>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</si>
  <si>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</si>
  <si>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</si>
  <si>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</si>
  <si>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</si>
  <si>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</si>
  <si>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</si>
  <si>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</si>
  <si>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</si>
  <si>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</si>
  <si>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</si>
  <si>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</si>
  <si>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</si>
  <si>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</si>
  <si>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</si>
  <si>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</si>
  <si>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</si>
  <si>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</si>
  <si>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</si>
  <si>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</si>
  <si>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</si>
  <si>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</si>
  <si>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</si>
  <si>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</si>
  <si>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</si>
  <si>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</si>
  <si>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</si>
  <si>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</si>
  <si>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</si>
  <si>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</si>
  <si>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</si>
  <si>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</si>
  <si>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</si>
  <si>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</si>
  <si>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</si>
  <si>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</si>
  <si>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</si>
  <si>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</si>
  <si>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</si>
  <si>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</si>
  <si>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</si>
  <si>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</si>
  <si>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</si>
  <si>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</si>
  <si>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</si>
  <si>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</si>
  <si>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</si>
  <si>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</si>
  <si>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</si>
  <si>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</si>
  <si>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</si>
  <si>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</si>
  <si>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</si>
  <si>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</si>
  <si>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</si>
  <si>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</si>
  <si>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</si>
  <si>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</si>
  <si>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</si>
  <si>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</si>
  <si>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</si>
  <si>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</si>
  <si>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</si>
  <si>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</si>
  <si>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</si>
  <si>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</si>
  <si>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</si>
  <si>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</si>
  <si>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</si>
  <si>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</si>
  <si>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</si>
  <si>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</si>
  <si>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</si>
  <si>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</si>
  <si>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</si>
  <si>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</si>
  <si>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</si>
  <si>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</si>
  <si>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</si>
  <si>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</si>
  <si>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</si>
  <si>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</si>
  <si>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</si>
  <si>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</si>
  <si>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</si>
  <si>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</si>
  <si>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</si>
  <si>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</si>
  <si>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</si>
  <si>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</si>
  <si>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</si>
  <si>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</si>
  <si>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</si>
  <si>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</si>
  <si>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</si>
  <si>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</si>
  <si>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</si>
  <si>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</si>
  <si>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</si>
  <si>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</si>
  <si>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</si>
  <si>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</si>
  <si>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</si>
  <si>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</si>
  <si>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</si>
  <si>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</si>
  <si>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</si>
  <si>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</si>
  <si>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</si>
  <si>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</si>
  <si>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</si>
  <si>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</si>
  <si>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</si>
  <si>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</si>
  <si>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</si>
  <si>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</si>
  <si>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</si>
  <si>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</si>
  <si>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</si>
  <si>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</si>
  <si>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</si>
  <si>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</si>
  <si>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</si>
  <si>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</si>
  <si>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</si>
  <si>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</si>
  <si>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</si>
  <si>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</si>
  <si>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</si>
  <si>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</si>
  <si>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</si>
  <si>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</si>
  <si>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</si>
  <si>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</si>
  <si>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</si>
  <si>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</si>
  <si>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</si>
  <si>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</si>
  <si>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</si>
  <si>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</si>
  <si>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</si>
  <si>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</si>
  <si>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</si>
  <si>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</si>
  <si>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</si>
  <si>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</si>
  <si>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</si>
  <si>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</si>
  <si>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</si>
  <si>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</si>
  <si>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</si>
  <si>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</si>
  <si>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</si>
  <si>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</si>
  <si>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</si>
  <si>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</si>
  <si>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</si>
  <si>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</si>
  <si>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</si>
  <si>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</si>
  <si>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</si>
  <si>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</si>
  <si>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</si>
  <si>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</si>
  <si>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</si>
  <si>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</si>
  <si>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</si>
  <si>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</si>
  <si>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</si>
  <si>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</si>
  <si>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</si>
  <si>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</si>
  <si>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</si>
  <si>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</si>
  <si>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</si>
  <si>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</si>
  <si>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</si>
  <si>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</si>
  <si>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</si>
  <si>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</si>
  <si>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</si>
  <si>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</si>
  <si>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</si>
  <si>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</si>
  <si>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</si>
  <si>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</si>
  <si>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</si>
  <si>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</si>
  <si>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</si>
  <si>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</si>
  <si>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</si>
  <si>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</si>
  <si>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</si>
  <si>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</si>
  <si>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</si>
  <si>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</si>
  <si>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</si>
  <si>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</si>
  <si>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</si>
  <si>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</si>
  <si>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</si>
  <si>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</si>
  <si>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</si>
  <si>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</si>
  <si>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</si>
  <si>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</si>
  <si>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</si>
  <si>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</si>
  <si>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</si>
  <si>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</si>
  <si>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</si>
  <si>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</si>
  <si>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</si>
  <si>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</si>
  <si>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</si>
  <si>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</si>
  <si>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</si>
  <si>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</si>
  <si>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</si>
  <si>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</si>
  <si>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</si>
  <si>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</si>
  <si>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</si>
  <si>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</si>
  <si>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</si>
  <si>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</si>
  <si>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</si>
  <si>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</si>
  <si>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</si>
  <si>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</si>
  <si>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</si>
  <si>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</si>
  <si>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</si>
  <si>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</si>
  <si>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</si>
  <si>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</si>
  <si>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</si>
  <si>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</si>
  <si>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</si>
  <si>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</si>
  <si>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</si>
  <si>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</si>
  <si>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</si>
  <si>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</si>
  <si>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</si>
  <si>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</si>
  <si>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</si>
  <si>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</si>
  <si>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</si>
  <si>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</si>
  <si>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</si>
  <si>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</si>
  <si>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</si>
  <si>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</si>
  <si>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</si>
  <si>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</si>
  <si>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</si>
  <si>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</si>
  <si>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</si>
  <si>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</si>
  <si>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</si>
  <si>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</si>
  <si>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</si>
  <si>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</si>
  <si>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</si>
  <si>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</si>
  <si>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</si>
  <si>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</si>
  <si>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</si>
  <si>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</si>
  <si>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</si>
  <si>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</si>
  <si>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</si>
  <si>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</si>
  <si>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</si>
  <si>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</si>
  <si>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</si>
  <si>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</si>
  <si>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</si>
  <si>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</si>
  <si>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</si>
  <si>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</si>
  <si>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</si>
  <si>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</si>
  <si>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</si>
  <si>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</si>
  <si>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</si>
  <si>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</si>
  <si>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</si>
  <si>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</si>
  <si>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</si>
  <si>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</si>
  <si>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</si>
  <si>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</si>
  <si>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</si>
  <si>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</si>
  <si>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</si>
  <si>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</si>
  <si>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</si>
  <si>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</si>
  <si>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</si>
  <si>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</si>
  <si>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</si>
  <si>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</si>
  <si>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</si>
  <si>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</si>
  <si>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</si>
  <si>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</si>
  <si>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</si>
  <si>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</si>
  <si>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</si>
  <si>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</si>
  <si>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</si>
  <si>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</si>
  <si>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</si>
  <si>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</si>
  <si>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</si>
  <si>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</si>
  <si>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</si>
  <si>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</si>
  <si>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</si>
  <si>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</si>
  <si>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</si>
  <si>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</si>
  <si>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</si>
  <si>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</si>
  <si>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</si>
  <si>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</si>
  <si>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</si>
  <si>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</si>
  <si>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</si>
  <si>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</si>
  <si>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</si>
  <si>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</si>
  <si>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</si>
  <si>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</si>
  <si>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</si>
  <si>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</si>
  <si>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</si>
  <si>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</si>
  <si>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 xml:space="preserve">G000000103 </t>
  </si>
  <si>
    <t>FR7591041</t>
  </si>
  <si>
    <t>CEMERAL_70007102171436</t>
  </si>
  <si>
    <t>G000000768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</si>
  <si>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</si>
  <si>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</si>
  <si>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</si>
  <si>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</si>
  <si>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</si>
  <si>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</si>
  <si>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</si>
  <si>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</si>
  <si>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</si>
  <si>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</si>
  <si>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</si>
  <si>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</si>
  <si>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</si>
  <si>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</si>
  <si>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</si>
  <si>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</si>
  <si>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</si>
  <si>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</si>
  <si>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</si>
  <si>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</si>
  <si>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</si>
  <si>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</si>
  <si>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</si>
  <si>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</si>
  <si>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</si>
  <si>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</si>
  <si>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</si>
  <si>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</si>
  <si>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</si>
  <si>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</si>
  <si>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</si>
  <si>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</si>
  <si>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</si>
  <si>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</si>
  <si>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</si>
  <si>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</si>
  <si>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</si>
  <si>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</si>
  <si>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</si>
  <si>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</si>
  <si>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</si>
  <si>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</si>
  <si>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</si>
  <si>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</si>
  <si>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</si>
  <si>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</si>
  <si>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</si>
  <si>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CLFF_VMCA$$$TW91GPO013 PO - Sourcing Region APAC/PO - Sourcing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</si>
  <si>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</si>
  <si>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</si>
  <si>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</si>
  <si>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</si>
  <si>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</si>
  <si>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</si>
  <si>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</si>
  <si>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</si>
  <si>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</si>
  <si>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</si>
  <si>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</si>
  <si>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</si>
  <si>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</si>
  <si>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</si>
  <si>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</si>
  <si>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</si>
  <si>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</si>
  <si>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</si>
  <si>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</si>
  <si>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</si>
  <si>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</si>
  <si>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</si>
  <si>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</si>
  <si>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</si>
  <si>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</si>
  <si>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</si>
  <si>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</si>
  <si>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</si>
  <si>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</si>
  <si>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</si>
  <si>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</si>
  <si>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</si>
  <si>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</si>
  <si>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</si>
  <si>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</si>
  <si>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</si>
  <si>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</si>
  <si>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</si>
  <si>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</si>
  <si>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</si>
  <si>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</si>
  <si>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</si>
  <si>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</si>
  <si>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</si>
  <si>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</si>
  <si>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 xml:space="preserve">G000001130 </t>
  </si>
  <si>
    <t>G000001130</t>
  </si>
  <si>
    <t>FR7595707</t>
  </si>
  <si>
    <t>6101MS310A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</si>
  <si>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</si>
  <si>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</si>
  <si>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</si>
  <si>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</si>
  <si>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</si>
  <si>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</si>
  <si>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</si>
  <si>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</si>
  <si>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</si>
  <si>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new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</si>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</sst>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</cellStyleXfs>
  <cellXfs count="13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72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3.960652199072" createdVersion="7" refreshedVersion="7" minRefreshableVersion="3" recordCount="3581" xr:uid="{11839AE3-6158-4318-87AD-2C711D0BF451}">
  <cacheSource type="worksheet">
    <worksheetSource name="Proc"/>
  </cacheSource>
  <cacheFields count="19">
    <cacheField name="App" numFmtId="0">
      <sharedItems containsBlank="1" count="151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1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8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4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3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4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3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3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3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3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3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3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3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2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2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0"/>
    <n v="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0"/>
    <n v="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0"/>
    <n v="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0"/>
    <n v="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0"/>
    <n v="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0"/>
    <n v="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0"/>
    <n v="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0"/>
    <n v="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0"/>
    <n v="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0"/>
    <n v="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0"/>
    <n v="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0"/>
    <n v="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0"/>
    <n v="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0"/>
    <n v="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0"/>
    <n v="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0"/>
    <n v="3"/>
    <s v="Jojeff Tagnong"/>
    <m/>
  </r>
  <r>
    <x v="326"/>
    <x v="1"/>
    <x v="2"/>
    <s v="CLFF_1000$$$CN70R03104"/>
    <s v="H000000643"/>
    <s v="H000000643"/>
    <s v="LFF (MDG-F)"/>
    <s v="CN70R03104"/>
    <m/>
    <b v="1"/>
    <x v="1"/>
    <x v="3"/>
    <d v="2025-08-12T00:00:00"/>
    <m/>
    <m/>
    <x v="0"/>
    <n v="2"/>
    <s v="Henry Ifurung Jr."/>
    <m/>
  </r>
  <r>
    <x v="326"/>
    <x v="1"/>
    <x v="2"/>
    <s v="CLFF_1000$$$DE50TMDA06"/>
    <s v="H000000643"/>
    <s v="H000000643"/>
    <s v="LFF (MDG-F)"/>
    <s v="DE50TMDA06"/>
    <m/>
    <b v="1"/>
    <x v="1"/>
    <x v="3"/>
    <d v="2025-08-12T00:00:00"/>
    <m/>
    <m/>
    <x v="0"/>
    <n v="2"/>
    <s v="Henry Ifurung Jr."/>
    <m/>
  </r>
  <r>
    <x v="326"/>
    <x v="1"/>
    <x v="2"/>
    <s v="CLFF_1000$$$CH65R00046"/>
    <s v="H000004380"/>
    <s v="H000004380"/>
    <s v="LFF (MDG-F)"/>
    <s v="CH65R00046"/>
    <m/>
    <b v="1"/>
    <x v="1"/>
    <x v="3"/>
    <d v="2025-08-12T00:00:00"/>
    <m/>
    <m/>
    <x v="0"/>
    <n v="2"/>
    <s v="Henry Ifurung Jr."/>
    <m/>
  </r>
  <r>
    <x v="326"/>
    <x v="1"/>
    <x v="2"/>
    <s v="CLFF_1000$$$CH65R00045"/>
    <s v="H000004380"/>
    <s v="H000004380"/>
    <s v="LFF (MDG-F)"/>
    <s v="CH65R00045"/>
    <m/>
    <b v="1"/>
    <x v="1"/>
    <x v="3"/>
    <d v="2025-08-12T00:00:00"/>
    <m/>
    <m/>
    <x v="0"/>
    <n v="2"/>
    <s v="Henry Ifurung Jr."/>
    <m/>
  </r>
  <r>
    <x v="326"/>
    <x v="1"/>
    <x v="2"/>
    <s v="CLFF_1000$$$CH65R00044"/>
    <s v="H000004380"/>
    <s v="H000004380"/>
    <s v="LFF (MDG-F)"/>
    <s v="CH65R00044"/>
    <m/>
    <b v="1"/>
    <x v="1"/>
    <x v="3"/>
    <d v="2025-08-12T00:00:00"/>
    <m/>
    <m/>
    <x v="0"/>
    <n v="2"/>
    <s v="Henry Ifurung Jr."/>
    <m/>
  </r>
  <r>
    <x v="326"/>
    <x v="1"/>
    <x v="2"/>
    <s v="CLFF_1000$$$IT50R02001"/>
    <s v="H000000617"/>
    <s v="H000000617"/>
    <s v="LFF (MDG-F)"/>
    <s v="IT50R02001"/>
    <m/>
    <b v="1"/>
    <x v="1"/>
    <x v="3"/>
    <d v="2025-08-12T00:00:00"/>
    <m/>
    <m/>
    <x v="0"/>
    <n v="2"/>
    <s v="Henry Ifurung Jr."/>
    <m/>
  </r>
  <r>
    <x v="326"/>
    <x v="1"/>
    <x v="2"/>
    <s v="CLFF_1000$$$IT50R02002"/>
    <s v="H000000617"/>
    <s v="H000000617"/>
    <s v="LFF (MDG-F)"/>
    <s v="IT50R02002"/>
    <m/>
    <b v="1"/>
    <x v="1"/>
    <x v="3"/>
    <d v="2025-08-12T00:00:00"/>
    <m/>
    <m/>
    <x v="0"/>
    <n v="2"/>
    <s v="Henry Ifurung Jr."/>
    <m/>
  </r>
  <r>
    <x v="327"/>
    <x v="1"/>
    <x v="2"/>
    <s v="CEMERAL_70007102171436"/>
    <s v="L000011664"/>
    <s v="L000011664"/>
    <s v="Non-LFF"/>
    <s v=""/>
    <m/>
    <b v="1"/>
    <x v="2"/>
    <x v="3"/>
    <d v="2025-08-13T00:00:00"/>
    <m/>
    <m/>
    <x v="0"/>
    <n v="1"/>
    <s v="Lakshmi Shree"/>
    <m/>
  </r>
  <r>
    <x v="328"/>
    <x v="1"/>
    <x v="6"/>
    <s v="CLFF_1000$$$DK50GEQ010"/>
    <s v="G000000103 "/>
    <s v="G000000768"/>
    <s v="LFF (MDG-F)"/>
    <s v="DK50GEQ010"/>
    <m/>
    <b v="0"/>
    <x v="0"/>
    <x v="3"/>
    <d v="2025-08-13T00:00:00"/>
    <m/>
    <m/>
    <x v="0"/>
    <n v="1"/>
    <s v="Jojeff Tagnong"/>
    <m/>
  </r>
  <r>
    <x v="328"/>
    <x v="1"/>
    <x v="2"/>
    <s v="CFLTFLE_22450000002741"/>
    <s v="G000000103"/>
    <s v="G000000103"/>
    <s v="Non-LFF"/>
    <s v=""/>
    <m/>
    <b v="1"/>
    <x v="0"/>
    <x v="3"/>
    <d v="2025-08-13T00:00:00"/>
    <m/>
    <m/>
    <x v="0"/>
    <n v="1"/>
    <s v="Jojeff Tagnong"/>
    <m/>
  </r>
  <r>
    <x v="329"/>
    <x v="1"/>
    <x v="5"/>
    <s v="CEMERAL_64010010991390 Admin/Sourcing APAC"/>
    <s v="G000001130 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203990110 Procurement APAC"/>
    <s v="G000001130 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203990116 PO - Src. Corporate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301995401 XXXPO-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302995401 XXXGroup Procurement-Purchas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40399GA65 Procurement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7001993007 XXXMESI MGF-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7102308299 Jade Park expense cross charge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0550000003914 MGF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2350000005017 MGF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710000170000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710000170020 XXXProcurement restructur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87HQ50GPO1F0 MGF_Procurement NWA_NORTH WES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98A08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6"/>
    <s v="CLFF_1000$$$CH50GPO004 PO Americas - MRO FR &amp; French-Speak. CH"/>
    <s v="G000001130"/>
    <m/>
    <s v="LFF (MDG-F)"/>
    <s v="CH50GPO004"/>
    <m/>
    <b v="0"/>
    <x v="0"/>
    <x v="3"/>
    <d v="2025-08-14T00:00:00"/>
    <m/>
    <m/>
    <x v="0"/>
    <n v="0"/>
    <s v="Jojeff Tagnong"/>
    <m/>
  </r>
  <r>
    <x v="329"/>
    <x v="1"/>
    <x v="6"/>
    <s v="CLFF_1000$$$CH50GPO101 Sourcing Healthcare 2"/>
    <s v="G000001130"/>
    <m/>
    <s v="LFF (MDG-F)"/>
    <s v="CH50GPO101"/>
    <m/>
    <b v="0"/>
    <x v="0"/>
    <x v="3"/>
    <d v="2025-08-14T00:00:00"/>
    <m/>
    <m/>
    <x v="0"/>
    <n v="0"/>
    <s v="Jojeff Tagnong"/>
    <m/>
  </r>
  <r>
    <x v="329"/>
    <x v="1"/>
    <x v="6"/>
    <s v="CLFF_1000$$$CH50GPO204 Sourcing BT"/>
    <s v="G000001130"/>
    <m/>
    <s v="LFF (MDG-F)"/>
    <s v="CH50GPO204"/>
    <m/>
    <b v="0"/>
    <x v="0"/>
    <x v="3"/>
    <d v="2025-08-14T00:00:00"/>
    <m/>
    <m/>
    <x v="0"/>
    <n v="0"/>
    <s v="Jojeff Tagnong"/>
    <m/>
  </r>
  <r>
    <x v="329"/>
    <x v="1"/>
    <x v="6"/>
    <s v="CLFF_1000$$$CH65GPO001 MRO Sourcing"/>
    <s v="G000001130"/>
    <m/>
    <s v="LFF (MDG-F)"/>
    <s v="CH65GPO001"/>
    <m/>
    <b v="0"/>
    <x v="0"/>
    <x v="3"/>
    <d v="2025-08-14T00:00:00"/>
    <m/>
    <m/>
    <x v="0"/>
    <n v="0"/>
    <s v="Jojeff Tagnong"/>
    <m/>
  </r>
  <r>
    <x v="329"/>
    <x v="1"/>
    <x v="6"/>
    <s v="CLFF_1000$$$CN90GPO005 Procurement APAC"/>
    <s v="G000001130"/>
    <m/>
    <s v="LFF (MDG-F)"/>
    <s v="CN90GPO005"/>
    <m/>
    <b v="0"/>
    <x v="0"/>
    <x v="3"/>
    <d v="2025-08-14T00:00:00"/>
    <m/>
    <m/>
    <x v="0"/>
    <n v="0"/>
    <s v="Jojeff Tagnong"/>
    <m/>
  </r>
  <r>
    <x v="329"/>
    <x v="1"/>
    <x v="6"/>
    <s v="CLFF_1000$$$DE10560000 Sourcing Office Intercomp"/>
    <s v="G000001130"/>
    <m/>
    <s v="LFF (MDG-F)"/>
    <s v="DE10560000"/>
    <m/>
    <b v="0"/>
    <x v="0"/>
    <x v="3"/>
    <d v="2025-08-14T00:00:00"/>
    <m/>
    <m/>
    <x v="0"/>
    <n v="0"/>
    <s v="Jojeff Tagnong"/>
    <m/>
  </r>
  <r>
    <x v="329"/>
    <x v="1"/>
    <x v="6"/>
    <s v="CLFF_1000$$$DE10661200 PO Src. Plant Serv."/>
    <s v="G000001130"/>
    <m/>
    <s v="LFF (MDG-F)"/>
    <s v="DE10661200"/>
    <m/>
    <b v="0"/>
    <x v="0"/>
    <x v="3"/>
    <d v="2025-08-14T00:00:00"/>
    <m/>
    <m/>
    <x v="0"/>
    <n v="0"/>
    <s v="Jojeff Tagnong"/>
    <m/>
  </r>
  <r>
    <x v="329"/>
    <x v="1"/>
    <x v="6"/>
    <s v="CLFF_1000$$$DE10667900 PO - Src. Corp. Services"/>
    <s v="G000001130"/>
    <m/>
    <s v="LFF (MDG-F)"/>
    <s v="DE10667900"/>
    <m/>
    <b v="0"/>
    <x v="0"/>
    <x v="3"/>
    <d v="2025-08-14T00:00:00"/>
    <m/>
    <m/>
    <x v="0"/>
    <n v="0"/>
    <s v="Jojeff Tagnong"/>
    <m/>
  </r>
  <r>
    <x v="329"/>
    <x v="1"/>
    <x v="6"/>
    <s v="CLFF_1000$$$DE10672010 PO IT Sourcing"/>
    <s v="G000001130"/>
    <m/>
    <s v="LFF (MDG-F)"/>
    <s v="DE10672010"/>
    <m/>
    <b v="0"/>
    <x v="0"/>
    <x v="3"/>
    <d v="2025-08-14T00:00:00"/>
    <m/>
    <m/>
    <x v="0"/>
    <n v="0"/>
    <s v="Jojeff Tagnong"/>
    <m/>
  </r>
  <r>
    <x v="329"/>
    <x v="1"/>
    <x v="6"/>
    <s v="CLFF_1000$$$DE65GPO001 Sourcing Corp. Serv. &amp; Region EMEA"/>
    <s v="G000001130"/>
    <m/>
    <s v="LFF (MDG-F)"/>
    <s v="DE65GPO001"/>
    <m/>
    <b v="0"/>
    <x v="0"/>
    <x v="3"/>
    <d v="2025-08-14T00:00:00"/>
    <m/>
    <m/>
    <x v="0"/>
    <n v="0"/>
    <s v="Jojeff Tagnong"/>
    <m/>
  </r>
  <r>
    <x v="329"/>
    <x v="1"/>
    <x v="6"/>
    <s v="CLFF_1000$$$DK50GPO004 Group Procurement - Real Estate F81"/>
    <s v="G000001130"/>
    <m/>
    <s v="LFF (MDG-F)"/>
    <s v="DK50GPO004"/>
    <m/>
    <b v="0"/>
    <x v="0"/>
    <x v="3"/>
    <d v="2025-08-14T00:00:00"/>
    <m/>
    <m/>
    <x v="0"/>
    <n v="0"/>
    <s v="Jojeff Tagnong"/>
    <m/>
  </r>
  <r>
    <x v="329"/>
    <x v="1"/>
    <x v="6"/>
    <s v="CLFF_1000$$$ES50GPO792 PO Global &amp; Local Sourcing EMEA"/>
    <s v="G000001130"/>
    <m/>
    <s v="LFF (MDG-F)"/>
    <s v="ES50GPO792"/>
    <m/>
    <b v="0"/>
    <x v="0"/>
    <x v="3"/>
    <d v="2025-08-14T00:00:00"/>
    <m/>
    <m/>
    <x v="0"/>
    <n v="0"/>
    <s v="Jojeff Tagnong"/>
    <m/>
  </r>
  <r>
    <x v="329"/>
    <x v="1"/>
    <x v="6"/>
    <s v="CLFF_1000$$$FR01GPO004 France Procurement"/>
    <s v="G000001130"/>
    <m/>
    <s v="LFF (MDG-F)"/>
    <s v="FR01GPO004"/>
    <m/>
    <b v="0"/>
    <x v="0"/>
    <x v="3"/>
    <d v="2025-08-14T00:00:00"/>
    <m/>
    <m/>
    <x v="0"/>
    <n v="0"/>
    <s v="Jojeff Tagnong"/>
    <m/>
  </r>
  <r>
    <x v="329"/>
    <x v="1"/>
    <x v="6"/>
    <s v="CLFF_1000$$$IT50GPO004 Procurement IT"/>
    <s v="G000001130"/>
    <m/>
    <s v="LFF (MDG-F)"/>
    <s v="IT50GPO004"/>
    <m/>
    <b v="0"/>
    <x v="0"/>
    <x v="3"/>
    <d v="2025-08-14T00:00:00"/>
    <m/>
    <m/>
    <x v="0"/>
    <n v="0"/>
    <s v="Jojeff Tagnong"/>
    <m/>
  </r>
  <r>
    <x v="329"/>
    <x v="1"/>
    <x v="6"/>
    <s v="CLFF_1000$$$IT50GPO0C3 G1F PO-Sourcing Plant Serv &amp; Region Amer"/>
    <s v="G000001130"/>
    <m/>
    <s v="LFF (MDG-F)"/>
    <s v="IT50GPO0C3"/>
    <m/>
    <b v="0"/>
    <x v="0"/>
    <x v="3"/>
    <d v="2025-08-14T00:00:00"/>
    <m/>
    <m/>
    <x v="0"/>
    <n v="0"/>
    <s v="Jojeff Tagnong"/>
    <m/>
  </r>
  <r>
    <x v="329"/>
    <x v="1"/>
    <x v="6"/>
    <s v="CLFF_1000$$$JP01GPO302 PO APAC"/>
    <s v="G000001130"/>
    <m/>
    <s v="LFF (MDG-F)"/>
    <s v="JP01GPO302"/>
    <m/>
    <b v="0"/>
    <x v="0"/>
    <x v="3"/>
    <d v="2025-08-14T00:00:00"/>
    <m/>
    <m/>
    <x v="0"/>
    <n v="0"/>
    <s v="Jojeff Tagnong"/>
    <m/>
  </r>
  <r>
    <x v="329"/>
    <x v="1"/>
    <x v="6"/>
    <s v="CLFF_1000$$$JP02GPO302 PO APAC"/>
    <s v="G000001130"/>
    <m/>
    <s v="LFF (MDG-F)"/>
    <s v="JP02GPO302"/>
    <m/>
    <b v="0"/>
    <x v="0"/>
    <x v="3"/>
    <d v="2025-08-14T00:00:00"/>
    <m/>
    <m/>
    <x v="0"/>
    <n v="0"/>
    <s v="Jojeff Tagnong"/>
    <m/>
  </r>
  <r>
    <x v="329"/>
    <x v="1"/>
    <x v="6"/>
    <s v="CLFF_1000$$$KE50GPO004 MGF Procurement"/>
    <s v="G000001130"/>
    <m/>
    <s v="LFF (MDG-F)"/>
    <s v="KE50GPO004"/>
    <m/>
    <b v="0"/>
    <x v="0"/>
    <x v="3"/>
    <d v="2025-08-14T00:00:00"/>
    <m/>
    <m/>
    <x v="0"/>
    <n v="0"/>
    <s v="Jojeff Tagnong"/>
    <m/>
  </r>
  <r>
    <x v="329"/>
    <x v="1"/>
    <x v="6"/>
    <s v="CLFF_1000$$$KR02GPO001 Procurement APAC"/>
    <s v="G000001130"/>
    <m/>
    <s v="LFF (MDG-F)"/>
    <s v="KR02GPO001"/>
    <m/>
    <b v="0"/>
    <x v="0"/>
    <x v="3"/>
    <d v="2025-08-14T00:00:00"/>
    <m/>
    <m/>
    <x v="0"/>
    <n v="0"/>
    <s v="Jojeff Tagnong"/>
    <m/>
  </r>
  <r>
    <x v="329"/>
    <x v="1"/>
    <x v="6"/>
    <s v="CLFF_1000$$$TW02GPO004 PO-Purchasing APAC"/>
    <s v="G000001130"/>
    <m/>
    <s v="LFF (MDG-F)"/>
    <s v="TW02GPO004"/>
    <m/>
    <b v="0"/>
    <x v="0"/>
    <x v="3"/>
    <d v="2025-08-14T00:00:00"/>
    <m/>
    <m/>
    <x v="0"/>
    <n v="0"/>
    <s v="Jojeff Tagnong"/>
    <m/>
  </r>
  <r>
    <x v="329"/>
    <x v="1"/>
    <x v="6"/>
    <s v="CLFF_1000$$$TW03GPO005 PO-Purchasing APAC"/>
    <s v="G000001130"/>
    <m/>
    <s v="LFF (MDG-F)"/>
    <s v="TW03GPO005"/>
    <m/>
    <b v="0"/>
    <x v="0"/>
    <x v="3"/>
    <d v="2025-08-14T00:00:00"/>
    <m/>
    <m/>
    <x v="0"/>
    <n v="0"/>
    <s v="Jojeff Tagnong"/>
    <m/>
  </r>
  <r>
    <x v="329"/>
    <x v="1"/>
    <x v="6"/>
    <s v="CLFF_1000$$$US01GPO004 Procurement EMEA"/>
    <s v="G000001130"/>
    <m/>
    <s v="LFF (MDG-F)"/>
    <s v="US01GPO004"/>
    <m/>
    <b v="0"/>
    <x v="0"/>
    <x v="3"/>
    <d v="2025-08-14T00:00:00"/>
    <m/>
    <m/>
    <x v="0"/>
    <n v="0"/>
    <s v="Jojeff Tagnong"/>
    <m/>
  </r>
  <r>
    <x v="329"/>
    <x v="1"/>
    <x v="6"/>
    <s v="CLFF_1000$$$US01GPO101 MPM MRO Region America"/>
    <s v="G000001130"/>
    <m/>
    <s v="LFF (MDG-F)"/>
    <s v="US01GPO101"/>
    <m/>
    <b v="0"/>
    <x v="0"/>
    <x v="3"/>
    <d v="2025-08-14T00:00:00"/>
    <m/>
    <m/>
    <x v="0"/>
    <n v="0"/>
    <s v="Jojeff Tagnong"/>
    <m/>
  </r>
  <r>
    <x v="329"/>
    <x v="1"/>
    <x v="6"/>
    <s v="CLFF_1000$$$US01GPO401 XXXGroup Procurement"/>
    <s v="G000001130"/>
    <m/>
    <s v="LFF (MDG-F)"/>
    <s v="US01GPO401"/>
    <m/>
    <b v="0"/>
    <x v="0"/>
    <x v="3"/>
    <d v="2025-08-14T00:00:00"/>
    <m/>
    <m/>
    <x v="0"/>
    <n v="0"/>
    <s v="Jojeff Tagnong"/>
    <m/>
  </r>
  <r>
    <x v="329"/>
    <x v="1"/>
    <x v="6"/>
    <s v="CLFF_1000$$$VN50GPO005 XX_Procurement - Service"/>
    <s v="G000001130"/>
    <m/>
    <s v="LFF (MDG-F)"/>
    <s v="VN50GPO005"/>
    <m/>
    <b v="0"/>
    <x v="0"/>
    <x v="3"/>
    <d v="2025-08-14T00:00:00"/>
    <m/>
    <m/>
    <x v="0"/>
    <n v="0"/>
    <s v="Jojeff Tagnong"/>
    <m/>
  </r>
  <r>
    <x v="329"/>
    <x v="1"/>
    <x v="6"/>
    <s v="CLFF_1000$$$ZA50GPO004 MGF Procurement"/>
    <s v="G000001130"/>
    <m/>
    <s v="LFF (MDG-F)"/>
    <s v="ZA50GPO004"/>
    <m/>
    <b v="0"/>
    <x v="0"/>
    <x v="3"/>
    <d v="2025-08-14T00:00:00"/>
    <m/>
    <m/>
    <x v="0"/>
    <n v="0"/>
    <s v="Jojeff Tagnong"/>
    <m/>
  </r>
  <r>
    <x v="329"/>
    <x v="1"/>
    <x v="6"/>
    <s v="CLFF_7210$$$2031GPO004 Purchasing"/>
    <s v="G000001130"/>
    <m/>
    <s v="LFF (MDG-F)"/>
    <s v="2031GPO004"/>
    <m/>
    <b v="0"/>
    <x v="0"/>
    <x v="3"/>
    <d v="2025-08-14T00:00:00"/>
    <m/>
    <m/>
    <x v="0"/>
    <n v="0"/>
    <s v="Jojeff Tagnong"/>
    <m/>
  </r>
  <r>
    <x v="329"/>
    <x v="1"/>
    <x v="6"/>
    <s v="CLFF_7210$$$2057GPO008 XX_Procurement CS&amp;EMEA"/>
    <s v="G000001130"/>
    <m/>
    <s v="LFF (MDG-F)"/>
    <s v="2057GPO008"/>
    <m/>
    <b v="0"/>
    <x v="0"/>
    <x v="3"/>
    <d v="2025-08-14T00:00:00"/>
    <m/>
    <m/>
    <x v="0"/>
    <n v="0"/>
    <s v="Jojeff Tagnong"/>
    <m/>
  </r>
  <r>
    <x v="329"/>
    <x v="1"/>
    <x v="6"/>
    <s v="CLFF_7210$$$2102GPO003 PO-Americas"/>
    <s v="G000001130"/>
    <m/>
    <s v="LFF (MDG-F)"/>
    <s v="2102GPO003"/>
    <m/>
    <b v="0"/>
    <x v="0"/>
    <x v="3"/>
    <d v="2025-08-14T00:00:00"/>
    <m/>
    <m/>
    <x v="0"/>
    <n v="0"/>
    <s v="Jojeff Tagnong"/>
    <m/>
  </r>
  <r>
    <x v="329"/>
    <x v="1"/>
    <x v="6"/>
    <s v="CLFF_7210$$$2123GPO001 PO Sourcing IT"/>
    <s v="G000001130"/>
    <m/>
    <s v="LFF (MDG-F)"/>
    <s v="2123GPO001"/>
    <m/>
    <b v="0"/>
    <x v="0"/>
    <x v="3"/>
    <d v="2025-08-14T00:00:00"/>
    <m/>
    <m/>
    <x v="0"/>
    <n v="0"/>
    <s v="Jojeff Tagnong"/>
    <m/>
  </r>
  <r>
    <x v="329"/>
    <x v="1"/>
    <x v="6"/>
    <s v="CLFF_7210$$$2128L40014 2128 General Expenses"/>
    <s v="G000001130"/>
    <m/>
    <s v="LFF (MDG-F)"/>
    <s v="2128L40014"/>
    <m/>
    <b v="0"/>
    <x v="0"/>
    <x v="3"/>
    <d v="2025-08-14T00:00:00"/>
    <m/>
    <m/>
    <x v="0"/>
    <n v="0"/>
    <s v="Jojeff Tagnong"/>
    <m/>
  </r>
  <r>
    <x v="329"/>
    <x v="1"/>
    <x v="6"/>
    <s v="CLFF_7210$$$2131GPO821 Procurement APAC"/>
    <s v="G000001130"/>
    <m/>
    <s v="LFF (MDG-F)"/>
    <s v="2131GPO821"/>
    <m/>
    <b v="0"/>
    <x v="0"/>
    <x v="3"/>
    <d v="2025-08-14T00:00:00"/>
    <m/>
    <m/>
    <x v="0"/>
    <n v="0"/>
    <s v="Jojeff Tagnong"/>
    <m/>
  </r>
  <r>
    <x v="329"/>
    <x v="1"/>
    <x v="6"/>
    <s v="CLFF_KR00$$$KR03GPO001 Procurement APAC"/>
    <s v="G000001130"/>
    <m/>
    <s v="LFF (MDG-F)"/>
    <s v="KR03GPO001"/>
    <m/>
    <b v="0"/>
    <x v="0"/>
    <x v="3"/>
    <d v="2025-08-14T00:00:00"/>
    <m/>
    <m/>
    <x v="0"/>
    <n v="0"/>
    <s v="Jojeff Tagnong"/>
    <m/>
  </r>
  <r>
    <x v="329"/>
    <x v="1"/>
    <x v="6"/>
    <s v="CLFF_VMCA$$$TW91GPO013 PO - Sourcing Region APAC/PO - Sourcing"/>
    <s v="G000001130"/>
    <m/>
    <s v="LFF (MDG-F)"/>
    <s v="TW91GPO013"/>
    <m/>
    <b v="0"/>
    <x v="0"/>
    <x v="3"/>
    <d v="2025-08-14T00:00:00"/>
    <m/>
    <m/>
    <x v="0"/>
    <n v="0"/>
    <s v="Jojeff Tagnong"/>
    <m/>
  </r>
  <r>
    <x v="329"/>
    <x v="1"/>
    <x v="6"/>
    <s v="CLFF_VMCA$$$US10GPO022 Procurement Plant Serv. Amer."/>
    <s v="G000001130"/>
    <m/>
    <s v="LFF (MDG-F)"/>
    <s v="US10GPO022"/>
    <m/>
    <b v="0"/>
    <x v="0"/>
    <x v="3"/>
    <d v="2025-08-14T00:00:00"/>
    <m/>
    <m/>
    <x v="0"/>
    <n v="0"/>
    <s v="Jojeff Tagnong"/>
    <m/>
  </r>
  <r>
    <x v="329"/>
    <x v="1"/>
    <x v="6"/>
    <s v="CLFF_VMCA$$$US10GPO024 Procurement Corp Serv. Amer."/>
    <s v="G000001130"/>
    <m/>
    <s v="LFF (MDG-F)"/>
    <s v="US10GPO024"/>
    <m/>
    <b v="0"/>
    <x v="0"/>
    <x v="3"/>
    <d v="2025-08-14T00:00:00"/>
    <m/>
    <m/>
    <x v="0"/>
    <n v="0"/>
    <s v="Jojeff Tagnong"/>
    <m/>
  </r>
  <r>
    <x v="329"/>
    <x v="1"/>
    <x v="5"/>
    <s v="CNOW_7210$$$0000010415 PO -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10428 PO-IT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21133 PO-Procurement-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1807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7192 PO Sourcing Corporate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7211 PO - Src. Plant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ROW$$$$0000006106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45.9866 Procurement Americas FR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45.9868 Procurement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654 PO-P Site Services &amp; Utilities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07 PO-MLF-M Flexible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08 PO-C Sourcing Travel, Fleet &amp; Event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12 PO-E Global IT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20 PO EGM Glbl IT Transformation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983 PO Americas - Cross Charge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990 PO-P MRO Sourcing U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042$PURC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050$B33 Procurement Src.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923$B33 Procurement Src.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10700800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40700803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40700839 PO-PlantSrv&amp;Ame Ref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60715000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90700803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NL40AD0079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10C04000 Purchas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10C04500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80000020 PO Digital IT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TR10ADP200 XXXPO - Corp. Serv. / EMEA - Tier 2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AR10310006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BR10302210 Procurement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CO10100510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GT10ZZ0A30 XXXADM - CP-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GT10ZZ1A30 ADM - PO - Procurement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MX10501006 PO-Procurement-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PE10760000 XXX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UY10050029 XXXPO Src Plant Srvc-Am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UY10GPO004 Site Operations Sourcing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20CA8801 PO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20CA8804 PO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0 PO 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4 PO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5 PO IT"/>
    <s v="G000001130"/>
    <m/>
    <s v="Non-LFF"/>
    <s v=""/>
    <m/>
    <b v="0"/>
    <x v="0"/>
    <x v="3"/>
    <d v="2025-08-14T00:00:00"/>
    <m/>
    <m/>
    <x v="0"/>
    <n v="0"/>
    <s v="Jojeff Tagnong"/>
    <m/>
  </r>
  <r>
    <x v="330"/>
    <x v="1"/>
    <x v="7"/>
    <s v="6101MS310A"/>
    <s v="L000013589"/>
    <m/>
    <s v="Non-LFF"/>
    <s v=""/>
    <m/>
    <b v="0"/>
    <x v="2"/>
    <x v="3"/>
    <d v="2025-08-14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 r="1">
      <x v="12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6" firstHeaderRow="1" firstDataRow="1" firstDataCol="1" rowPageCount="1" colPageCount="1"/>
  <pivotFields count="19">
    <pivotField axis="axisRow" showAll="0" sortType="ascending">
      <items count="1513">
        <item m="1" x="897"/>
        <item x="0"/>
        <item m="1" x="967"/>
        <item m="1" x="1388"/>
        <item m="1" x="550"/>
        <item m="1" x="1405"/>
        <item m="1" x="927"/>
        <item m="1" x="1017"/>
        <item m="1" x="1438"/>
        <item m="1" x="1232"/>
        <item m="1" x="920"/>
        <item m="1" x="1504"/>
        <item m="1" x="1250"/>
        <item m="1" x="1494"/>
        <item m="1" x="868"/>
        <item m="1" x="769"/>
        <item m="1" x="473"/>
        <item m="1" x="734"/>
        <item m="1" x="1458"/>
        <item m="1" x="526"/>
        <item m="1" x="834"/>
        <item m="1" x="1202"/>
        <item m="1" x="917"/>
        <item m="1" x="1010"/>
        <item m="1" x="1306"/>
        <item m="1" x="1491"/>
        <item m="1" x="952"/>
        <item m="1" x="974"/>
        <item m="1" x="739"/>
        <item m="1" x="1140"/>
        <item m="1" x="899"/>
        <item m="1" x="1445"/>
        <item m="1" x="1102"/>
        <item m="1" x="535"/>
        <item m="1" x="643"/>
        <item m="1" x="1430"/>
        <item m="1" x="1194"/>
        <item m="1" x="448"/>
        <item m="1" x="1280"/>
        <item m="1" x="946"/>
        <item m="1" x="1241"/>
        <item m="1" x="827"/>
        <item m="1" x="1179"/>
        <item m="1" x="438"/>
        <item m="1" x="468"/>
        <item m="1" x="1507"/>
        <item m="1" x="1186"/>
        <item m="1" x="1254"/>
        <item m="1" x="1361"/>
        <item m="1" x="1130"/>
        <item m="1" x="1228"/>
        <item m="1" x="1067"/>
        <item m="1" x="522"/>
        <item m="1" x="713"/>
        <item m="1" x="1489"/>
        <item m="1" x="1057"/>
        <item m="1" x="1197"/>
        <item m="1" x="725"/>
        <item m="1" x="686"/>
        <item m="1" x="978"/>
        <item m="1" x="870"/>
        <item m="1" x="903"/>
        <item m="1" x="462"/>
        <item m="1" x="601"/>
        <item m="1" x="1263"/>
        <item m="1" x="1480"/>
        <item m="1" x="666"/>
        <item m="1" x="1071"/>
        <item m="1" x="1081"/>
        <item m="1" x="1258"/>
        <item m="1" x="1368"/>
        <item m="1" x="1246"/>
        <item m="1" x="541"/>
        <item m="1" x="1389"/>
        <item m="1" x="1119"/>
        <item m="1" x="1106"/>
        <item m="1" x="641"/>
        <item m="1" x="994"/>
        <item m="1" x="1341"/>
        <item m="1" x="459"/>
        <item m="1" x="1038"/>
        <item m="1" x="1391"/>
        <item m="1" x="1229"/>
        <item m="1" x="964"/>
        <item m="1" x="1006"/>
        <item m="1" x="887"/>
        <item m="1" x="1122"/>
        <item m="1" x="934"/>
        <item m="1" x="1166"/>
        <item m="1" x="650"/>
        <item m="1" x="1479"/>
        <item m="1" x="1004"/>
        <item m="1" x="1290"/>
        <item m="1" x="367"/>
        <item m="1" x="1495"/>
        <item m="1" x="1031"/>
        <item m="1" x="1320"/>
        <item m="1" x="1233"/>
        <item m="1" x="1011"/>
        <item m="1" x="521"/>
        <item m="1" x="528"/>
        <item m="1" x="568"/>
        <item m="1" x="750"/>
        <item m="1" x="1174"/>
        <item m="1" x="935"/>
        <item m="1" x="1051"/>
        <item m="1" x="1114"/>
        <item m="1" x="1261"/>
        <item m="1" x="1344"/>
        <item m="1" x="906"/>
        <item m="1" x="627"/>
        <item m="1" x="470"/>
        <item m="1" x="613"/>
        <item m="1" x="1488"/>
        <item m="1" x="645"/>
        <item m="1" x="1326"/>
        <item m="1" x="1255"/>
        <item m="1" x="873"/>
        <item m="1" x="945"/>
        <item m="1" x="811"/>
        <item m="1" x="1068"/>
        <item m="1" x="1443"/>
        <item m="1" x="619"/>
        <item m="1" x="567"/>
        <item m="1" x="502"/>
        <item m="1" x="1168"/>
        <item m="1" x="1428"/>
        <item m="1" x="1356"/>
        <item m="1" x="1013"/>
        <item m="1" x="537"/>
        <item m="1" x="1262"/>
        <item m="1" x="714"/>
        <item m="1" x="968"/>
        <item m="1" x="1143"/>
        <item m="1" x="1251"/>
        <item m="1" x="371"/>
        <item m="1" x="1200"/>
        <item m="1" x="1163"/>
        <item m="1" x="604"/>
        <item m="1" x="1052"/>
        <item m="1" x="940"/>
        <item m="1" x="893"/>
        <item m="1" x="626"/>
        <item m="1" x="562"/>
        <item m="1" x="802"/>
        <item m="1" x="989"/>
        <item m="1" x="396"/>
        <item m="1" x="735"/>
        <item m="1" x="594"/>
        <item m="1" x="336"/>
        <item m="1" x="846"/>
        <item m="1" x="1047"/>
        <item m="1" x="929"/>
        <item m="1" x="975"/>
        <item m="1" x="1294"/>
        <item m="1" x="876"/>
        <item m="1" x="1402"/>
        <item m="1" x="1126"/>
        <item m="1" x="1065"/>
        <item m="1" x="579"/>
        <item m="1" x="1212"/>
        <item m="1" x="1490"/>
        <item m="1" x="1178"/>
        <item m="1" x="1162"/>
        <item m="1" x="449"/>
        <item m="1" x="497"/>
        <item m="1" x="1032"/>
        <item m="1" x="538"/>
        <item m="1" x="1475"/>
        <item m="1" x="1141"/>
        <item m="1" x="1066"/>
        <item m="1" x="1018"/>
        <item m="1" x="819"/>
        <item m="1" x="447"/>
        <item m="1" x="547"/>
        <item m="1" x="653"/>
        <item m="1" x="1386"/>
        <item m="1" x="1418"/>
        <item m="1" x="1117"/>
        <item m="1" x="844"/>
        <item m="1" x="932"/>
        <item m="1" x="442"/>
        <item m="1" x="482"/>
        <item m="1" x="821"/>
        <item m="1" x="1046"/>
        <item m="1" x="959"/>
        <item m="1" x="617"/>
        <item m="1" x="850"/>
        <item m="1" x="564"/>
        <item m="1" x="759"/>
        <item m="1" x="681"/>
        <item m="1" x="516"/>
        <item m="1" x="652"/>
        <item m="1" x="1022"/>
        <item m="1" x="432"/>
        <item m="1" x="671"/>
        <item m="1" x="463"/>
        <item m="1" x="1156"/>
        <item m="1" x="1345"/>
        <item m="1" x="955"/>
        <item m="1" x="599"/>
        <item m="1" x="1249"/>
        <item m="1" x="1094"/>
        <item m="1" x="611"/>
        <item m="1" x="612"/>
        <item m="1" x="797"/>
        <item m="1" x="487"/>
        <item m="1" x="676"/>
        <item m="1" x="471"/>
        <item m="1" x="657"/>
        <item m="1" x="1225"/>
        <item m="1" x="736"/>
        <item m="1" x="1103"/>
        <item m="1" x="1153"/>
        <item m="1" x="1287"/>
        <item m="1" x="1291"/>
        <item m="1" x="1008"/>
        <item m="1" x="849"/>
        <item m="1" x="888"/>
        <item m="1" x="1455"/>
        <item m="1" x="748"/>
        <item m="1" x="560"/>
        <item m="1" x="938"/>
        <item m="1" x="395"/>
        <item m="1" x="1459"/>
        <item m="1" x="922"/>
        <item m="1" x="356"/>
        <item m="1" x="1377"/>
        <item m="1" x="1420"/>
        <item m="1" x="1257"/>
        <item m="1" x="634"/>
        <item m="1" x="373"/>
        <item m="1" x="1307"/>
        <item m="1" x="698"/>
        <item m="1" x="334"/>
        <item m="1" x="1478"/>
        <item m="1" x="722"/>
        <item m="1" x="877"/>
        <item m="1" x="1322"/>
        <item m="1" x="409"/>
        <item m="1" x="1234"/>
        <item m="1" x="1042"/>
        <item m="1" x="907"/>
        <item m="1" x="777"/>
        <item m="1" x="524"/>
        <item m="1" x="1025"/>
        <item m="1" x="727"/>
        <item m="1" x="1265"/>
        <item m="1" x="587"/>
        <item m="1" x="1335"/>
        <item m="1" x="1342"/>
        <item m="1" x="1026"/>
        <item m="1" x="1216"/>
        <item m="1" x="633"/>
        <item m="1" x="930"/>
        <item m="1" x="1219"/>
        <item m="1" x="803"/>
        <item m="1" x="1093"/>
        <item m="1" x="732"/>
        <item m="1" x="517"/>
        <item m="1" x="721"/>
        <item m="1" x="1487"/>
        <item m="1" x="1429"/>
        <item m="1" x="574"/>
        <item m="1" x="1375"/>
        <item m="1" x="381"/>
        <item m="1" x="1397"/>
        <item m="1" x="416"/>
        <item m="1" x="718"/>
        <item m="1" x="816"/>
        <item m="1" x="763"/>
        <item m="1" x="1370"/>
        <item m="1" x="1273"/>
        <item m="1" x="514"/>
        <item m="1" x="1084"/>
        <item m="1" x="1292"/>
        <item m="1" x="1426"/>
        <item m="1" x="1333"/>
        <item m="1" x="419"/>
        <item m="1" x="1499"/>
        <item m="1" x="570"/>
        <item m="1" x="851"/>
        <item m="1" x="1295"/>
        <item m="1" x="418"/>
        <item m="1" x="1354"/>
        <item m="1" x="583"/>
        <item m="1" x="1227"/>
        <item m="1" x="1091"/>
        <item m="1" x="1069"/>
        <item m="1" x="648"/>
        <item m="1" x="610"/>
        <item m="1" x="1422"/>
        <item m="1" x="363"/>
        <item m="1" x="545"/>
        <item m="1" x="1204"/>
        <item m="1" x="1315"/>
        <item m="1" x="1242"/>
        <item m="1" x="1446"/>
        <item m="1" x="950"/>
        <item m="1" x="577"/>
        <item m="1" x="697"/>
        <item m="1" x="1016"/>
        <item m="1" x="758"/>
        <item m="1" x="1086"/>
        <item m="1" x="699"/>
        <item m="1" x="501"/>
        <item m="1" x="1154"/>
        <item m="1" x="556"/>
        <item m="1" x="436"/>
        <item m="1" x="1288"/>
        <item m="1" x="1435"/>
        <item m="1" x="1136"/>
        <item m="1" x="401"/>
        <item m="1" x="1327"/>
        <item m="1" x="1125"/>
        <item m="1" x="1235"/>
        <item m="1" x="1374"/>
        <item m="1" x="602"/>
        <item m="1" x="794"/>
        <item m="1" x="632"/>
        <item m="1" x="900"/>
        <item m="1" x="824"/>
        <item m="1" x="854"/>
        <item m="1" x="1390"/>
        <item m="1" x="836"/>
        <item m="1" x="1039"/>
        <item m="1" x="571"/>
        <item m="1" x="770"/>
        <item m="1" x="744"/>
        <item m="1" x="1087"/>
        <item m="1" x="990"/>
        <item m="1" x="1218"/>
        <item m="1" x="740"/>
        <item m="1" x="1376"/>
        <item m="1" x="578"/>
        <item m="1" x="504"/>
        <item m="1" x="760"/>
        <item m="1" x="1301"/>
        <item m="1" x="411"/>
        <item m="1" x="412"/>
        <item m="1" x="708"/>
        <item m="1" x="1381"/>
        <item m="1" x="775"/>
        <item m="1" x="420"/>
        <item m="1" x="580"/>
        <item m="1" x="822"/>
        <item m="1" x="1133"/>
        <item m="1" x="1105"/>
        <item m="1" x="776"/>
        <item m="1" x="357"/>
        <item m="1" x="495"/>
        <item m="1" x="707"/>
        <item m="1" x="595"/>
        <item m="1" x="352"/>
        <item m="1" x="1305"/>
        <item m="1" x="1434"/>
        <item m="1" x="904"/>
        <item m="1" x="1334"/>
        <item m="1" x="1394"/>
        <item m="1" x="417"/>
        <item m="1" x="1432"/>
        <item m="1" x="1170"/>
        <item m="1" x="593"/>
        <item m="1" x="779"/>
        <item m="1" x="683"/>
        <item m="1" x="1045"/>
        <item m="1" x="616"/>
        <item m="1" x="832"/>
        <item m="1" x="1127"/>
        <item m="1" x="1252"/>
        <item m="1" x="755"/>
        <item m="1" x="883"/>
        <item m="1" x="695"/>
        <item m="1" x="621"/>
        <item m="1" x="1132"/>
        <item m="1" x="1247"/>
        <item m="1" x="1409"/>
        <item m="1" x="451"/>
        <item m="1" x="655"/>
        <item m="1" x="1095"/>
        <item m="1" x="496"/>
        <item m="1" x="783"/>
        <item m="1" x="1164"/>
        <item m="1" x="429"/>
        <item m="1" x="639"/>
        <item m="1" x="749"/>
        <item m="1" x="1355"/>
        <item m="1" x="588"/>
        <item m="1" x="858"/>
        <item m="1" x="1411"/>
        <item m="1" x="539"/>
        <item m="1" x="728"/>
        <item m="1" x="916"/>
        <item m="1" x="1253"/>
        <item m="1" x="551"/>
        <item m="1" x="807"/>
        <item m="1" x="649"/>
        <item m="1" x="1145"/>
        <item m="1" x="1331"/>
        <item m="1" x="457"/>
        <item m="1" x="677"/>
        <item m="1" x="1413"/>
        <item m="1" x="1378"/>
        <item m="1" x="478"/>
        <item m="1" x="795"/>
        <item m="1" x="1319"/>
        <item m="1" x="1450"/>
        <item m="1" x="1321"/>
        <item m="1" x="1296"/>
        <item m="1" x="427"/>
        <item m="1" x="603"/>
        <item m="1" x="685"/>
        <item m="1" x="674"/>
        <item m="1" x="901"/>
        <item m="1" x="389"/>
        <item m="1" x="1088"/>
        <item m="1" x="1159"/>
        <item m="1" x="341"/>
        <item m="1" x="1419"/>
        <item m="1" x="1281"/>
        <item m="1" x="1410"/>
        <item m="1" x="1440"/>
        <item m="1" x="1476"/>
        <item m="1" x="1414"/>
        <item m="1" x="778"/>
        <item m="1" x="1138"/>
        <item m="1" x="745"/>
        <item m="1" x="1151"/>
        <item m="1" x="1116"/>
        <item m="1" x="554"/>
        <item m="1" x="592"/>
        <item m="1" x="730"/>
        <item m="1" x="1195"/>
        <item m="1" x="715"/>
        <item m="1" x="461"/>
        <item m="1" x="1460"/>
        <item m="1" x="1210"/>
        <item m="1" x="1043"/>
        <item m="1" x="1075"/>
        <item m="1" x="1124"/>
        <item m="1" x="549"/>
        <item m="1" x="891"/>
        <item m="1" x="1236"/>
        <item m="1" x="387"/>
        <item m="1" x="630"/>
        <item m="1" x="530"/>
        <item m="1" x="527"/>
        <item m="1" x="531"/>
        <item m="1" x="332"/>
        <item m="1" x="553"/>
        <item m="1" x="1350"/>
        <item m="1" x="354"/>
        <item m="1" x="1000"/>
        <item m="1" x="1437"/>
        <item m="1" x="1248"/>
        <item m="1" x="508"/>
        <item m="1" x="1508"/>
        <item m="1" x="437"/>
        <item m="1" x="804"/>
        <item m="1" x="1027"/>
        <item m="1" x="483"/>
        <item m="1" x="936"/>
        <item m="1" x="1096"/>
        <item m="1" x="1364"/>
        <item m="1" x="1266"/>
        <item m="1" x="345"/>
        <item m="1" x="1028"/>
        <item m="1" x="428"/>
        <item m="1" x="664"/>
        <item m="1" x="636"/>
        <item m="1" x="398"/>
        <item m="1" x="991"/>
        <item m="1" x="998"/>
        <item m="1" x="1098"/>
        <item m="1" x="847"/>
        <item m="1" x="1347"/>
        <item m="1" x="756"/>
        <item m="1" x="1466"/>
        <item m="1" x="1101"/>
        <item m="1" x="992"/>
        <item m="1" x="656"/>
        <item m="1" x="1064"/>
        <item m="1" x="1362"/>
        <item m="1" x="1427"/>
        <item m="1" x="1406"/>
        <item m="1" x="1336"/>
        <item m="1" x="1085"/>
        <item m="1" x="1198"/>
        <item m="1" x="711"/>
        <item m="1" x="1160"/>
        <item m="1" x="985"/>
        <item m="1" x="944"/>
        <item m="1" x="942"/>
        <item m="1" x="943"/>
        <item m="1" x="640"/>
        <item m="1" x="684"/>
        <item m="1" x="1297"/>
        <item m="1" x="862"/>
        <item m="1" x="704"/>
        <item m="1" x="746"/>
        <item m="1" x="792"/>
        <item m="1" x="1044"/>
        <item m="1" x="1382"/>
        <item m="1" x="1471"/>
        <item m="1" x="589"/>
        <item m="1" x="540"/>
        <item m="1" x="377"/>
        <item m="1" x="399"/>
        <item m="1" x="696"/>
        <item m="1" x="484"/>
        <item m="1" x="812"/>
        <item m="1" x="1348"/>
        <item m="1" x="689"/>
        <item m="1" x="481"/>
        <item m="1" x="1240"/>
        <item m="1" x="358"/>
        <item m="1" x="1366"/>
        <item m="1" x="1441"/>
        <item m="1" x="1505"/>
        <item m="1" x="1380"/>
        <item m="1" x="623"/>
        <item m="1" x="400"/>
        <item m="1" x="864"/>
        <item m="1" x="948"/>
        <item m="1" x="1144"/>
        <item m="1" x="1112"/>
        <item m="1" x="1148"/>
        <item m="1" x="925"/>
        <item m="1" x="963"/>
        <item m="1" x="1404"/>
        <item m="1" x="1167"/>
        <item m="1" x="1137"/>
        <item m="1" x="1076"/>
        <item m="1" x="1149"/>
        <item m="1" x="350"/>
        <item m="1" x="355"/>
        <item m="1" x="958"/>
        <item m="1" x="1343"/>
        <item m="1" x="913"/>
        <item m="1" x="1483"/>
        <item m="1" x="882"/>
        <item m="1" x="1058"/>
        <item m="1" x="1129"/>
        <item m="1" x="743"/>
        <item m="1" x="575"/>
        <item m="1" x="951"/>
        <item m="1" x="637"/>
        <item m="1" x="1492"/>
        <item m="1" x="1407"/>
        <item m="1" x="1220"/>
        <item m="1" x="477"/>
        <item m="1" x="404"/>
        <item m="1" x="977"/>
        <item m="1" x="1221"/>
        <item m="1" x="1510"/>
        <item m="1" x="856"/>
        <item m="1" x="1457"/>
        <item m="1" x="391"/>
        <item m="1" x="505"/>
        <item m="1" x="817"/>
        <item m="1" x="908"/>
        <item m="1" x="1337"/>
        <item m="1" x="661"/>
        <item m="1" x="1340"/>
        <item m="1" x="757"/>
        <item m="1" x="1329"/>
        <item m="1" x="1493"/>
        <item m="1" x="421"/>
        <item m="1" x="1477"/>
        <item m="1" x="368"/>
        <item m="1" x="1230"/>
        <item m="1" x="848"/>
        <item m="1" x="679"/>
        <item m="1" x="642"/>
        <item m="1" x="786"/>
        <item m="1" x="385"/>
        <item m="1" x="1470"/>
        <item m="1" x="469"/>
        <item m="1" x="490"/>
        <item m="1" x="1363"/>
        <item m="1" x="1442"/>
        <item m="1" x="956"/>
        <item m="1" x="1097"/>
        <item m="1" x="798"/>
        <item m="1" x="911"/>
        <item m="1" x="1060"/>
        <item m="1" x="1177"/>
        <item m="1" x="764"/>
        <item m="1" x="1040"/>
        <item m="1" x="859"/>
        <item m="1" x="1496"/>
        <item m="1" x="349"/>
        <item m="1" x="788"/>
        <item m="1" x="729"/>
        <item m="1" x="690"/>
        <item m="1" x="1484"/>
        <item m="1" x="1302"/>
        <item m="1" x="1433"/>
        <item m="1" x="446"/>
        <item m="1" x="1444"/>
        <item m="1" x="1431"/>
        <item m="1" x="1308"/>
        <item m="1" x="543"/>
        <item m="1" x="912"/>
        <item m="1" x="1005"/>
        <item m="1" x="751"/>
        <item m="1" x="1349"/>
        <item m="1" x="1135"/>
        <item m="1" x="1155"/>
        <item m="1" x="1049"/>
        <item m="1" x="392"/>
        <item m="1" x="1222"/>
        <item m="1" x="1384"/>
        <item m="1" x="789"/>
        <item m="1" x="1503"/>
        <item m="1" x="997"/>
        <item m="1" x="584"/>
        <item m="1" x="717"/>
        <item m="1" x="753"/>
        <item m="1" x="1412"/>
        <item m="1" x="1396"/>
        <item m="1" x="456"/>
        <item m="1" x="458"/>
        <item m="1" x="372"/>
        <item m="1" x="1332"/>
        <item m="1" x="374"/>
        <item m="1" x="791"/>
        <item m="1" x="691"/>
        <item m="1" x="1147"/>
        <item m="1" x="1090"/>
        <item m="1" x="1439"/>
        <item m="1" x="1371"/>
        <item m="1" x="863"/>
        <item m="1" x="1077"/>
        <item m="1" x="1312"/>
        <item m="1" x="425"/>
        <item m="1" x="857"/>
        <item m="1" x="787"/>
        <item m="1" x="1481"/>
        <item m="1" x="1448"/>
        <item m="1" x="879"/>
        <item m="1" x="485"/>
        <item m="1" x="780"/>
        <item m="1" x="953"/>
        <item m="1" x="407"/>
        <item m="1" x="1243"/>
        <item m="1" x="837"/>
        <item m="1" x="647"/>
        <item m="1" x="741"/>
        <item m="1" x="1187"/>
        <item m="1" x="1486"/>
        <item m="1" x="565"/>
        <item m="1" x="1338"/>
        <item m="1" x="559"/>
        <item m="1" x="1123"/>
        <item m="1" x="895"/>
        <item m="1" x="826"/>
        <item m="1" x="548"/>
        <item m="1" x="615"/>
        <item m="1" x="403"/>
        <item m="1" x="1203"/>
        <item m="1" x="716"/>
        <item m="1" x="440"/>
        <item m="1" x="1054"/>
        <item m="1" x="1369"/>
        <item m="1" x="909"/>
        <item m="1" x="867"/>
        <item m="1" x="338"/>
        <item m="1" x="1474"/>
        <item m="1" x="724"/>
        <item m="1" x="784"/>
        <item m="1" x="1191"/>
        <item m="1" x="1468"/>
        <item m="1" x="1393"/>
        <item m="1" x="1244"/>
        <item m="1" x="1359"/>
        <item m="1" x="520"/>
        <item m="1" x="719"/>
        <item m="1" x="552"/>
        <item m="1" x="344"/>
        <item m="1" x="957"/>
        <item m="1" x="406"/>
        <item m="1" x="628"/>
        <item m="1" x="572"/>
        <item m="1" x="518"/>
        <item m="1" x="1473"/>
        <item m="1" x="569"/>
        <item m="1" x="1171"/>
        <item m="1" x="1383"/>
        <item m="1" x="509"/>
        <item m="1" x="413"/>
        <item m="1" x="1206"/>
        <item m="1" x="1182"/>
        <item m="1" x="1223"/>
        <item m="1" x="1142"/>
        <item m="1" x="486"/>
        <item m="1" x="842"/>
        <item m="1" x="1110"/>
        <item m="1" x="1360"/>
        <item m="1" x="954"/>
        <item m="1" x="1072"/>
        <item m="1" x="1416"/>
        <item m="1" x="828"/>
        <item m="1" x="672"/>
        <item m="1" x="905"/>
        <item m="1" x="852"/>
        <item m="1" x="782"/>
        <item m="1" x="1299"/>
        <item m="1" x="986"/>
        <item m="1" x="1082"/>
        <item m="1" x="333"/>
        <item m="1" x="878"/>
        <item m="1" x="480"/>
        <item m="1" x="747"/>
        <item m="1" x="885"/>
        <item m="1" x="415"/>
        <item m="1" x="532"/>
        <item m="1" x="987"/>
        <item m="1" x="1184"/>
        <item m="1" x="1454"/>
        <item m="1" x="1497"/>
        <item m="1" x="1107"/>
        <item m="1" x="455"/>
        <item m="1" x="383"/>
        <item m="1" x="969"/>
        <item m="1" x="591"/>
        <item m="1" x="865"/>
        <item m="1" x="493"/>
        <item m="1" x="596"/>
        <item m="1" x="1023"/>
        <item m="1" x="1379"/>
        <item m="1" x="1310"/>
        <item m="1" x="726"/>
        <item m="1" x="761"/>
        <item m="1" x="1037"/>
        <item m="1" x="1467"/>
        <item m="1" x="1193"/>
        <item m="1" x="359"/>
        <item m="1" x="1421"/>
        <item m="1" x="467"/>
        <item m="1" x="1113"/>
        <item m="1" x="1158"/>
        <item m="1" x="1161"/>
        <item m="1" x="1501"/>
        <item m="1" x="394"/>
        <item m="1" x="1172"/>
        <item m="1" x="1269"/>
        <item m="1" x="1041"/>
        <item m="1" x="1211"/>
        <item m="1" x="453"/>
        <item m="1" x="845"/>
        <item m="1" x="692"/>
        <item m="1" x="1304"/>
        <item m="1" x="1399"/>
        <item m="1" x="928"/>
        <item m="1" x="1367"/>
        <item m="1" x="1415"/>
        <item m="1" x="768"/>
        <item m="1" x="1271"/>
        <item m="1" x="1134"/>
        <item m="1" x="1417"/>
        <item m="1" x="1461"/>
        <item m="1" x="1199"/>
        <item m="1" x="809"/>
        <item m="1" x="614"/>
        <item m="1" x="1449"/>
        <item m="1" x="996"/>
        <item m="1" x="970"/>
        <item m="1" x="979"/>
        <item m="1" x="1500"/>
        <item m="1" x="1224"/>
        <item m="1" x="919"/>
        <item m="1" x="1188"/>
        <item m="1" x="1165"/>
        <item m="1" x="781"/>
        <item m="1" x="682"/>
        <item m="1" x="1181"/>
        <item m="1" x="576"/>
        <item m="1" x="533"/>
        <item m="1" x="475"/>
        <item m="1" x="1462"/>
        <item m="1" x="1078"/>
        <item m="1" x="813"/>
        <item m="1" x="894"/>
        <item m="1" x="375"/>
        <item m="1" x="1451"/>
        <item m="1" x="1002"/>
        <item m="1" x="1150"/>
        <item m="1" x="598"/>
        <item m="1" x="1282"/>
        <item m="1" x="785"/>
        <item m="1" x="678"/>
        <item m="1" x="1506"/>
        <item m="1" x="808"/>
        <item m="1" x="1447"/>
        <item m="1" x="1033"/>
        <item m="1" x="709"/>
        <item m="1" x="500"/>
        <item m="1" x="443"/>
        <item m="1" x="737"/>
        <item m="1" x="434"/>
        <item m="1" x="405"/>
        <item m="1" x="422"/>
        <item m="1" x="701"/>
        <item m="1" x="546"/>
        <item m="1" x="853"/>
        <item m="1" x="910"/>
        <item m="1" x="1009"/>
        <item m="1" x="880"/>
        <item m="1" x="1213"/>
        <item m="1" x="1277"/>
        <item m="1" x="489"/>
        <item m="1" x="499"/>
        <item m="1" x="688"/>
        <item m="1" x="830"/>
        <item m="1" x="620"/>
        <item m="1" x="1173"/>
        <item m="1" x="923"/>
        <item m="1" x="840"/>
        <item m="1" x="973"/>
        <item m="1" x="1279"/>
        <item m="1" x="1217"/>
        <item m="1" x="1303"/>
        <item m="1" x="1059"/>
        <item m="1" x="479"/>
        <item m="1" x="1485"/>
        <item m="1" x="898"/>
        <item m="1" x="513"/>
        <item m="1" x="337"/>
        <item m="1" x="1482"/>
        <item m="1" x="966"/>
        <item m="1" x="933"/>
        <item m="1" x="705"/>
        <item m="1" x="585"/>
        <item m="1" x="669"/>
        <item m="1" x="823"/>
        <item m="1" x="1398"/>
        <item m="1" x="1317"/>
        <item m="1" x="693"/>
        <item m="1" x="766"/>
        <item m="1" x="773"/>
        <item m="1" x="1311"/>
        <item m="1" x="914"/>
        <item m="1" x="386"/>
        <item m="1" x="947"/>
        <item m="1" x="1226"/>
        <item m="1" x="1352"/>
        <item m="1" x="1245"/>
        <item m="1" x="1053"/>
        <item m="1" x="1351"/>
        <item m="1" x="365"/>
        <item m="1" x="1268"/>
        <item m="1" x="347"/>
        <item m="1" x="687"/>
        <item m="1" x="351"/>
        <item m="1" x="510"/>
        <item m="1" x="600"/>
        <item m="1" x="606"/>
        <item m="1" x="1024"/>
        <item m="1" x="1278"/>
        <item m="1" x="805"/>
        <item m="1" x="376"/>
        <item m="1" x="582"/>
        <item m="1" x="370"/>
        <item m="1" x="1365"/>
        <item m="1" x="590"/>
        <item m="1" x="926"/>
        <item m="1" x="1385"/>
        <item m="1" x="712"/>
        <item m="1" x="654"/>
        <item m="1" x="1050"/>
        <item m="1" x="607"/>
        <item m="1" x="915"/>
        <item m="1" x="1209"/>
        <item m="1" x="348"/>
        <item m="1" x="861"/>
        <item m="1" x="980"/>
        <item m="1" x="472"/>
        <item m="1" x="814"/>
        <item m="1" x="949"/>
        <item m="1" x="700"/>
        <item m="1" x="738"/>
        <item m="1" x="465"/>
        <item m="1" x="871"/>
        <item m="1" x="335"/>
        <item m="1" x="1007"/>
        <item m="1" x="1400"/>
        <item m="1" x="1121"/>
        <item m="1" x="1115"/>
        <item m="1" x="1014"/>
        <item m="1" x="340"/>
        <item m="1" x="1146"/>
        <item m="1" x="1189"/>
        <item m="1" x="995"/>
        <item m="1" x="339"/>
        <item m="1" x="1346"/>
        <item m="1" x="1313"/>
        <item m="1" x="343"/>
        <item m="1" x="622"/>
        <item m="1" x="1012"/>
        <item m="1" x="1267"/>
        <item m="1" x="464"/>
        <item m="1" x="360"/>
        <item m="1" x="519"/>
        <item m="1" x="410"/>
        <item m="1" x="818"/>
        <item m="1" x="631"/>
        <item m="1" x="629"/>
        <item m="1" x="800"/>
        <item m="1" x="902"/>
        <item m="1" x="806"/>
        <item m="1" x="1003"/>
        <item m="1" x="855"/>
        <item m="1" x="720"/>
        <item m="1" x="835"/>
        <item m="1" x="1328"/>
        <item m="1" x="1423"/>
        <item m="1" x="680"/>
        <item m="1" x="1403"/>
        <item m="1" x="445"/>
        <item m="1" x="1392"/>
        <item m="1" x="1089"/>
        <item m="1" x="1260"/>
        <item m="1" x="1339"/>
        <item m="1" x="1019"/>
        <item m="1" x="1231"/>
        <item m="1" x="523"/>
        <item m="1" x="506"/>
        <item m="1" x="1128"/>
        <item m="1" x="1100"/>
        <item m="1" x="662"/>
        <item m="1" x="1498"/>
        <item m="1" x="1070"/>
        <item m="1" x="810"/>
        <item m="1" x="884"/>
        <item m="1" x="843"/>
        <item m="1" x="1353"/>
        <item m="1" x="1357"/>
        <item m="1" x="353"/>
        <item m="1" x="1237"/>
        <item m="1" x="1283"/>
        <item m="1" x="402"/>
        <item m="1" x="774"/>
        <item m="1" x="765"/>
        <item m="1" x="1272"/>
        <item m="1" x="971"/>
        <item m="1" x="1175"/>
        <item m="1" x="841"/>
        <item m="1" x="1192"/>
        <item m="1" x="380"/>
        <item m="1" x="503"/>
        <item m="1" x="1472"/>
        <item m="1" x="1092"/>
        <item m="1" x="1464"/>
        <item m="1" x="384"/>
        <item m="1" x="644"/>
        <item m="1" x="460"/>
        <item m="1" x="393"/>
        <item m="1" x="408"/>
        <item m="1" x="960"/>
        <item m="1" x="993"/>
        <item m="1" x="665"/>
        <item m="1" x="1083"/>
        <item m="1" x="1401"/>
        <item m="1" x="752"/>
        <item m="1" x="831"/>
        <item m="1" x="981"/>
        <item m="1" x="1469"/>
        <item m="1" x="646"/>
        <item m="1" x="658"/>
        <item m="1" x="668"/>
        <item m="1" x="1289"/>
        <item m="1" x="1425"/>
        <item m="1" x="342"/>
        <item m="1" x="1169"/>
        <item m="1" x="1465"/>
        <item m="1" x="566"/>
        <item m="1" x="881"/>
        <item m="1" x="1502"/>
        <item m="1" x="1408"/>
        <item m="1" x="555"/>
        <item m="1" x="667"/>
        <item m="1" x="754"/>
        <item m="1" x="1079"/>
        <item m="1" x="1276"/>
        <item m="1" x="511"/>
        <item m="1" x="982"/>
        <item m="1" x="507"/>
        <item m="1" x="476"/>
        <item m="1" x="424"/>
        <item m="1" x="1395"/>
        <item m="1" x="988"/>
        <item m="1" x="1436"/>
        <item m="1" x="829"/>
        <item m="1" x="1453"/>
        <item m="1" x="1205"/>
        <item m="1" x="494"/>
        <item m="1" x="1309"/>
        <item m="1" x="1323"/>
        <item m="1" x="983"/>
        <item m="1" x="1358"/>
        <item m="1" x="1196"/>
        <item m="1" x="1061"/>
        <item m="1" x="378"/>
        <item m="1" x="1207"/>
        <item m="1" x="939"/>
        <item m="1" x="872"/>
        <item m="1" x="1215"/>
        <item m="1" x="799"/>
        <item m="1" x="433"/>
        <item m="1" x="605"/>
        <item m="1" x="382"/>
        <item m="1" x="731"/>
        <item m="1" x="1109"/>
        <item m="1" x="694"/>
        <item m="1" x="557"/>
        <item m="1" x="772"/>
        <item m="1" x="450"/>
        <item m="1" x="702"/>
        <item m="1" x="573"/>
        <item m="1" x="924"/>
        <item m="1" x="1511"/>
        <item m="1" x="965"/>
        <item m="1" x="561"/>
        <item m="1" x="838"/>
        <item m="1" x="544"/>
        <item m="1" x="597"/>
        <item m="1" x="889"/>
        <item m="1" x="1157"/>
        <item m="1" x="874"/>
        <item m="1" x="1324"/>
        <item m="1" x="886"/>
        <item m="1" x="1120"/>
        <item m="1" x="435"/>
        <item m="1" x="918"/>
        <item m="1" x="558"/>
        <item m="1" x="488"/>
        <item m="1" x="1214"/>
        <item m="1" x="529"/>
        <item m="1" x="1238"/>
        <item m="1" x="430"/>
        <item m="1" x="1055"/>
        <item m="1" x="1062"/>
        <item m="1" x="466"/>
        <item m="1" x="984"/>
        <item m="1" x="362"/>
        <item m="1" x="1185"/>
        <item m="1" x="890"/>
        <item m="1" x="1111"/>
        <item m="1" x="1080"/>
        <item m="1" x="1300"/>
        <item m="1" x="1073"/>
        <item m="1" x="651"/>
        <item m="1" x="1152"/>
        <item m="1" x="1286"/>
        <item m="1" x="976"/>
        <item m="1" x="1108"/>
        <item m="1" x="441"/>
        <item m="1" x="1274"/>
        <item m="1" x="931"/>
        <item m="1" x="796"/>
        <item m="1" x="1180"/>
        <item m="1" x="706"/>
        <item m="1" x="1029"/>
        <item m="1" x="563"/>
        <item m="1" x="659"/>
        <item m="1" x="1056"/>
        <item m="1" x="825"/>
        <item m="1" x="369"/>
        <item m="1" x="703"/>
        <item m="1" x="1183"/>
        <item m="1" x="1285"/>
        <item m="1" x="388"/>
        <item m="1" x="673"/>
        <item m="1" x="608"/>
        <item m="1" x="941"/>
        <item m="1" x="1034"/>
        <item m="1" x="474"/>
        <item m="1" x="1456"/>
        <item m="1" x="439"/>
        <item m="1" x="512"/>
        <item m="1" x="1293"/>
        <item m="1" x="801"/>
        <item m="1" x="815"/>
        <item m="1" x="869"/>
        <item m="1" x="444"/>
        <item m="1" x="723"/>
        <item m="1" x="1118"/>
        <item m="1" x="1030"/>
        <item m="1" x="820"/>
        <item m="1" x="767"/>
        <item m="1" x="397"/>
        <item m="1" x="635"/>
        <item m="1" x="1099"/>
        <item m="1" x="733"/>
        <item m="1" x="896"/>
        <item m="1" x="833"/>
        <item m="1" x="1015"/>
        <item m="1" x="379"/>
        <item m="1" x="860"/>
        <item m="1" x="534"/>
        <item m="1" x="937"/>
        <item m="1" x="1063"/>
        <item m="1" x="1139"/>
        <item m="1" x="1074"/>
        <item m="1" x="1035"/>
        <item m="1" x="961"/>
        <item m="1" x="1372"/>
        <item m="1" x="1264"/>
        <item m="1" x="515"/>
        <item m="1" x="1256"/>
        <item m="1" x="710"/>
        <item m="1" x="1020"/>
        <item m="1" x="426"/>
        <item m="1" x="999"/>
        <item m="1" x="866"/>
        <item m="1" x="1298"/>
        <item m="1" x="452"/>
        <item m="1" x="1509"/>
        <item m="1" x="491"/>
        <item m="1" x="431"/>
        <item m="1" x="1001"/>
        <item m="1" x="1201"/>
        <item m="1" x="1104"/>
        <item m="1" x="390"/>
        <item m="1" x="542"/>
        <item m="1" x="1330"/>
        <item m="1" x="1270"/>
        <item m="1" x="525"/>
        <item m="1" x="498"/>
        <item m="1" x="793"/>
        <item m="1" x="414"/>
        <item m="1" x="1021"/>
        <item m="1" x="454"/>
        <item m="1" x="624"/>
        <item m="1" x="921"/>
        <item m="1" x="1452"/>
        <item m="1" x="492"/>
        <item m="1" x="762"/>
        <item m="1" x="609"/>
        <item m="1" x="771"/>
        <item m="1" x="1325"/>
        <item m="1" x="1208"/>
        <item m="1" x="670"/>
        <item m="1" x="423"/>
        <item m="1" x="1373"/>
        <item m="1" x="536"/>
        <item m="1" x="1318"/>
        <item m="1" x="875"/>
        <item m="1" x="1259"/>
        <item m="1" x="618"/>
        <item m="1" x="790"/>
        <item m="1" x="1275"/>
        <item m="1" x="1463"/>
        <item m="1" x="1239"/>
        <item m="1" x="638"/>
        <item m="1" x="581"/>
        <item m="1" x="1284"/>
        <item m="1" x="1048"/>
        <item m="1" x="892"/>
        <item m="1" x="1316"/>
        <item m="1" x="364"/>
        <item m="1" x="361"/>
        <item m="1" x="1036"/>
        <item m="1" x="1176"/>
        <item m="1" x="1131"/>
        <item m="1" x="1314"/>
        <item m="1" x="839"/>
        <item m="1" x="586"/>
        <item m="1" x="660"/>
        <item m="1" x="1190"/>
        <item m="1" x="742"/>
        <item m="1" x="972"/>
        <item m="1" x="1387"/>
        <item m="1" x="625"/>
        <item m="1" x="962"/>
        <item m="1" x="346"/>
        <item m="1" x="67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m="1" x="663"/>
        <item m="1" x="1424"/>
        <item m="1" x="366"/>
        <item m="1" x="33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2">
    <i>
      <x/>
    </i>
    <i r="1">
      <x v="1503"/>
    </i>
    <i r="2">
      <x v="3"/>
    </i>
    <i r="1">
      <x v="1504"/>
    </i>
    <i r="2">
      <x v="3"/>
    </i>
    <i r="1">
      <x v="1505"/>
    </i>
    <i r="2">
      <x v="3"/>
    </i>
    <i r="2">
      <x v="11"/>
    </i>
    <i r="1">
      <x v="1506"/>
    </i>
    <i r="2">
      <x v="8"/>
    </i>
    <i r="2">
      <x v="11"/>
    </i>
    <i r="1">
      <x v="1507"/>
    </i>
    <i r="2">
      <x v="12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50" totalsRowShown="0" totalsRowDxfId="24">
  <autoFilter ref="A1:C1250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601" totalsRowShown="0">
  <autoFilter ref="A1:S3601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LFF (MDG-F)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3" totalsRowShown="0">
  <autoFilter ref="A1:B133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A22" sqref="A22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28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1292</v>
      </c>
    </row>
    <row r="5" spans="1:2">
      <c r="A5" s="111" t="s">
        <v>369</v>
      </c>
      <c r="B5" s="129">
        <v>1158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>
        <v>57</v>
      </c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>
        <v>37</v>
      </c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875</v>
      </c>
    </row>
    <row r="15" spans="1:2">
      <c r="A15" s="111" t="s">
        <v>369</v>
      </c>
      <c r="B15" s="129">
        <v>852</v>
      </c>
    </row>
    <row r="16" spans="1:2">
      <c r="A16" s="111" t="s">
        <v>398</v>
      </c>
      <c r="B16" s="129">
        <v>13</v>
      </c>
    </row>
    <row r="17" spans="1:2">
      <c r="A17" s="111" t="s">
        <v>377</v>
      </c>
      <c r="B17" s="129">
        <v>9</v>
      </c>
    </row>
    <row r="18" spans="1:2">
      <c r="A18" s="111" t="s">
        <v>405</v>
      </c>
      <c r="B18" s="129">
        <v>1</v>
      </c>
    </row>
    <row r="19" spans="1:2">
      <c r="A19" s="17" t="s">
        <v>569</v>
      </c>
      <c r="B19" s="129">
        <v>1265</v>
      </c>
    </row>
    <row r="20" spans="1:2">
      <c r="A20" s="111" t="s">
        <v>369</v>
      </c>
      <c r="B20" s="129">
        <v>1250</v>
      </c>
    </row>
    <row r="21" spans="1:2">
      <c r="A21" s="111" t="s">
        <v>398</v>
      </c>
      <c r="B21" s="129">
        <v>8</v>
      </c>
    </row>
    <row r="22" spans="1:2">
      <c r="A22" s="111" t="s">
        <v>377</v>
      </c>
      <c r="B22" s="129">
        <v>7</v>
      </c>
    </row>
    <row r="23" spans="1:2">
      <c r="A23" s="17" t="s">
        <v>570</v>
      </c>
      <c r="B23" s="129">
        <v>140</v>
      </c>
    </row>
    <row r="24" spans="1:2">
      <c r="A24" s="111" t="s">
        <v>369</v>
      </c>
      <c r="B24" s="129">
        <v>138</v>
      </c>
    </row>
    <row r="25" spans="1:2">
      <c r="A25" s="111" t="s">
        <v>377</v>
      </c>
      <c r="B25" s="129">
        <v>2</v>
      </c>
    </row>
    <row r="26" spans="1:2">
      <c r="A26" s="17" t="s">
        <v>381</v>
      </c>
      <c r="B26" s="129">
        <v>3572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8" activeCellId="1" sqref="A6:B6 A8:B8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28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104</v>
      </c>
      <c r="C5"/>
      <c r="D5"/>
      <c r="E5"/>
    </row>
    <row r="6" spans="1:6">
      <c r="A6" s="111" t="s">
        <v>5556</v>
      </c>
      <c r="B6" s="129">
        <v>7</v>
      </c>
      <c r="C6" s="126"/>
      <c r="D6" s="124"/>
      <c r="E6" s="124"/>
    </row>
    <row r="7" spans="1:6">
      <c r="A7" s="112" t="s">
        <v>369</v>
      </c>
      <c r="B7" s="129">
        <v>7</v>
      </c>
      <c r="C7"/>
      <c r="D7"/>
      <c r="E7"/>
    </row>
    <row r="8" spans="1:6">
      <c r="A8" s="111" t="s">
        <v>5574</v>
      </c>
      <c r="B8" s="129">
        <v>1</v>
      </c>
      <c r="C8" s="56"/>
      <c r="D8" s="124"/>
      <c r="E8" s="124"/>
    </row>
    <row r="9" spans="1:6">
      <c r="A9" s="112" t="s">
        <v>369</v>
      </c>
      <c r="B9" s="129">
        <v>1</v>
      </c>
      <c r="C9"/>
      <c r="D9"/>
    </row>
    <row r="10" spans="1:6">
      <c r="A10" s="111" t="s">
        <v>5578</v>
      </c>
      <c r="B10" s="129">
        <v>2</v>
      </c>
      <c r="C10" s="53"/>
      <c r="D10" s="124"/>
      <c r="E10" s="124"/>
    </row>
    <row r="11" spans="1:6">
      <c r="A11" s="112" t="s">
        <v>369</v>
      </c>
      <c r="B11" s="129">
        <v>1</v>
      </c>
      <c r="C11"/>
      <c r="D11"/>
    </row>
    <row r="12" spans="1:6">
      <c r="A12" s="112" t="s">
        <v>375</v>
      </c>
      <c r="B12" s="129">
        <v>1</v>
      </c>
      <c r="C12" s="126"/>
      <c r="D12"/>
    </row>
    <row r="13" spans="1:6">
      <c r="A13" s="111" t="s">
        <v>5676</v>
      </c>
      <c r="B13" s="129">
        <v>93</v>
      </c>
      <c r="C13"/>
      <c r="D13"/>
    </row>
    <row r="14" spans="1:6">
      <c r="A14" s="112" t="s">
        <v>370</v>
      </c>
      <c r="B14" s="129">
        <v>57</v>
      </c>
      <c r="C14" s="126"/>
      <c r="D14"/>
    </row>
    <row r="15" spans="1:6">
      <c r="A15" s="112" t="s">
        <v>375</v>
      </c>
      <c r="B15" s="129">
        <v>36</v>
      </c>
      <c r="C15"/>
      <c r="D15" s="124"/>
      <c r="E15" s="124"/>
    </row>
    <row r="16" spans="1:6">
      <c r="A16" s="111" t="s">
        <v>5678</v>
      </c>
      <c r="B16" s="129">
        <v>1</v>
      </c>
      <c r="C16"/>
      <c r="D16"/>
    </row>
    <row r="17" spans="1:5">
      <c r="A17" s="112" t="s">
        <v>405</v>
      </c>
      <c r="B17" s="129">
        <v>1</v>
      </c>
      <c r="C17"/>
      <c r="D17" s="124"/>
      <c r="E17" s="124"/>
    </row>
    <row r="18" spans="1:5">
      <c r="A18" s="17" t="s">
        <v>4328</v>
      </c>
      <c r="B18" s="129">
        <v>189</v>
      </c>
      <c r="C18" s="126"/>
      <c r="D18"/>
    </row>
    <row r="19" spans="1:5">
      <c r="A19" s="111" t="s">
        <v>4414</v>
      </c>
      <c r="B19" s="129">
        <v>11</v>
      </c>
      <c r="C19" s="47"/>
      <c r="D19"/>
    </row>
    <row r="20" spans="1:5">
      <c r="A20" s="112" t="s">
        <v>369</v>
      </c>
      <c r="B20" s="129">
        <v>10</v>
      </c>
      <c r="C20" s="126"/>
    </row>
    <row r="21" spans="1:5" ht="17.25" customHeight="1">
      <c r="A21" s="112" t="s">
        <v>692</v>
      </c>
      <c r="B21" s="129">
        <v>1</v>
      </c>
    </row>
    <row r="22" spans="1:5">
      <c r="A22" s="111" t="s">
        <v>5480</v>
      </c>
      <c r="B22" s="129">
        <v>178</v>
      </c>
    </row>
    <row r="23" spans="1:5">
      <c r="A23" s="112" t="s">
        <v>369</v>
      </c>
      <c r="B23" s="129">
        <v>176</v>
      </c>
    </row>
    <row r="24" spans="1:5">
      <c r="A24" s="112" t="s">
        <v>404</v>
      </c>
      <c r="B24" s="129">
        <v>1</v>
      </c>
    </row>
    <row r="25" spans="1:5">
      <c r="A25" s="112" t="s">
        <v>692</v>
      </c>
      <c r="B25" s="129">
        <v>1</v>
      </c>
      <c r="D25" s="124"/>
      <c r="E25" s="124"/>
    </row>
    <row r="26" spans="1:5">
      <c r="A26" s="17" t="s">
        <v>381</v>
      </c>
      <c r="B26" s="129">
        <v>293</v>
      </c>
      <c r="C26" s="126"/>
    </row>
    <row r="31" spans="1:5">
      <c r="C31" s="30"/>
    </row>
    <row r="32" spans="1:5">
      <c r="B32" s="126"/>
      <c r="C32" s="30"/>
    </row>
    <row r="33" spans="2:3">
      <c r="B33" s="126"/>
      <c r="C33" s="30"/>
    </row>
    <row r="34" spans="2:3">
      <c r="B34" s="126"/>
      <c r="C34" s="30"/>
    </row>
    <row r="35" spans="2:3">
      <c r="B35" s="126"/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50"/>
  <sheetViews>
    <sheetView topLeftCell="A1235" workbookViewId="0">
      <selection activeCell="C1248" sqref="C1248:C1250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</sheetData>
  <conditionalFormatting sqref="A2:A545 A548:A568 A570:A1036 A1038:A1232 A12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601"/>
  <sheetViews>
    <sheetView tabSelected="1" topLeftCell="A3534" zoomScale="85" zoomScaleNormal="85" workbookViewId="0">
      <selection activeCell="F3593" sqref="F3593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170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145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145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145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145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145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145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145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145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145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145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145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141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138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138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138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138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138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138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138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138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138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138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138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138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138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138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138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138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138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138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138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138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138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138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138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138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138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138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138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138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138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138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138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138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138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138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138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137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137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137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137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137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137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137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137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137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137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137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137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137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137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137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137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137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137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137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137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137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137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137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137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137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137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137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137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137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137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137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137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137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137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137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137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137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137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137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137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137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137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137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137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137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137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137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137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137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137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137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137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137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137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137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137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137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137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137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136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136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136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136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136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135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133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133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132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129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129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129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129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129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129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129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129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129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129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129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129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129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129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128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128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128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128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128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123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123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123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118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118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118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118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118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118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118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118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118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118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118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118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118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118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118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118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118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118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114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114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114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109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108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94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94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93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93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93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83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68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68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68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68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68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68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68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68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68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68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68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68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68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68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68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68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68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68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68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68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65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65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65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65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64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64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64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64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64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64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64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64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64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64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64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64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64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64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64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64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64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64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64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64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64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64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64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64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64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64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64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64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64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64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63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63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63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63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63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63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63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63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63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63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63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63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63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63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63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63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63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63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59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59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59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59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59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59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59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59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59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59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59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59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59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59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59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59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59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59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59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59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59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59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59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59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59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59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59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59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59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59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59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59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59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59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59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59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59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59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59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59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59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59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59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59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59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59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59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59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59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59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59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59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59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59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59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59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59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59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59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59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59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59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59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59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59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59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59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59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59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59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59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59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59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59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59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59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59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59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59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59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59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59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59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59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59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59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59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59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59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59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59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59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53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53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48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48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43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43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43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43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43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43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43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43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43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43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43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43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43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43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43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43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43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43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43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43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43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43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43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43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43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43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43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43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43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43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43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43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43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43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43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43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43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43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43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43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43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43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43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43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43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43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43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43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43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43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43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43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43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43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43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43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43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43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43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43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43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43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43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43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43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43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43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43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43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43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43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43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43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43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43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43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43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43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43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43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43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43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43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43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43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43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43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43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43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43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43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43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43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43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43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43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43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43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43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43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43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43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43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43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43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40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40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40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40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41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38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38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33</v>
      </c>
      <c r="R2488" s="110" t="s">
        <v>1459</v>
      </c>
      <c r="S2488" s="94"/>
    </row>
    <row r="2489" spans="1:19" hidden="1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33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33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33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33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33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33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33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33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33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33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31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31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31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31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31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31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31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31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31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31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31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31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31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31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31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31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31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31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31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31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31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31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31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31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31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31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31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31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31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31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31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31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31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31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31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31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31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31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31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31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31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31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31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31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31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31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31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31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31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31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31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31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31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31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31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31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31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31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31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31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31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31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31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31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31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31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31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31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31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31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31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31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31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31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31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31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31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31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31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31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31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31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31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31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31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31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31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31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31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31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31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31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31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31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31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31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31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31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31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31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31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31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31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31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31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31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31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31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31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31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31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31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31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31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31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31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31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31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31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31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31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31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31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31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31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31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31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31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31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31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31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31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31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31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31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31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31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31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31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31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31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31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31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31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31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31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31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31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31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31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31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31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31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31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31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31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31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31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31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31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31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31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31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31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31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31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31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31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31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31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31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31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31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31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31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31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31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31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31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31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31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31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31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31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31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31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31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31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31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31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31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31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31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31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31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31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31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31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31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31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31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31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31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31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31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31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31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31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31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31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31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31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31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31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31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31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31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31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31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31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31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31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31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31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31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31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31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31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31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31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31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31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31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31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31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31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31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31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31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31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31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31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31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31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31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31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31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31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31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31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31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31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31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31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31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31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31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31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31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31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31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31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31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31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31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31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31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31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31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31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31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31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31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31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31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31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31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31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31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31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31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31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31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31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31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31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31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31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31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31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31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31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31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31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31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31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31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31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31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31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31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31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31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31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31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31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31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31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31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31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31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31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31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31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31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31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31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31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31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31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31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31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31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31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31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31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31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31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31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31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31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31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31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31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31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29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29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29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29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29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29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29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29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29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29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28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28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28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27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27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27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27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27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27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26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26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24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23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23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23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22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22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22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20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20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20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20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20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20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20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17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17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17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17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17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17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17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17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17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17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17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17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17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17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17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17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17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17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17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17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17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17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17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17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17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17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17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17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17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16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16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14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14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14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14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14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14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14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14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14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14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12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12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12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12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12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12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12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12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11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11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11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11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11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11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11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11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11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11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11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11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11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11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11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11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11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</v>
      </c>
      <c r="R3282" s="115" t="s">
        <v>1459</v>
      </c>
      <c r="S3282" s="125"/>
    </row>
    <row r="3283" spans="1:19" hidden="1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on track</v>
      </c>
      <c r="Q3434" s="3">
        <f ca="1">IF(Proc[[#This Row],[DateClosed]]="",ABS(NETWORKDAYS(Proc[[#This Row],[DateOpened]],TODAY()))-1,ABS(NETWORKDAYS(Proc[[#This Row],[DateOpened]],Proc[[#This Row],[DateClosed]]))-1)</f>
        <v>5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on track</v>
      </c>
      <c r="Q3435" s="3">
        <f ca="1">IF(Proc[[#This Row],[DateClosed]]="",ABS(NETWORKDAYS(Proc[[#This Row],[DateOpened]],TODAY()))-1,ABS(NETWORKDAYS(Proc[[#This Row],[DateOpened]],Proc[[#This Row],[DateClosed]]))-1)</f>
        <v>5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on track</v>
      </c>
      <c r="Q3436" s="3">
        <f ca="1">IF(Proc[[#This Row],[DateClosed]]="",ABS(NETWORKDAYS(Proc[[#This Row],[DateOpened]],TODAY()))-1,ABS(NETWORKDAYS(Proc[[#This Row],[DateOpened]],Proc[[#This Row],[DateClosed]]))-1)</f>
        <v>5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on track</v>
      </c>
      <c r="Q3437" s="3">
        <f ca="1">IF(Proc[[#This Row],[DateClosed]]="",ABS(NETWORKDAYS(Proc[[#This Row],[DateOpened]],TODAY()))-1,ABS(NETWORKDAYS(Proc[[#This Row],[DateOpened]],Proc[[#This Row],[DateClosed]]))-1)</f>
        <v>5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on track</v>
      </c>
      <c r="Q3438" s="3">
        <f ca="1">IF(Proc[[#This Row],[DateClosed]]="",ABS(NETWORKDAYS(Proc[[#This Row],[DateOpened]],TODAY()))-1,ABS(NETWORKDAYS(Proc[[#This Row],[DateOpened]],Proc[[#This Row],[DateClosed]]))-1)</f>
        <v>5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on track</v>
      </c>
      <c r="Q3439" s="3">
        <f ca="1">IF(Proc[[#This Row],[DateClosed]]="",ABS(NETWORKDAYS(Proc[[#This Row],[DateOpened]],TODAY()))-1,ABS(NETWORKDAYS(Proc[[#This Row],[DateOpened]],Proc[[#This Row],[DateClosed]]))-1)</f>
        <v>5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on track</v>
      </c>
      <c r="Q3440" s="3">
        <f ca="1">IF(Proc[[#This Row],[DateClosed]]="",ABS(NETWORKDAYS(Proc[[#This Row],[DateOpened]],TODAY()))-1,ABS(NETWORKDAYS(Proc[[#This Row],[DateOpened]],Proc[[#This Row],[DateClosed]]))-1)</f>
        <v>5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on track</v>
      </c>
      <c r="Q3441" s="3">
        <f ca="1">IF(Proc[[#This Row],[DateClosed]]="",ABS(NETWORKDAYS(Proc[[#This Row],[DateOpened]],TODAY()))-1,ABS(NETWORKDAYS(Proc[[#This Row],[DateOpened]],Proc[[#This Row],[DateClosed]]))-1)</f>
        <v>5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on track</v>
      </c>
      <c r="Q3442" s="3">
        <f ca="1">IF(Proc[[#This Row],[DateClosed]]="",ABS(NETWORKDAYS(Proc[[#This Row],[DateOpened]],TODAY()))-1,ABS(NETWORKDAYS(Proc[[#This Row],[DateOpened]],Proc[[#This Row],[DateClosed]]))-1)</f>
        <v>5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on track</v>
      </c>
      <c r="Q3443" s="3">
        <f ca="1">IF(Proc[[#This Row],[DateClosed]]="",ABS(NETWORKDAYS(Proc[[#This Row],[DateOpened]],TODAY()))-1,ABS(NETWORKDAYS(Proc[[#This Row],[DateOpened]],Proc[[#This Row],[DateClosed]]))-1)</f>
        <v>5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on track</v>
      </c>
      <c r="Q3444" s="3">
        <f ca="1">IF(Proc[[#This Row],[DateClosed]]="",ABS(NETWORKDAYS(Proc[[#This Row],[DateOpened]],TODAY()))-1,ABS(NETWORKDAYS(Proc[[#This Row],[DateOpened]],Proc[[#This Row],[DateClosed]]))-1)</f>
        <v>5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on track</v>
      </c>
      <c r="Q3445" s="3">
        <f ca="1">IF(Proc[[#This Row],[DateClosed]]="",ABS(NETWORKDAYS(Proc[[#This Row],[DateOpened]],TODAY()))-1,ABS(NETWORKDAYS(Proc[[#This Row],[DateOpened]],Proc[[#This Row],[DateClosed]]))-1)</f>
        <v>5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on track</v>
      </c>
      <c r="Q3446" s="3">
        <f ca="1">IF(Proc[[#This Row],[DateClosed]]="",ABS(NETWORKDAYS(Proc[[#This Row],[DateOpened]],TODAY()))-1,ABS(NETWORKDAYS(Proc[[#This Row],[DateOpened]],Proc[[#This Row],[DateClosed]]))-1)</f>
        <v>5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on track</v>
      </c>
      <c r="Q3447" s="3">
        <f ca="1">IF(Proc[[#This Row],[DateClosed]]="",ABS(NETWORKDAYS(Proc[[#This Row],[DateOpened]],TODAY()))-1,ABS(NETWORKDAYS(Proc[[#This Row],[DateOpened]],Proc[[#This Row],[DateClosed]]))-1)</f>
        <v>5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on track</v>
      </c>
      <c r="Q3448" s="3">
        <f ca="1">IF(Proc[[#This Row],[DateClosed]]="",ABS(NETWORKDAYS(Proc[[#This Row],[DateOpened]],TODAY()))-1,ABS(NETWORKDAYS(Proc[[#This Row],[DateOpened]],Proc[[#This Row],[DateClosed]]))-1)</f>
        <v>5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on track</v>
      </c>
      <c r="Q3449" s="3">
        <f ca="1">IF(Proc[[#This Row],[DateClosed]]="",ABS(NETWORKDAYS(Proc[[#This Row],[DateOpened]],TODAY()))-1,ABS(NETWORKDAYS(Proc[[#This Row],[DateOpened]],Proc[[#This Row],[DateClosed]]))-1)</f>
        <v>5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on track</v>
      </c>
      <c r="Q3450" s="3">
        <f ca="1">IF(Proc[[#This Row],[DateClosed]]="",ABS(NETWORKDAYS(Proc[[#This Row],[DateOpened]],TODAY()))-1,ABS(NETWORKDAYS(Proc[[#This Row],[DateOpened]],Proc[[#This Row],[DateClosed]]))-1)</f>
        <v>5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on track</v>
      </c>
      <c r="Q3451" s="3">
        <f ca="1">IF(Proc[[#This Row],[DateClosed]]="",ABS(NETWORKDAYS(Proc[[#This Row],[DateOpened]],TODAY()))-1,ABS(NETWORKDAYS(Proc[[#This Row],[DateOpened]],Proc[[#This Row],[DateClosed]]))-1)</f>
        <v>5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on track</v>
      </c>
      <c r="Q3452" s="3">
        <f ca="1">IF(Proc[[#This Row],[DateClosed]]="",ABS(NETWORKDAYS(Proc[[#This Row],[DateOpened]],TODAY()))-1,ABS(NETWORKDAYS(Proc[[#This Row],[DateOpened]],Proc[[#This Row],[DateClosed]]))-1)</f>
        <v>5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on track</v>
      </c>
      <c r="Q3453" s="3">
        <f ca="1">IF(Proc[[#This Row],[DateClosed]]="",ABS(NETWORKDAYS(Proc[[#This Row],[DateOpened]],TODAY()))-1,ABS(NETWORKDAYS(Proc[[#This Row],[DateOpened]],Proc[[#This Row],[DateClosed]]))-1)</f>
        <v>5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on track</v>
      </c>
      <c r="Q3454" s="3">
        <f ca="1">IF(Proc[[#This Row],[DateClosed]]="",ABS(NETWORKDAYS(Proc[[#This Row],[DateOpened]],TODAY()))-1,ABS(NETWORKDAYS(Proc[[#This Row],[DateOpened]],Proc[[#This Row],[DateClosed]]))-1)</f>
        <v>5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on track</v>
      </c>
      <c r="Q3455" s="3">
        <f ca="1">IF(Proc[[#This Row],[DateClosed]]="",ABS(NETWORKDAYS(Proc[[#This Row],[DateOpened]],TODAY()))-1,ABS(NETWORKDAYS(Proc[[#This Row],[DateOpened]],Proc[[#This Row],[DateClosed]]))-1)</f>
        <v>5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on track</v>
      </c>
      <c r="Q3456" s="3">
        <f ca="1">IF(Proc[[#This Row],[DateClosed]]="",ABS(NETWORKDAYS(Proc[[#This Row],[DateOpened]],TODAY()))-1,ABS(NETWORKDAYS(Proc[[#This Row],[DateOpened]],Proc[[#This Row],[DateClosed]]))-1)</f>
        <v>5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on track</v>
      </c>
      <c r="Q3457" s="3">
        <f ca="1">IF(Proc[[#This Row],[DateClosed]]="",ABS(NETWORKDAYS(Proc[[#This Row],[DateOpened]],TODAY()))-1,ABS(NETWORKDAYS(Proc[[#This Row],[DateOpened]],Proc[[#This Row],[DateClosed]]))-1)</f>
        <v>5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on track</v>
      </c>
      <c r="Q3458" s="3">
        <f ca="1">IF(Proc[[#This Row],[DateClosed]]="",ABS(NETWORKDAYS(Proc[[#This Row],[DateOpened]],TODAY()))-1,ABS(NETWORKDAYS(Proc[[#This Row],[DateOpened]],Proc[[#This Row],[DateClosed]]))-1)</f>
        <v>5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on track</v>
      </c>
      <c r="Q3459" s="3">
        <f ca="1">IF(Proc[[#This Row],[DateClosed]]="",ABS(NETWORKDAYS(Proc[[#This Row],[DateOpened]],TODAY()))-1,ABS(NETWORKDAYS(Proc[[#This Row],[DateOpened]],Proc[[#This Row],[DateClosed]]))-1)</f>
        <v>5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on track</v>
      </c>
      <c r="Q3460" s="3">
        <f ca="1">IF(Proc[[#This Row],[DateClosed]]="",ABS(NETWORKDAYS(Proc[[#This Row],[DateOpened]],TODAY()))-1,ABS(NETWORKDAYS(Proc[[#This Row],[DateOpened]],Proc[[#This Row],[DateClosed]]))-1)</f>
        <v>5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on track</v>
      </c>
      <c r="Q3461" s="3">
        <f ca="1">IF(Proc[[#This Row],[DateClosed]]="",ABS(NETWORKDAYS(Proc[[#This Row],[DateOpened]],TODAY()))-1,ABS(NETWORKDAYS(Proc[[#This Row],[DateOpened]],Proc[[#This Row],[DateClosed]]))-1)</f>
        <v>5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on track</v>
      </c>
      <c r="Q3462" s="3">
        <f ca="1">IF(Proc[[#This Row],[DateClosed]]="",ABS(NETWORKDAYS(Proc[[#This Row],[DateOpened]],TODAY()))-1,ABS(NETWORKDAYS(Proc[[#This Row],[DateOpened]],Proc[[#This Row],[DateClosed]]))-1)</f>
        <v>5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on track</v>
      </c>
      <c r="Q3463" s="3">
        <f ca="1">IF(Proc[[#This Row],[DateClosed]]="",ABS(NETWORKDAYS(Proc[[#This Row],[DateOpened]],TODAY()))-1,ABS(NETWORKDAYS(Proc[[#This Row],[DateOpened]],Proc[[#This Row],[DateClosed]]))-1)</f>
        <v>5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on track</v>
      </c>
      <c r="Q3464" s="3">
        <f ca="1">IF(Proc[[#This Row],[DateClosed]]="",ABS(NETWORKDAYS(Proc[[#This Row],[DateOpened]],TODAY()))-1,ABS(NETWORKDAYS(Proc[[#This Row],[DateOpened]],Proc[[#This Row],[DateClosed]]))-1)</f>
        <v>5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on track</v>
      </c>
      <c r="Q3465" s="3">
        <f ca="1">IF(Proc[[#This Row],[DateClosed]]="",ABS(NETWORKDAYS(Proc[[#This Row],[DateOpened]],TODAY()))-1,ABS(NETWORKDAYS(Proc[[#This Row],[DateOpened]],Proc[[#This Row],[DateClosed]]))-1)</f>
        <v>5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on track</v>
      </c>
      <c r="Q3466" s="3">
        <f ca="1">IF(Proc[[#This Row],[DateClosed]]="",ABS(NETWORKDAYS(Proc[[#This Row],[DateOpened]],TODAY()))-1,ABS(NETWORKDAYS(Proc[[#This Row],[DateOpened]],Proc[[#This Row],[DateClosed]]))-1)</f>
        <v>5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on track</v>
      </c>
      <c r="Q3467" s="3">
        <f ca="1">IF(Proc[[#This Row],[DateClosed]]="",ABS(NETWORKDAYS(Proc[[#This Row],[DateOpened]],TODAY()))-1,ABS(NETWORKDAYS(Proc[[#This Row],[DateOpened]],Proc[[#This Row],[DateClosed]]))-1)</f>
        <v>5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on track</v>
      </c>
      <c r="Q3468" s="3">
        <f ca="1">IF(Proc[[#This Row],[DateClosed]]="",ABS(NETWORKDAYS(Proc[[#This Row],[DateOpened]],TODAY()))-1,ABS(NETWORKDAYS(Proc[[#This Row],[DateOpened]],Proc[[#This Row],[DateClosed]]))-1)</f>
        <v>5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on track</v>
      </c>
      <c r="Q3469" s="3">
        <f ca="1">IF(Proc[[#This Row],[DateClosed]]="",ABS(NETWORKDAYS(Proc[[#This Row],[DateOpened]],TODAY()))-1,ABS(NETWORKDAYS(Proc[[#This Row],[DateOpened]],Proc[[#This Row],[DateClosed]]))-1)</f>
        <v>5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on track</v>
      </c>
      <c r="Q3470" s="3">
        <f ca="1">IF(Proc[[#This Row],[DateClosed]]="",ABS(NETWORKDAYS(Proc[[#This Row],[DateOpened]],TODAY()))-1,ABS(NETWORKDAYS(Proc[[#This Row],[DateOpened]],Proc[[#This Row],[DateClosed]]))-1)</f>
        <v>5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on track</v>
      </c>
      <c r="Q3471" s="3">
        <f ca="1">IF(Proc[[#This Row],[DateClosed]]="",ABS(NETWORKDAYS(Proc[[#This Row],[DateOpened]],TODAY()))-1,ABS(NETWORKDAYS(Proc[[#This Row],[DateOpened]],Proc[[#This Row],[DateClosed]]))-1)</f>
        <v>5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on track</v>
      </c>
      <c r="Q3472" s="3">
        <f ca="1">IF(Proc[[#This Row],[DateClosed]]="",ABS(NETWORKDAYS(Proc[[#This Row],[DateOpened]],TODAY()))-1,ABS(NETWORKDAYS(Proc[[#This Row],[DateOpened]],Proc[[#This Row],[DateClosed]]))-1)</f>
        <v>5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on track</v>
      </c>
      <c r="Q3473" s="3">
        <f ca="1">IF(Proc[[#This Row],[DateClosed]]="",ABS(NETWORKDAYS(Proc[[#This Row],[DateOpened]],TODAY()))-1,ABS(NETWORKDAYS(Proc[[#This Row],[DateOpened]],Proc[[#This Row],[DateClosed]]))-1)</f>
        <v>5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on track</v>
      </c>
      <c r="Q3474" s="3">
        <f ca="1">IF(Proc[[#This Row],[DateClosed]]="",ABS(NETWORKDAYS(Proc[[#This Row],[DateOpened]],TODAY()))-1,ABS(NETWORKDAYS(Proc[[#This Row],[DateOpened]],Proc[[#This Row],[DateClosed]]))-1)</f>
        <v>5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on track</v>
      </c>
      <c r="Q3475" s="3">
        <f ca="1">IF(Proc[[#This Row],[DateClosed]]="",ABS(NETWORKDAYS(Proc[[#This Row],[DateOpened]],TODAY()))-1,ABS(NETWORKDAYS(Proc[[#This Row],[DateOpened]],Proc[[#This Row],[DateClosed]]))-1)</f>
        <v>5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on track</v>
      </c>
      <c r="Q3476" s="3">
        <f ca="1">IF(Proc[[#This Row],[DateClosed]]="",ABS(NETWORKDAYS(Proc[[#This Row],[DateOpened]],TODAY()))-1,ABS(NETWORKDAYS(Proc[[#This Row],[DateOpened]],Proc[[#This Row],[DateClosed]]))-1)</f>
        <v>5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on track</v>
      </c>
      <c r="Q3477" s="3">
        <f ca="1">IF(Proc[[#This Row],[DateClosed]]="",ABS(NETWORKDAYS(Proc[[#This Row],[DateOpened]],TODAY()))-1,ABS(NETWORKDAYS(Proc[[#This Row],[DateOpened]],Proc[[#This Row],[DateClosed]]))-1)</f>
        <v>4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on track</v>
      </c>
      <c r="Q3478" s="3">
        <f ca="1">IF(Proc[[#This Row],[DateClosed]]="",ABS(NETWORKDAYS(Proc[[#This Row],[DateOpened]],TODAY()))-1,ABS(NETWORKDAYS(Proc[[#This Row],[DateOpened]],Proc[[#This Row],[DateClosed]]))-1)</f>
        <v>4</v>
      </c>
      <c r="R3478" s="115" t="s">
        <v>515</v>
      </c>
      <c r="S3478" s="125"/>
    </row>
    <row r="3479" spans="1:19" hidden="1">
      <c r="A3479" t="s">
        <v>5556</v>
      </c>
      <c r="B3479" s="125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tr">
        <f>VLOOKUP(Proc[[#This Row],[Obj]],Sheet1!A:B,2,0)</f>
        <v>H000000643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on track</v>
      </c>
      <c r="Q3479" s="3">
        <f ca="1">IF(Proc[[#This Row],[DateClosed]]="",ABS(NETWORKDAYS(Proc[[#This Row],[DateOpened]],TODAY()))-1,ABS(NETWORKDAYS(Proc[[#This Row],[DateOpened]],Proc[[#This Row],[DateClosed]]))-1)</f>
        <v>3</v>
      </c>
      <c r="R3479" s="115" t="s">
        <v>410</v>
      </c>
      <c r="S3479" s="125"/>
    </row>
    <row r="3480" spans="1:19" hidden="1">
      <c r="A3480" s="124" t="s">
        <v>5556</v>
      </c>
      <c r="B3480" s="125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tr">
        <f>VLOOKUP(Proc[[#This Row],[Obj]],Sheet1!A:B,2,0)</f>
        <v>H000000643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on track</v>
      </c>
      <c r="Q3480" s="3">
        <f ca="1">IF(Proc[[#This Row],[DateClosed]]="",ABS(NETWORKDAYS(Proc[[#This Row],[DateOpened]],TODAY()))-1,ABS(NETWORKDAYS(Proc[[#This Row],[DateOpened]],Proc[[#This Row],[DateClosed]]))-1)</f>
        <v>3</v>
      </c>
      <c r="R3480" s="115" t="s">
        <v>410</v>
      </c>
      <c r="S3480" s="125"/>
    </row>
    <row r="3481" spans="1:19" hidden="1">
      <c r="A3481" s="124" t="s">
        <v>5556</v>
      </c>
      <c r="B3481" s="125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tr">
        <f>VLOOKUP(Proc[[#This Row],[Obj]],Sheet1!A:B,2,0)</f>
        <v>H000004380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on track</v>
      </c>
      <c r="Q3481" s="3">
        <f ca="1">IF(Proc[[#This Row],[DateClosed]]="",ABS(NETWORKDAYS(Proc[[#This Row],[DateOpened]],TODAY()))-1,ABS(NETWORKDAYS(Proc[[#This Row],[DateOpened]],Proc[[#This Row],[DateClosed]]))-1)</f>
        <v>3</v>
      </c>
      <c r="R3481" s="115" t="s">
        <v>410</v>
      </c>
      <c r="S3481" s="125"/>
    </row>
    <row r="3482" spans="1:19" hidden="1">
      <c r="A3482" s="124" t="s">
        <v>5556</v>
      </c>
      <c r="B3482" s="125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tr">
        <f>VLOOKUP(Proc[[#This Row],[Obj]],Sheet1!A:B,2,0)</f>
        <v>H000004380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on track</v>
      </c>
      <c r="Q3482" s="3">
        <f ca="1">IF(Proc[[#This Row],[DateClosed]]="",ABS(NETWORKDAYS(Proc[[#This Row],[DateOpened]],TODAY()))-1,ABS(NETWORKDAYS(Proc[[#This Row],[DateOpened]],Proc[[#This Row],[DateClosed]]))-1)</f>
        <v>3</v>
      </c>
      <c r="R3482" s="115" t="s">
        <v>410</v>
      </c>
      <c r="S3482" s="125"/>
    </row>
    <row r="3483" spans="1:19" hidden="1">
      <c r="A3483" s="124" t="s">
        <v>5556</v>
      </c>
      <c r="B3483" s="125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tr">
        <f>VLOOKUP(Proc[[#This Row],[Obj]],Sheet1!A:B,2,0)</f>
        <v>H000004380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on track</v>
      </c>
      <c r="Q3483" s="3">
        <f ca="1">IF(Proc[[#This Row],[DateClosed]]="",ABS(NETWORKDAYS(Proc[[#This Row],[DateOpened]],TODAY()))-1,ABS(NETWORKDAYS(Proc[[#This Row],[DateOpened]],Proc[[#This Row],[DateClosed]]))-1)</f>
        <v>3</v>
      </c>
      <c r="R3483" s="115" t="s">
        <v>410</v>
      </c>
      <c r="S3483" s="125"/>
    </row>
    <row r="3484" spans="1:19" hidden="1">
      <c r="A3484" s="124" t="s">
        <v>5556</v>
      </c>
      <c r="B3484" s="125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tr">
        <f>VLOOKUP(Proc[[#This Row],[Obj]],Sheet1!A:B,2,0)</f>
        <v>H000000617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on track</v>
      </c>
      <c r="Q3484" s="3">
        <f ca="1">IF(Proc[[#This Row],[DateClosed]]="",ABS(NETWORKDAYS(Proc[[#This Row],[DateOpened]],TODAY()))-1,ABS(NETWORKDAYS(Proc[[#This Row],[DateOpened]],Proc[[#This Row],[DateClosed]]))-1)</f>
        <v>3</v>
      </c>
      <c r="R3484" s="115" t="s">
        <v>410</v>
      </c>
      <c r="S3484" s="125"/>
    </row>
    <row r="3485" spans="1:19" hidden="1">
      <c r="A3485" s="124" t="s">
        <v>5556</v>
      </c>
      <c r="B3485" s="125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tr">
        <f>VLOOKUP(Proc[[#This Row],[Obj]],Sheet1!A:B,2,0)</f>
        <v>H000000617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on track</v>
      </c>
      <c r="Q3485" s="3">
        <f ca="1">IF(Proc[[#This Row],[DateClosed]]="",ABS(NETWORKDAYS(Proc[[#This Row],[DateOpened]],TODAY()))-1,ABS(NETWORKDAYS(Proc[[#This Row],[DateOpened]],Proc[[#This Row],[DateClosed]]))-1)</f>
        <v>3</v>
      </c>
      <c r="R3485" s="115" t="s">
        <v>410</v>
      </c>
      <c r="S3485" s="125"/>
    </row>
    <row r="3486" spans="1:19" hidden="1">
      <c r="A3486" t="s">
        <v>5574</v>
      </c>
      <c r="B3486" s="125" t="str">
        <f>IFERROR(VLOOKUP(Proc[[#This Row],[App]],Table2[],3,0),"open")</f>
        <v>ok</v>
      </c>
      <c r="C3486" s="128" t="s">
        <v>369</v>
      </c>
      <c r="D3486" t="s">
        <v>5579</v>
      </c>
      <c r="E3486" s="128" t="s">
        <v>5573</v>
      </c>
      <c r="F3486" s="129" t="str">
        <f>VLOOKUP(Proc[[#This Row],[Obj]],Sheet1!A:B,2,0)</f>
        <v>L000011664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on track</v>
      </c>
      <c r="Q3486" s="3">
        <f ca="1">IF(Proc[[#This Row],[DateClosed]]="",ABS(NETWORKDAYS(Proc[[#This Row],[DateOpened]],TODAY()))-1,ABS(NETWORKDAYS(Proc[[#This Row],[DateOpened]],Proc[[#This Row],[DateClosed]]))-1)</f>
        <v>2</v>
      </c>
      <c r="R3486" s="115" t="s">
        <v>1262</v>
      </c>
      <c r="S3486" s="125"/>
    </row>
    <row r="3487" spans="1:19" hidden="1">
      <c r="A3487" t="s">
        <v>5578</v>
      </c>
      <c r="B3487" s="129" t="str">
        <f>IFERROR(VLOOKUP(Proc[[#This Row],[App]],Table2[],3,0),"open")</f>
        <v>open</v>
      </c>
      <c r="C3487" s="128" t="s">
        <v>375</v>
      </c>
      <c r="D3487" t="s">
        <v>5575</v>
      </c>
      <c r="E3487" t="s">
        <v>5577</v>
      </c>
      <c r="F3487" s="129" t="str">
        <f>VLOOKUP(Proc[[#This Row],[Obj]],Sheet1!A:B,2,0)</f>
        <v>G000000768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0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on track</v>
      </c>
      <c r="Q3487" s="3">
        <f ca="1">IF(Proc[[#This Row],[DateClosed]]="",ABS(NETWORKDAYS(Proc[[#This Row],[DateOpened]],TODAY()))-1,ABS(NETWORKDAYS(Proc[[#This Row],[DateOpened]],Proc[[#This Row],[DateClosed]]))-1)</f>
        <v>2</v>
      </c>
      <c r="R3487" s="115" t="s">
        <v>515</v>
      </c>
      <c r="S3487" s="129"/>
    </row>
    <row r="3488" spans="1:19" hidden="1">
      <c r="A3488" s="128" t="s">
        <v>5578</v>
      </c>
      <c r="B3488" s="129" t="str">
        <f>IFERROR(VLOOKUP(Proc[[#This Row],[App]],Table2[],3,0),"open")</f>
        <v>open</v>
      </c>
      <c r="C3488" s="128" t="s">
        <v>369</v>
      </c>
      <c r="D3488" t="s">
        <v>5576</v>
      </c>
      <c r="E3488" t="s">
        <v>2416</v>
      </c>
      <c r="F3488" s="129" t="str">
        <f>VLOOKUP(Proc[[#This Row],[Obj]],Sheet1!A:B,2,0)</f>
        <v>G000000103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on track</v>
      </c>
      <c r="Q3488" s="3">
        <f ca="1">IF(Proc[[#This Row],[DateClosed]]="",ABS(NETWORKDAYS(Proc[[#This Row],[DateOpened]],TODAY()))-1,ABS(NETWORKDAYS(Proc[[#This Row],[DateOpened]],Proc[[#This Row],[DateClosed]]))-1)</f>
        <v>2</v>
      </c>
      <c r="R3488" s="115" t="s">
        <v>515</v>
      </c>
      <c r="S3488" s="129"/>
    </row>
    <row r="3489" spans="1:19" hidden="1">
      <c r="A3489" t="s">
        <v>5676</v>
      </c>
      <c r="B3489" s="129" t="str">
        <f>IFERROR(VLOOKUP(Proc[[#This Row],[App]],Table2[],3,0),"open")</f>
        <v>open</v>
      </c>
      <c r="C3489" t="s">
        <v>370</v>
      </c>
      <c r="D3489" t="s">
        <v>5581</v>
      </c>
      <c r="E3489" t="s">
        <v>5674</v>
      </c>
      <c r="F3489" s="129"/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0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on track</v>
      </c>
      <c r="Q3489" s="3">
        <f ca="1">IF(Proc[[#This Row],[DateClosed]]="",ABS(NETWORKDAYS(Proc[[#This Row],[DateOpened]],TODAY()))-1,ABS(NETWORKDAYS(Proc[[#This Row],[DateOpened]],Proc[[#This Row],[DateClosed]]))-1)</f>
        <v>1</v>
      </c>
      <c r="R3489" s="115" t="s">
        <v>515</v>
      </c>
      <c r="S3489" s="129"/>
    </row>
    <row r="3490" spans="1:19" hidden="1">
      <c r="A3490" s="128" t="s">
        <v>5676</v>
      </c>
      <c r="B3490" s="129" t="str">
        <f>IFERROR(VLOOKUP(Proc[[#This Row],[App]],Table2[],3,0),"open")</f>
        <v>open</v>
      </c>
      <c r="C3490" s="128" t="s">
        <v>370</v>
      </c>
      <c r="D3490" t="s">
        <v>5582</v>
      </c>
      <c r="E3490" t="s">
        <v>5674</v>
      </c>
      <c r="F3490" s="129"/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0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on track</v>
      </c>
      <c r="Q3490" s="3">
        <f ca="1">IF(Proc[[#This Row],[DateClosed]]="",ABS(NETWORKDAYS(Proc[[#This Row],[DateOpened]],TODAY()))-1,ABS(NETWORKDAYS(Proc[[#This Row],[DateOpened]],Proc[[#This Row],[DateClosed]]))-1)</f>
        <v>1</v>
      </c>
      <c r="R3490" s="115" t="s">
        <v>515</v>
      </c>
      <c r="S3490" s="129"/>
    </row>
    <row r="3491" spans="1:19" hidden="1">
      <c r="A3491" s="128" t="s">
        <v>5676</v>
      </c>
      <c r="B3491" s="129" t="str">
        <f>IFERROR(VLOOKUP(Proc[[#This Row],[App]],Table2[],3,0),"open")</f>
        <v>open</v>
      </c>
      <c r="C3491" s="128" t="s">
        <v>370</v>
      </c>
      <c r="D3491" t="s">
        <v>5583</v>
      </c>
      <c r="E3491" t="s">
        <v>5675</v>
      </c>
      <c r="F3491" s="129"/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0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on track</v>
      </c>
      <c r="Q3491" s="3">
        <f ca="1">IF(Proc[[#This Row],[DateClosed]]="",ABS(NETWORKDAYS(Proc[[#This Row],[DateOpened]],TODAY()))-1,ABS(NETWORKDAYS(Proc[[#This Row],[DateOpened]],Proc[[#This Row],[DateClosed]]))-1)</f>
        <v>1</v>
      </c>
      <c r="R3491" s="115" t="s">
        <v>515</v>
      </c>
      <c r="S3491" s="129"/>
    </row>
    <row r="3492" spans="1:19" hidden="1">
      <c r="A3492" s="128" t="s">
        <v>5676</v>
      </c>
      <c r="B3492" s="129" t="str">
        <f>IFERROR(VLOOKUP(Proc[[#This Row],[App]],Table2[],3,0),"open")</f>
        <v>open</v>
      </c>
      <c r="C3492" s="128" t="s">
        <v>370</v>
      </c>
      <c r="D3492" t="s">
        <v>5584</v>
      </c>
      <c r="E3492" t="s">
        <v>5675</v>
      </c>
      <c r="F3492" s="129"/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0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on track</v>
      </c>
      <c r="Q3492" s="3">
        <f ca="1">IF(Proc[[#This Row],[DateClosed]]="",ABS(NETWORKDAYS(Proc[[#This Row],[DateOpened]],TODAY()))-1,ABS(NETWORKDAYS(Proc[[#This Row],[DateOpened]],Proc[[#This Row],[DateClosed]]))-1)</f>
        <v>1</v>
      </c>
      <c r="R3492" s="115" t="s">
        <v>515</v>
      </c>
      <c r="S3492" s="129"/>
    </row>
    <row r="3493" spans="1:19" hidden="1">
      <c r="A3493" s="128" t="s">
        <v>5676</v>
      </c>
      <c r="B3493" s="129" t="str">
        <f>IFERROR(VLOOKUP(Proc[[#This Row],[App]],Table2[],3,0),"open")</f>
        <v>open</v>
      </c>
      <c r="C3493" s="128" t="s">
        <v>370</v>
      </c>
      <c r="D3493" t="s">
        <v>5585</v>
      </c>
      <c r="E3493" t="s">
        <v>5675</v>
      </c>
      <c r="F3493" s="129"/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0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on track</v>
      </c>
      <c r="Q3493" s="3">
        <f ca="1">IF(Proc[[#This Row],[DateClosed]]="",ABS(NETWORKDAYS(Proc[[#This Row],[DateOpened]],TODAY()))-1,ABS(NETWORKDAYS(Proc[[#This Row],[DateOpened]],Proc[[#This Row],[DateClosed]]))-1)</f>
        <v>1</v>
      </c>
      <c r="R3493" s="115" t="s">
        <v>515</v>
      </c>
      <c r="S3493" s="129"/>
    </row>
    <row r="3494" spans="1:19" hidden="1">
      <c r="A3494" s="128" t="s">
        <v>5676</v>
      </c>
      <c r="B3494" s="129" t="str">
        <f>IFERROR(VLOOKUP(Proc[[#This Row],[App]],Table2[],3,0),"open")</f>
        <v>open</v>
      </c>
      <c r="C3494" s="128" t="s">
        <v>370</v>
      </c>
      <c r="D3494" t="s">
        <v>5586</v>
      </c>
      <c r="E3494" t="s">
        <v>5675</v>
      </c>
      <c r="F3494" s="129"/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0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on track</v>
      </c>
      <c r="Q3494" s="3">
        <f ca="1">IF(Proc[[#This Row],[DateClosed]]="",ABS(NETWORKDAYS(Proc[[#This Row],[DateOpened]],TODAY()))-1,ABS(NETWORKDAYS(Proc[[#This Row],[DateOpened]],Proc[[#This Row],[DateClosed]]))-1)</f>
        <v>1</v>
      </c>
      <c r="R3494" s="115" t="s">
        <v>515</v>
      </c>
      <c r="S3494" s="129"/>
    </row>
    <row r="3495" spans="1:19" hidden="1">
      <c r="A3495" s="128" t="s">
        <v>5676</v>
      </c>
      <c r="B3495" s="129" t="str">
        <f>IFERROR(VLOOKUP(Proc[[#This Row],[App]],Table2[],3,0),"open")</f>
        <v>open</v>
      </c>
      <c r="C3495" s="128" t="s">
        <v>370</v>
      </c>
      <c r="D3495" t="s">
        <v>5587</v>
      </c>
      <c r="E3495" t="s">
        <v>5675</v>
      </c>
      <c r="F3495" s="129"/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0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on track</v>
      </c>
      <c r="Q3495" s="3">
        <f ca="1">IF(Proc[[#This Row],[DateClosed]]="",ABS(NETWORKDAYS(Proc[[#This Row],[DateOpened]],TODAY()))-1,ABS(NETWORKDAYS(Proc[[#This Row],[DateOpened]],Proc[[#This Row],[DateClosed]]))-1)</f>
        <v>1</v>
      </c>
      <c r="R3495" s="115" t="s">
        <v>515</v>
      </c>
      <c r="S3495" s="129"/>
    </row>
    <row r="3496" spans="1:19" hidden="1">
      <c r="A3496" s="128" t="s">
        <v>5676</v>
      </c>
      <c r="B3496" s="129" t="str">
        <f>IFERROR(VLOOKUP(Proc[[#This Row],[App]],Table2[],3,0),"open")</f>
        <v>open</v>
      </c>
      <c r="C3496" s="128" t="s">
        <v>370</v>
      </c>
      <c r="D3496" t="s">
        <v>5588</v>
      </c>
      <c r="E3496" t="s">
        <v>5675</v>
      </c>
      <c r="F3496" s="129"/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0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on track</v>
      </c>
      <c r="Q3496" s="3">
        <f ca="1">IF(Proc[[#This Row],[DateClosed]]="",ABS(NETWORKDAYS(Proc[[#This Row],[DateOpened]],TODAY()))-1,ABS(NETWORKDAYS(Proc[[#This Row],[DateOpened]],Proc[[#This Row],[DateClosed]]))-1)</f>
        <v>1</v>
      </c>
      <c r="R3496" s="115" t="s">
        <v>515</v>
      </c>
      <c r="S3496" s="129"/>
    </row>
    <row r="3497" spans="1:19" hidden="1">
      <c r="A3497" s="128" t="s">
        <v>5676</v>
      </c>
      <c r="B3497" s="129" t="str">
        <f>IFERROR(VLOOKUP(Proc[[#This Row],[App]],Table2[],3,0),"open")</f>
        <v>open</v>
      </c>
      <c r="C3497" s="128" t="s">
        <v>370</v>
      </c>
      <c r="D3497" t="s">
        <v>5589</v>
      </c>
      <c r="E3497" t="s">
        <v>5675</v>
      </c>
      <c r="F3497" s="129"/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0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on track</v>
      </c>
      <c r="Q3497" s="3">
        <f ca="1">IF(Proc[[#This Row],[DateClosed]]="",ABS(NETWORKDAYS(Proc[[#This Row],[DateOpened]],TODAY()))-1,ABS(NETWORKDAYS(Proc[[#This Row],[DateOpened]],Proc[[#This Row],[DateClosed]]))-1)</f>
        <v>1</v>
      </c>
      <c r="R3497" s="115" t="s">
        <v>515</v>
      </c>
      <c r="S3497" s="129"/>
    </row>
    <row r="3498" spans="1:19" hidden="1">
      <c r="A3498" s="128" t="s">
        <v>5676</v>
      </c>
      <c r="B3498" s="129" t="str">
        <f>IFERROR(VLOOKUP(Proc[[#This Row],[App]],Table2[],3,0),"open")</f>
        <v>open</v>
      </c>
      <c r="C3498" s="128" t="s">
        <v>370</v>
      </c>
      <c r="D3498" t="s">
        <v>5590</v>
      </c>
      <c r="E3498" t="s">
        <v>5675</v>
      </c>
      <c r="F3498" s="129"/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0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on track</v>
      </c>
      <c r="Q3498" s="3">
        <f ca="1">IF(Proc[[#This Row],[DateClosed]]="",ABS(NETWORKDAYS(Proc[[#This Row],[DateOpened]],TODAY()))-1,ABS(NETWORKDAYS(Proc[[#This Row],[DateOpened]],Proc[[#This Row],[DateClosed]]))-1)</f>
        <v>1</v>
      </c>
      <c r="R3498" s="115" t="s">
        <v>515</v>
      </c>
      <c r="S3498" s="129"/>
    </row>
    <row r="3499" spans="1:19" hidden="1">
      <c r="A3499" s="128" t="s">
        <v>5676</v>
      </c>
      <c r="B3499" s="129" t="str">
        <f>IFERROR(VLOOKUP(Proc[[#This Row],[App]],Table2[],3,0),"open")</f>
        <v>open</v>
      </c>
      <c r="C3499" s="128" t="s">
        <v>370</v>
      </c>
      <c r="D3499" t="s">
        <v>5591</v>
      </c>
      <c r="E3499" t="s">
        <v>5675</v>
      </c>
      <c r="F3499" s="129"/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0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on track</v>
      </c>
      <c r="Q3499" s="3">
        <f ca="1">IF(Proc[[#This Row],[DateClosed]]="",ABS(NETWORKDAYS(Proc[[#This Row],[DateOpened]],TODAY()))-1,ABS(NETWORKDAYS(Proc[[#This Row],[DateOpened]],Proc[[#This Row],[DateClosed]]))-1)</f>
        <v>1</v>
      </c>
      <c r="R3499" s="115" t="s">
        <v>515</v>
      </c>
      <c r="S3499" s="129"/>
    </row>
    <row r="3500" spans="1:19" hidden="1">
      <c r="A3500" s="128" t="s">
        <v>5676</v>
      </c>
      <c r="B3500" s="129" t="str">
        <f>IFERROR(VLOOKUP(Proc[[#This Row],[App]],Table2[],3,0),"open")</f>
        <v>open</v>
      </c>
      <c r="C3500" s="128" t="s">
        <v>370</v>
      </c>
      <c r="D3500" t="s">
        <v>5592</v>
      </c>
      <c r="E3500" t="s">
        <v>5675</v>
      </c>
      <c r="F3500" s="129"/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0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on track</v>
      </c>
      <c r="Q3500" s="3">
        <f ca="1">IF(Proc[[#This Row],[DateClosed]]="",ABS(NETWORKDAYS(Proc[[#This Row],[DateOpened]],TODAY()))-1,ABS(NETWORKDAYS(Proc[[#This Row],[DateOpened]],Proc[[#This Row],[DateClosed]]))-1)</f>
        <v>1</v>
      </c>
      <c r="R3500" s="115" t="s">
        <v>515</v>
      </c>
      <c r="S3500" s="129"/>
    </row>
    <row r="3501" spans="1:19" hidden="1">
      <c r="A3501" s="128" t="s">
        <v>5676</v>
      </c>
      <c r="B3501" s="129" t="str">
        <f>IFERROR(VLOOKUP(Proc[[#This Row],[App]],Table2[],3,0),"open")</f>
        <v>open</v>
      </c>
      <c r="C3501" s="128" t="s">
        <v>370</v>
      </c>
      <c r="D3501" t="s">
        <v>5593</v>
      </c>
      <c r="E3501" t="s">
        <v>5675</v>
      </c>
      <c r="F3501" s="129"/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0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on track</v>
      </c>
      <c r="Q3501" s="3">
        <f ca="1">IF(Proc[[#This Row],[DateClosed]]="",ABS(NETWORKDAYS(Proc[[#This Row],[DateOpened]],TODAY()))-1,ABS(NETWORKDAYS(Proc[[#This Row],[DateOpened]],Proc[[#This Row],[DateClosed]]))-1)</f>
        <v>1</v>
      </c>
      <c r="R3501" s="115" t="s">
        <v>515</v>
      </c>
      <c r="S3501" s="129"/>
    </row>
    <row r="3502" spans="1:19" hidden="1">
      <c r="A3502" s="128" t="s">
        <v>5676</v>
      </c>
      <c r="B3502" s="129" t="str">
        <f>IFERROR(VLOOKUP(Proc[[#This Row],[App]],Table2[],3,0),"open")</f>
        <v>open</v>
      </c>
      <c r="C3502" s="128" t="s">
        <v>370</v>
      </c>
      <c r="D3502" t="s">
        <v>5594</v>
      </c>
      <c r="E3502" t="s">
        <v>5675</v>
      </c>
      <c r="F3502" s="129"/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0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on track</v>
      </c>
      <c r="Q3502" s="3">
        <f ca="1">IF(Proc[[#This Row],[DateClosed]]="",ABS(NETWORKDAYS(Proc[[#This Row],[DateOpened]],TODAY()))-1,ABS(NETWORKDAYS(Proc[[#This Row],[DateOpened]],Proc[[#This Row],[DateClosed]]))-1)</f>
        <v>1</v>
      </c>
      <c r="R3502" s="115" t="s">
        <v>515</v>
      </c>
      <c r="S3502" s="129"/>
    </row>
    <row r="3503" spans="1:19">
      <c r="A3503" s="128" t="s">
        <v>5676</v>
      </c>
      <c r="B3503" s="129" t="str">
        <f>IFERROR(VLOOKUP(Proc[[#This Row],[App]],Table2[],3,0),"open")</f>
        <v>open</v>
      </c>
      <c r="C3503" s="128" t="s">
        <v>375</v>
      </c>
      <c r="D3503" t="s">
        <v>5595</v>
      </c>
      <c r="E3503" t="s">
        <v>5675</v>
      </c>
      <c r="F3503" s="129"/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0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on track</v>
      </c>
      <c r="Q3503" s="3">
        <f ca="1">IF(Proc[[#This Row],[DateClosed]]="",ABS(NETWORKDAYS(Proc[[#This Row],[DateOpened]],TODAY()))-1,ABS(NETWORKDAYS(Proc[[#This Row],[DateOpened]],Proc[[#This Row],[DateClosed]]))-1)</f>
        <v>1</v>
      </c>
      <c r="R3503" s="115" t="s">
        <v>515</v>
      </c>
      <c r="S3503" s="129"/>
    </row>
    <row r="3504" spans="1:19">
      <c r="A3504" s="128" t="s">
        <v>5676</v>
      </c>
      <c r="B3504" s="129" t="str">
        <f>IFERROR(VLOOKUP(Proc[[#This Row],[App]],Table2[],3,0),"open")</f>
        <v>open</v>
      </c>
      <c r="C3504" s="128" t="s">
        <v>375</v>
      </c>
      <c r="D3504" t="s">
        <v>5596</v>
      </c>
      <c r="E3504" t="s">
        <v>5675</v>
      </c>
      <c r="F3504" s="129"/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0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on track</v>
      </c>
      <c r="Q3504" s="3">
        <f ca="1">IF(Proc[[#This Row],[DateClosed]]="",ABS(NETWORKDAYS(Proc[[#This Row],[DateOpened]],TODAY()))-1,ABS(NETWORKDAYS(Proc[[#This Row],[DateOpened]],Proc[[#This Row],[DateClosed]]))-1)</f>
        <v>1</v>
      </c>
      <c r="R3504" s="115" t="s">
        <v>515</v>
      </c>
      <c r="S3504" s="129"/>
    </row>
    <row r="3505" spans="1:19">
      <c r="A3505" s="128" t="s">
        <v>5676</v>
      </c>
      <c r="B3505" s="129" t="str">
        <f>IFERROR(VLOOKUP(Proc[[#This Row],[App]],Table2[],3,0),"open")</f>
        <v>open</v>
      </c>
      <c r="C3505" s="128" t="s">
        <v>375</v>
      </c>
      <c r="D3505" t="s">
        <v>5597</v>
      </c>
      <c r="E3505" t="s">
        <v>5675</v>
      </c>
      <c r="F3505" s="129"/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0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on track</v>
      </c>
      <c r="Q3505" s="3">
        <f ca="1">IF(Proc[[#This Row],[DateClosed]]="",ABS(NETWORKDAYS(Proc[[#This Row],[DateOpened]],TODAY()))-1,ABS(NETWORKDAYS(Proc[[#This Row],[DateOpened]],Proc[[#This Row],[DateClosed]]))-1)</f>
        <v>1</v>
      </c>
      <c r="R3505" s="115" t="s">
        <v>515</v>
      </c>
      <c r="S3505" s="129"/>
    </row>
    <row r="3506" spans="1:19">
      <c r="A3506" s="128" t="s">
        <v>5676</v>
      </c>
      <c r="B3506" s="129" t="str">
        <f>IFERROR(VLOOKUP(Proc[[#This Row],[App]],Table2[],3,0),"open")</f>
        <v>open</v>
      </c>
      <c r="C3506" s="128" t="s">
        <v>375</v>
      </c>
      <c r="D3506" t="s">
        <v>5598</v>
      </c>
      <c r="E3506" t="s">
        <v>5675</v>
      </c>
      <c r="F3506" s="129"/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0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on track</v>
      </c>
      <c r="Q3506" s="3">
        <f ca="1">IF(Proc[[#This Row],[DateClosed]]="",ABS(NETWORKDAYS(Proc[[#This Row],[DateOpened]],TODAY()))-1,ABS(NETWORKDAYS(Proc[[#This Row],[DateOpened]],Proc[[#This Row],[DateClosed]]))-1)</f>
        <v>1</v>
      </c>
      <c r="R3506" s="115" t="s">
        <v>515</v>
      </c>
      <c r="S3506" s="129"/>
    </row>
    <row r="3507" spans="1:19">
      <c r="A3507" s="128" t="s">
        <v>5676</v>
      </c>
      <c r="B3507" s="129" t="str">
        <f>IFERROR(VLOOKUP(Proc[[#This Row],[App]],Table2[],3,0),"open")</f>
        <v>open</v>
      </c>
      <c r="C3507" s="128" t="s">
        <v>375</v>
      </c>
      <c r="D3507" t="s">
        <v>5599</v>
      </c>
      <c r="E3507" t="s">
        <v>5675</v>
      </c>
      <c r="F3507" s="129"/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0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on track</v>
      </c>
      <c r="Q3507" s="3">
        <f ca="1">IF(Proc[[#This Row],[DateClosed]]="",ABS(NETWORKDAYS(Proc[[#This Row],[DateOpened]],TODAY()))-1,ABS(NETWORKDAYS(Proc[[#This Row],[DateOpened]],Proc[[#This Row],[DateClosed]]))-1)</f>
        <v>1</v>
      </c>
      <c r="R3507" s="115" t="s">
        <v>515</v>
      </c>
      <c r="S3507" s="129"/>
    </row>
    <row r="3508" spans="1:19">
      <c r="A3508" s="128" t="s">
        <v>5676</v>
      </c>
      <c r="B3508" s="129" t="str">
        <f>IFERROR(VLOOKUP(Proc[[#This Row],[App]],Table2[],3,0),"open")</f>
        <v>open</v>
      </c>
      <c r="C3508" s="128" t="s">
        <v>375</v>
      </c>
      <c r="D3508" t="s">
        <v>5600</v>
      </c>
      <c r="E3508" t="s">
        <v>5675</v>
      </c>
      <c r="F3508" s="129"/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0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on track</v>
      </c>
      <c r="Q3508" s="3">
        <f ca="1">IF(Proc[[#This Row],[DateClosed]]="",ABS(NETWORKDAYS(Proc[[#This Row],[DateOpened]],TODAY()))-1,ABS(NETWORKDAYS(Proc[[#This Row],[DateOpened]],Proc[[#This Row],[DateClosed]]))-1)</f>
        <v>1</v>
      </c>
      <c r="R3508" s="115" t="s">
        <v>515</v>
      </c>
      <c r="S3508" s="129"/>
    </row>
    <row r="3509" spans="1:19">
      <c r="A3509" s="128" t="s">
        <v>5676</v>
      </c>
      <c r="B3509" s="129" t="str">
        <f>IFERROR(VLOOKUP(Proc[[#This Row],[App]],Table2[],3,0),"open")</f>
        <v>open</v>
      </c>
      <c r="C3509" s="128" t="s">
        <v>375</v>
      </c>
      <c r="D3509" t="s">
        <v>5601</v>
      </c>
      <c r="E3509" t="s">
        <v>5675</v>
      </c>
      <c r="F3509" s="129"/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0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on track</v>
      </c>
      <c r="Q3509" s="3">
        <f ca="1">IF(Proc[[#This Row],[DateClosed]]="",ABS(NETWORKDAYS(Proc[[#This Row],[DateOpened]],TODAY()))-1,ABS(NETWORKDAYS(Proc[[#This Row],[DateOpened]],Proc[[#This Row],[DateClosed]]))-1)</f>
        <v>1</v>
      </c>
      <c r="R3509" s="115" t="s">
        <v>515</v>
      </c>
      <c r="S3509" s="129"/>
    </row>
    <row r="3510" spans="1:19">
      <c r="A3510" s="128" t="s">
        <v>5676</v>
      </c>
      <c r="B3510" s="129" t="str">
        <f>IFERROR(VLOOKUP(Proc[[#This Row],[App]],Table2[],3,0),"open")</f>
        <v>open</v>
      </c>
      <c r="C3510" s="128" t="s">
        <v>375</v>
      </c>
      <c r="D3510" t="s">
        <v>5602</v>
      </c>
      <c r="E3510" t="s">
        <v>5675</v>
      </c>
      <c r="F3510" s="129"/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0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on track</v>
      </c>
      <c r="Q3510" s="3">
        <f ca="1">IF(Proc[[#This Row],[DateClosed]]="",ABS(NETWORKDAYS(Proc[[#This Row],[DateOpened]],TODAY()))-1,ABS(NETWORKDAYS(Proc[[#This Row],[DateOpened]],Proc[[#This Row],[DateClosed]]))-1)</f>
        <v>1</v>
      </c>
      <c r="R3510" s="115" t="s">
        <v>515</v>
      </c>
      <c r="S3510" s="129"/>
    </row>
    <row r="3511" spans="1:19">
      <c r="A3511" s="128" t="s">
        <v>5676</v>
      </c>
      <c r="B3511" s="129" t="str">
        <f>IFERROR(VLOOKUP(Proc[[#This Row],[App]],Table2[],3,0),"open")</f>
        <v>open</v>
      </c>
      <c r="C3511" s="128" t="s">
        <v>375</v>
      </c>
      <c r="D3511" t="s">
        <v>5603</v>
      </c>
      <c r="E3511" t="s">
        <v>5675</v>
      </c>
      <c r="F3511" s="129"/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0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on track</v>
      </c>
      <c r="Q3511" s="3">
        <f ca="1">IF(Proc[[#This Row],[DateClosed]]="",ABS(NETWORKDAYS(Proc[[#This Row],[DateOpened]],TODAY()))-1,ABS(NETWORKDAYS(Proc[[#This Row],[DateOpened]],Proc[[#This Row],[DateClosed]]))-1)</f>
        <v>1</v>
      </c>
      <c r="R3511" s="115" t="s">
        <v>515</v>
      </c>
      <c r="S3511" s="129"/>
    </row>
    <row r="3512" spans="1:19">
      <c r="A3512" s="128" t="s">
        <v>5676</v>
      </c>
      <c r="B3512" s="129" t="str">
        <f>IFERROR(VLOOKUP(Proc[[#This Row],[App]],Table2[],3,0),"open")</f>
        <v>open</v>
      </c>
      <c r="C3512" s="128" t="s">
        <v>375</v>
      </c>
      <c r="D3512" t="s">
        <v>5604</v>
      </c>
      <c r="E3512" t="s">
        <v>5675</v>
      </c>
      <c r="F3512" s="129"/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0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on track</v>
      </c>
      <c r="Q3512" s="3">
        <f ca="1">IF(Proc[[#This Row],[DateClosed]]="",ABS(NETWORKDAYS(Proc[[#This Row],[DateOpened]],TODAY()))-1,ABS(NETWORKDAYS(Proc[[#This Row],[DateOpened]],Proc[[#This Row],[DateClosed]]))-1)</f>
        <v>1</v>
      </c>
      <c r="R3512" s="115" t="s">
        <v>515</v>
      </c>
      <c r="S3512" s="129"/>
    </row>
    <row r="3513" spans="1:19">
      <c r="A3513" s="128" t="s">
        <v>5676</v>
      </c>
      <c r="B3513" s="129" t="str">
        <f>IFERROR(VLOOKUP(Proc[[#This Row],[App]],Table2[],3,0),"open")</f>
        <v>open</v>
      </c>
      <c r="C3513" s="128" t="s">
        <v>375</v>
      </c>
      <c r="D3513" t="s">
        <v>5605</v>
      </c>
      <c r="E3513" t="s">
        <v>5675</v>
      </c>
      <c r="F3513" s="129"/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0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on track</v>
      </c>
      <c r="Q3513" s="3">
        <f ca="1">IF(Proc[[#This Row],[DateClosed]]="",ABS(NETWORKDAYS(Proc[[#This Row],[DateOpened]],TODAY()))-1,ABS(NETWORKDAYS(Proc[[#This Row],[DateOpened]],Proc[[#This Row],[DateClosed]]))-1)</f>
        <v>1</v>
      </c>
      <c r="R3513" s="115" t="s">
        <v>515</v>
      </c>
      <c r="S3513" s="129"/>
    </row>
    <row r="3514" spans="1:19">
      <c r="A3514" s="128" t="s">
        <v>5676</v>
      </c>
      <c r="B3514" s="129" t="str">
        <f>IFERROR(VLOOKUP(Proc[[#This Row],[App]],Table2[],3,0),"open")</f>
        <v>open</v>
      </c>
      <c r="C3514" s="128" t="s">
        <v>375</v>
      </c>
      <c r="D3514" t="s">
        <v>5606</v>
      </c>
      <c r="E3514" t="s">
        <v>5675</v>
      </c>
      <c r="F3514" s="129"/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0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on track</v>
      </c>
      <c r="Q3514" s="3">
        <f ca="1">IF(Proc[[#This Row],[DateClosed]]="",ABS(NETWORKDAYS(Proc[[#This Row],[DateOpened]],TODAY()))-1,ABS(NETWORKDAYS(Proc[[#This Row],[DateOpened]],Proc[[#This Row],[DateClosed]]))-1)</f>
        <v>1</v>
      </c>
      <c r="R3514" s="115" t="s">
        <v>515</v>
      </c>
      <c r="S3514" s="129"/>
    </row>
    <row r="3515" spans="1:19">
      <c r="A3515" s="128" t="s">
        <v>5676</v>
      </c>
      <c r="B3515" s="129" t="str">
        <f>IFERROR(VLOOKUP(Proc[[#This Row],[App]],Table2[],3,0),"open")</f>
        <v>open</v>
      </c>
      <c r="C3515" s="128" t="s">
        <v>375</v>
      </c>
      <c r="D3515" t="s">
        <v>5607</v>
      </c>
      <c r="E3515" t="s">
        <v>5675</v>
      </c>
      <c r="F3515" s="129"/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0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on track</v>
      </c>
      <c r="Q3515" s="3">
        <f ca="1">IF(Proc[[#This Row],[DateClosed]]="",ABS(NETWORKDAYS(Proc[[#This Row],[DateOpened]],TODAY()))-1,ABS(NETWORKDAYS(Proc[[#This Row],[DateOpened]],Proc[[#This Row],[DateClosed]]))-1)</f>
        <v>1</v>
      </c>
      <c r="R3515" s="115" t="s">
        <v>515</v>
      </c>
      <c r="S3515" s="129"/>
    </row>
    <row r="3516" spans="1:19">
      <c r="A3516" s="128" t="s">
        <v>5676</v>
      </c>
      <c r="B3516" s="129" t="str">
        <f>IFERROR(VLOOKUP(Proc[[#This Row],[App]],Table2[],3,0),"open")</f>
        <v>open</v>
      </c>
      <c r="C3516" s="128" t="s">
        <v>375</v>
      </c>
      <c r="D3516" t="s">
        <v>5608</v>
      </c>
      <c r="E3516" t="s">
        <v>5675</v>
      </c>
      <c r="F3516" s="129"/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0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on track</v>
      </c>
      <c r="Q3516" s="3">
        <f ca="1">IF(Proc[[#This Row],[DateClosed]]="",ABS(NETWORKDAYS(Proc[[#This Row],[DateOpened]],TODAY()))-1,ABS(NETWORKDAYS(Proc[[#This Row],[DateOpened]],Proc[[#This Row],[DateClosed]]))-1)</f>
        <v>1</v>
      </c>
      <c r="R3516" s="115" t="s">
        <v>515</v>
      </c>
      <c r="S3516" s="129"/>
    </row>
    <row r="3517" spans="1:19">
      <c r="A3517" s="128" t="s">
        <v>5676</v>
      </c>
      <c r="B3517" s="129" t="str">
        <f>IFERROR(VLOOKUP(Proc[[#This Row],[App]],Table2[],3,0),"open")</f>
        <v>open</v>
      </c>
      <c r="C3517" s="128" t="s">
        <v>375</v>
      </c>
      <c r="D3517" t="s">
        <v>5609</v>
      </c>
      <c r="E3517" t="s">
        <v>5675</v>
      </c>
      <c r="F3517" s="129"/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0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on track</v>
      </c>
      <c r="Q3517" s="3">
        <f ca="1">IF(Proc[[#This Row],[DateClosed]]="",ABS(NETWORKDAYS(Proc[[#This Row],[DateOpened]],TODAY()))-1,ABS(NETWORKDAYS(Proc[[#This Row],[DateOpened]],Proc[[#This Row],[DateClosed]]))-1)</f>
        <v>1</v>
      </c>
      <c r="R3517" s="115" t="s">
        <v>515</v>
      </c>
      <c r="S3517" s="129"/>
    </row>
    <row r="3518" spans="1:19">
      <c r="A3518" s="128" t="s">
        <v>5676</v>
      </c>
      <c r="B3518" s="129" t="str">
        <f>IFERROR(VLOOKUP(Proc[[#This Row],[App]],Table2[],3,0),"open")</f>
        <v>open</v>
      </c>
      <c r="C3518" s="128" t="s">
        <v>375</v>
      </c>
      <c r="D3518" t="s">
        <v>5610</v>
      </c>
      <c r="E3518" t="s">
        <v>5675</v>
      </c>
      <c r="F3518" s="129"/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0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on track</v>
      </c>
      <c r="Q3518" s="3">
        <f ca="1">IF(Proc[[#This Row],[DateClosed]]="",ABS(NETWORKDAYS(Proc[[#This Row],[DateOpened]],TODAY()))-1,ABS(NETWORKDAYS(Proc[[#This Row],[DateOpened]],Proc[[#This Row],[DateClosed]]))-1)</f>
        <v>1</v>
      </c>
      <c r="R3518" s="115" t="s">
        <v>515</v>
      </c>
      <c r="S3518" s="129"/>
    </row>
    <row r="3519" spans="1:19">
      <c r="A3519" s="128" t="s">
        <v>5676</v>
      </c>
      <c r="B3519" s="129" t="str">
        <f>IFERROR(VLOOKUP(Proc[[#This Row],[App]],Table2[],3,0),"open")</f>
        <v>open</v>
      </c>
      <c r="C3519" s="128" t="s">
        <v>375</v>
      </c>
      <c r="D3519" t="s">
        <v>5611</v>
      </c>
      <c r="E3519" t="s">
        <v>5675</v>
      </c>
      <c r="F3519" s="129"/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0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on track</v>
      </c>
      <c r="Q3519" s="3">
        <f ca="1">IF(Proc[[#This Row],[DateClosed]]="",ABS(NETWORKDAYS(Proc[[#This Row],[DateOpened]],TODAY()))-1,ABS(NETWORKDAYS(Proc[[#This Row],[DateOpened]],Proc[[#This Row],[DateClosed]]))-1)</f>
        <v>1</v>
      </c>
      <c r="R3519" s="115" t="s">
        <v>515</v>
      </c>
      <c r="S3519" s="129"/>
    </row>
    <row r="3520" spans="1:19">
      <c r="A3520" s="128" t="s">
        <v>5676</v>
      </c>
      <c r="B3520" s="129" t="str">
        <f>IFERROR(VLOOKUP(Proc[[#This Row],[App]],Table2[],3,0),"open")</f>
        <v>open</v>
      </c>
      <c r="C3520" s="128" t="s">
        <v>375</v>
      </c>
      <c r="D3520" t="s">
        <v>5612</v>
      </c>
      <c r="E3520" t="s">
        <v>5675</v>
      </c>
      <c r="F3520" s="129"/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0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on track</v>
      </c>
      <c r="Q3520" s="3">
        <f ca="1">IF(Proc[[#This Row],[DateClosed]]="",ABS(NETWORKDAYS(Proc[[#This Row],[DateOpened]],TODAY()))-1,ABS(NETWORKDAYS(Proc[[#This Row],[DateOpened]],Proc[[#This Row],[DateClosed]]))-1)</f>
        <v>1</v>
      </c>
      <c r="R3520" s="115" t="s">
        <v>515</v>
      </c>
      <c r="S3520" s="129"/>
    </row>
    <row r="3521" spans="1:19">
      <c r="A3521" s="128" t="s">
        <v>5676</v>
      </c>
      <c r="B3521" s="129" t="str">
        <f>IFERROR(VLOOKUP(Proc[[#This Row],[App]],Table2[],3,0),"open")</f>
        <v>open</v>
      </c>
      <c r="C3521" s="128" t="s">
        <v>375</v>
      </c>
      <c r="D3521" t="s">
        <v>5613</v>
      </c>
      <c r="E3521" t="s">
        <v>5675</v>
      </c>
      <c r="F3521" s="129"/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0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on track</v>
      </c>
      <c r="Q3521" s="3">
        <f ca="1">IF(Proc[[#This Row],[DateClosed]]="",ABS(NETWORKDAYS(Proc[[#This Row],[DateOpened]],TODAY()))-1,ABS(NETWORKDAYS(Proc[[#This Row],[DateOpened]],Proc[[#This Row],[DateClosed]]))-1)</f>
        <v>1</v>
      </c>
      <c r="R3521" s="115" t="s">
        <v>515</v>
      </c>
      <c r="S3521" s="129"/>
    </row>
    <row r="3522" spans="1:19">
      <c r="A3522" s="128" t="s">
        <v>5676</v>
      </c>
      <c r="B3522" s="129" t="str">
        <f>IFERROR(VLOOKUP(Proc[[#This Row],[App]],Table2[],3,0),"open")</f>
        <v>open</v>
      </c>
      <c r="C3522" s="128" t="s">
        <v>375</v>
      </c>
      <c r="D3522" t="s">
        <v>5614</v>
      </c>
      <c r="E3522" t="s">
        <v>5675</v>
      </c>
      <c r="F3522" s="129"/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0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on track</v>
      </c>
      <c r="Q3522" s="3">
        <f ca="1">IF(Proc[[#This Row],[DateClosed]]="",ABS(NETWORKDAYS(Proc[[#This Row],[DateOpened]],TODAY()))-1,ABS(NETWORKDAYS(Proc[[#This Row],[DateOpened]],Proc[[#This Row],[DateClosed]]))-1)</f>
        <v>1</v>
      </c>
      <c r="R3522" s="115" t="s">
        <v>515</v>
      </c>
      <c r="S3522" s="129"/>
    </row>
    <row r="3523" spans="1:19">
      <c r="A3523" s="128" t="s">
        <v>5676</v>
      </c>
      <c r="B3523" s="129" t="str">
        <f>IFERROR(VLOOKUP(Proc[[#This Row],[App]],Table2[],3,0),"open")</f>
        <v>open</v>
      </c>
      <c r="C3523" s="128" t="s">
        <v>375</v>
      </c>
      <c r="D3523" t="s">
        <v>5615</v>
      </c>
      <c r="E3523" t="s">
        <v>5675</v>
      </c>
      <c r="F3523" s="129"/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0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on track</v>
      </c>
      <c r="Q3523" s="3">
        <f ca="1">IF(Proc[[#This Row],[DateClosed]]="",ABS(NETWORKDAYS(Proc[[#This Row],[DateOpened]],TODAY()))-1,ABS(NETWORKDAYS(Proc[[#This Row],[DateOpened]],Proc[[#This Row],[DateClosed]]))-1)</f>
        <v>1</v>
      </c>
      <c r="R3523" s="115" t="s">
        <v>515</v>
      </c>
      <c r="S3523" s="129"/>
    </row>
    <row r="3524" spans="1:19">
      <c r="A3524" s="128" t="s">
        <v>5676</v>
      </c>
      <c r="B3524" s="129" t="str">
        <f>IFERROR(VLOOKUP(Proc[[#This Row],[App]],Table2[],3,0),"open")</f>
        <v>open</v>
      </c>
      <c r="C3524" s="128" t="s">
        <v>375</v>
      </c>
      <c r="D3524" t="s">
        <v>5616</v>
      </c>
      <c r="E3524" t="s">
        <v>5675</v>
      </c>
      <c r="F3524" s="129"/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0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on track</v>
      </c>
      <c r="Q3524" s="3">
        <f ca="1">IF(Proc[[#This Row],[DateClosed]]="",ABS(NETWORKDAYS(Proc[[#This Row],[DateOpened]],TODAY()))-1,ABS(NETWORKDAYS(Proc[[#This Row],[DateOpened]],Proc[[#This Row],[DateClosed]]))-1)</f>
        <v>1</v>
      </c>
      <c r="R3524" s="115" t="s">
        <v>515</v>
      </c>
      <c r="S3524" s="129"/>
    </row>
    <row r="3525" spans="1:19">
      <c r="A3525" s="128" t="s">
        <v>5676</v>
      </c>
      <c r="B3525" s="129" t="str">
        <f>IFERROR(VLOOKUP(Proc[[#This Row],[App]],Table2[],3,0),"open")</f>
        <v>open</v>
      </c>
      <c r="C3525" s="128" t="s">
        <v>375</v>
      </c>
      <c r="D3525" t="s">
        <v>5617</v>
      </c>
      <c r="E3525" t="s">
        <v>5675</v>
      </c>
      <c r="F3525" s="129"/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0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on track</v>
      </c>
      <c r="Q3525" s="3">
        <f ca="1">IF(Proc[[#This Row],[DateClosed]]="",ABS(NETWORKDAYS(Proc[[#This Row],[DateOpened]],TODAY()))-1,ABS(NETWORKDAYS(Proc[[#This Row],[DateOpened]],Proc[[#This Row],[DateClosed]]))-1)</f>
        <v>1</v>
      </c>
      <c r="R3525" s="115" t="s">
        <v>515</v>
      </c>
      <c r="S3525" s="129"/>
    </row>
    <row r="3526" spans="1:19">
      <c r="A3526" s="128" t="s">
        <v>5676</v>
      </c>
      <c r="B3526" s="129" t="str">
        <f>IFERROR(VLOOKUP(Proc[[#This Row],[App]],Table2[],3,0),"open")</f>
        <v>open</v>
      </c>
      <c r="C3526" s="128" t="s">
        <v>375</v>
      </c>
      <c r="D3526" t="s">
        <v>5618</v>
      </c>
      <c r="E3526" t="s">
        <v>5675</v>
      </c>
      <c r="F3526" s="129"/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0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on track</v>
      </c>
      <c r="Q3526" s="3">
        <f ca="1">IF(Proc[[#This Row],[DateClosed]]="",ABS(NETWORKDAYS(Proc[[#This Row],[DateOpened]],TODAY()))-1,ABS(NETWORKDAYS(Proc[[#This Row],[DateOpened]],Proc[[#This Row],[DateClosed]]))-1)</f>
        <v>1</v>
      </c>
      <c r="R3526" s="115" t="s">
        <v>515</v>
      </c>
      <c r="S3526" s="129"/>
    </row>
    <row r="3527" spans="1:19">
      <c r="A3527" s="128" t="s">
        <v>5676</v>
      </c>
      <c r="B3527" s="129" t="str">
        <f>IFERROR(VLOOKUP(Proc[[#This Row],[App]],Table2[],3,0),"open")</f>
        <v>open</v>
      </c>
      <c r="C3527" s="128" t="s">
        <v>375</v>
      </c>
      <c r="D3527" t="s">
        <v>5619</v>
      </c>
      <c r="E3527" t="s">
        <v>5675</v>
      </c>
      <c r="F3527" s="129"/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0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on track</v>
      </c>
      <c r="Q3527" s="3">
        <f ca="1">IF(Proc[[#This Row],[DateClosed]]="",ABS(NETWORKDAYS(Proc[[#This Row],[DateOpened]],TODAY()))-1,ABS(NETWORKDAYS(Proc[[#This Row],[DateOpened]],Proc[[#This Row],[DateClosed]]))-1)</f>
        <v>1</v>
      </c>
      <c r="R3527" s="115" t="s">
        <v>515</v>
      </c>
      <c r="S3527" s="129"/>
    </row>
    <row r="3528" spans="1:19">
      <c r="A3528" s="128" t="s">
        <v>5676</v>
      </c>
      <c r="B3528" s="129" t="str">
        <f>IFERROR(VLOOKUP(Proc[[#This Row],[App]],Table2[],3,0),"open")</f>
        <v>open</v>
      </c>
      <c r="C3528" s="128" t="s">
        <v>375</v>
      </c>
      <c r="D3528" t="s">
        <v>5620</v>
      </c>
      <c r="E3528" t="s">
        <v>5675</v>
      </c>
      <c r="F3528" s="129"/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0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on track</v>
      </c>
      <c r="Q3528" s="3">
        <f ca="1">IF(Proc[[#This Row],[DateClosed]]="",ABS(NETWORKDAYS(Proc[[#This Row],[DateOpened]],TODAY()))-1,ABS(NETWORKDAYS(Proc[[#This Row],[DateOpened]],Proc[[#This Row],[DateClosed]]))-1)</f>
        <v>1</v>
      </c>
      <c r="R3528" s="115" t="s">
        <v>515</v>
      </c>
      <c r="S3528" s="129"/>
    </row>
    <row r="3529" spans="1:19">
      <c r="A3529" s="128" t="s">
        <v>5676</v>
      </c>
      <c r="B3529" s="129" t="str">
        <f>IFERROR(VLOOKUP(Proc[[#This Row],[App]],Table2[],3,0),"open")</f>
        <v>open</v>
      </c>
      <c r="C3529" s="128" t="s">
        <v>375</v>
      </c>
      <c r="D3529" t="s">
        <v>5621</v>
      </c>
      <c r="E3529" t="s">
        <v>5675</v>
      </c>
      <c r="F3529" s="129"/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0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on track</v>
      </c>
      <c r="Q3529" s="3">
        <f ca="1">IF(Proc[[#This Row],[DateClosed]]="",ABS(NETWORKDAYS(Proc[[#This Row],[DateOpened]],TODAY()))-1,ABS(NETWORKDAYS(Proc[[#This Row],[DateOpened]],Proc[[#This Row],[DateClosed]]))-1)</f>
        <v>1</v>
      </c>
      <c r="R3529" s="115" t="s">
        <v>515</v>
      </c>
      <c r="S3529" s="129"/>
    </row>
    <row r="3530" spans="1:19">
      <c r="A3530" s="128" t="s">
        <v>5676</v>
      </c>
      <c r="B3530" s="129" t="str">
        <f>IFERROR(VLOOKUP(Proc[[#This Row],[App]],Table2[],3,0),"open")</f>
        <v>open</v>
      </c>
      <c r="C3530" s="128" t="s">
        <v>375</v>
      </c>
      <c r="D3530" t="s">
        <v>5622</v>
      </c>
      <c r="E3530" t="s">
        <v>5675</v>
      </c>
      <c r="F3530" s="129"/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0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on track</v>
      </c>
      <c r="Q3530" s="3">
        <f ca="1">IF(Proc[[#This Row],[DateClosed]]="",ABS(NETWORKDAYS(Proc[[#This Row],[DateOpened]],TODAY()))-1,ABS(NETWORKDAYS(Proc[[#This Row],[DateOpened]],Proc[[#This Row],[DateClosed]]))-1)</f>
        <v>1</v>
      </c>
      <c r="R3530" s="115" t="s">
        <v>515</v>
      </c>
      <c r="S3530" s="129"/>
    </row>
    <row r="3531" spans="1:19">
      <c r="A3531" s="128" t="s">
        <v>5676</v>
      </c>
      <c r="B3531" s="129" t="str">
        <f>IFERROR(VLOOKUP(Proc[[#This Row],[App]],Table2[],3,0),"open")</f>
        <v>open</v>
      </c>
      <c r="C3531" s="128" t="s">
        <v>375</v>
      </c>
      <c r="D3531" t="s">
        <v>5623</v>
      </c>
      <c r="E3531" t="s">
        <v>5675</v>
      </c>
      <c r="F3531" s="129"/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0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on track</v>
      </c>
      <c r="Q3531" s="3">
        <f ca="1">IF(Proc[[#This Row],[DateClosed]]="",ABS(NETWORKDAYS(Proc[[#This Row],[DateOpened]],TODAY()))-1,ABS(NETWORKDAYS(Proc[[#This Row],[DateOpened]],Proc[[#This Row],[DateClosed]]))-1)</f>
        <v>1</v>
      </c>
      <c r="R3531" s="115" t="s">
        <v>515</v>
      </c>
      <c r="S3531" s="129"/>
    </row>
    <row r="3532" spans="1:19">
      <c r="A3532" s="128" t="s">
        <v>5676</v>
      </c>
      <c r="B3532" s="129" t="str">
        <f>IFERROR(VLOOKUP(Proc[[#This Row],[App]],Table2[],3,0),"open")</f>
        <v>open</v>
      </c>
      <c r="C3532" s="128" t="s">
        <v>375</v>
      </c>
      <c r="D3532" t="s">
        <v>5624</v>
      </c>
      <c r="E3532" t="s">
        <v>5675</v>
      </c>
      <c r="F3532" s="129"/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0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on track</v>
      </c>
      <c r="Q3532" s="3">
        <f ca="1">IF(Proc[[#This Row],[DateClosed]]="",ABS(NETWORKDAYS(Proc[[#This Row],[DateOpened]],TODAY()))-1,ABS(NETWORKDAYS(Proc[[#This Row],[DateOpened]],Proc[[#This Row],[DateClosed]]))-1)</f>
        <v>1</v>
      </c>
      <c r="R3532" s="115" t="s">
        <v>515</v>
      </c>
      <c r="S3532" s="129"/>
    </row>
    <row r="3533" spans="1:19">
      <c r="A3533" s="128" t="s">
        <v>5676</v>
      </c>
      <c r="B3533" s="129" t="str">
        <f>IFERROR(VLOOKUP(Proc[[#This Row],[App]],Table2[],3,0),"open")</f>
        <v>open</v>
      </c>
      <c r="C3533" s="128" t="s">
        <v>375</v>
      </c>
      <c r="D3533" t="s">
        <v>5625</v>
      </c>
      <c r="E3533" t="s">
        <v>5675</v>
      </c>
      <c r="F3533" s="129"/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0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on track</v>
      </c>
      <c r="Q3533" s="3">
        <f ca="1">IF(Proc[[#This Row],[DateClosed]]="",ABS(NETWORKDAYS(Proc[[#This Row],[DateOpened]],TODAY()))-1,ABS(NETWORKDAYS(Proc[[#This Row],[DateOpened]],Proc[[#This Row],[DateClosed]]))-1)</f>
        <v>1</v>
      </c>
      <c r="R3533" s="115" t="s">
        <v>515</v>
      </c>
      <c r="S3533" s="129"/>
    </row>
    <row r="3534" spans="1:19">
      <c r="A3534" s="128" t="s">
        <v>5676</v>
      </c>
      <c r="B3534" s="129" t="str">
        <f>IFERROR(VLOOKUP(Proc[[#This Row],[App]],Table2[],3,0),"open")</f>
        <v>open</v>
      </c>
      <c r="C3534" s="128" t="s">
        <v>375</v>
      </c>
      <c r="D3534" t="s">
        <v>5626</v>
      </c>
      <c r="E3534" t="s">
        <v>5675</v>
      </c>
      <c r="F3534" s="129"/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0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on track</v>
      </c>
      <c r="Q3534" s="3">
        <f ca="1">IF(Proc[[#This Row],[DateClosed]]="",ABS(NETWORKDAYS(Proc[[#This Row],[DateOpened]],TODAY()))-1,ABS(NETWORKDAYS(Proc[[#This Row],[DateOpened]],Proc[[#This Row],[DateClosed]]))-1)</f>
        <v>1</v>
      </c>
      <c r="R3534" s="115" t="s">
        <v>515</v>
      </c>
      <c r="S3534" s="129"/>
    </row>
    <row r="3535" spans="1:19">
      <c r="A3535" s="128" t="s">
        <v>5676</v>
      </c>
      <c r="B3535" s="129" t="str">
        <f>IFERROR(VLOOKUP(Proc[[#This Row],[App]],Table2[],3,0),"open")</f>
        <v>open</v>
      </c>
      <c r="C3535" s="128" t="s">
        <v>375</v>
      </c>
      <c r="D3535" t="s">
        <v>5627</v>
      </c>
      <c r="E3535" t="s">
        <v>5675</v>
      </c>
      <c r="F3535" s="129"/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0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on track</v>
      </c>
      <c r="Q3535" s="3">
        <f ca="1">IF(Proc[[#This Row],[DateClosed]]="",ABS(NETWORKDAYS(Proc[[#This Row],[DateOpened]],TODAY()))-1,ABS(NETWORKDAYS(Proc[[#This Row],[DateOpened]],Proc[[#This Row],[DateClosed]]))-1)</f>
        <v>1</v>
      </c>
      <c r="R3535" s="115" t="s">
        <v>515</v>
      </c>
      <c r="S3535" s="129"/>
    </row>
    <row r="3536" spans="1:19">
      <c r="A3536" s="128" t="s">
        <v>5676</v>
      </c>
      <c r="B3536" s="129" t="str">
        <f>IFERROR(VLOOKUP(Proc[[#This Row],[App]],Table2[],3,0),"open")</f>
        <v>open</v>
      </c>
      <c r="C3536" s="128" t="s">
        <v>375</v>
      </c>
      <c r="D3536" t="s">
        <v>5628</v>
      </c>
      <c r="E3536" t="s">
        <v>5675</v>
      </c>
      <c r="F3536" s="129"/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0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on track</v>
      </c>
      <c r="Q3536" s="3">
        <f ca="1">IF(Proc[[#This Row],[DateClosed]]="",ABS(NETWORKDAYS(Proc[[#This Row],[DateOpened]],TODAY()))-1,ABS(NETWORKDAYS(Proc[[#This Row],[DateOpened]],Proc[[#This Row],[DateClosed]]))-1)</f>
        <v>1</v>
      </c>
      <c r="R3536" s="115" t="s">
        <v>515</v>
      </c>
      <c r="S3536" s="129"/>
    </row>
    <row r="3537" spans="1:19">
      <c r="A3537" s="128" t="s">
        <v>5676</v>
      </c>
      <c r="B3537" s="129" t="str">
        <f>IFERROR(VLOOKUP(Proc[[#This Row],[App]],Table2[],3,0),"open")</f>
        <v>open</v>
      </c>
      <c r="C3537" s="128" t="s">
        <v>375</v>
      </c>
      <c r="D3537" t="s">
        <v>5629</v>
      </c>
      <c r="E3537" t="s">
        <v>5675</v>
      </c>
      <c r="F3537" s="129"/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0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on track</v>
      </c>
      <c r="Q3537" s="3">
        <f ca="1">IF(Proc[[#This Row],[DateClosed]]="",ABS(NETWORKDAYS(Proc[[#This Row],[DateOpened]],TODAY()))-1,ABS(NETWORKDAYS(Proc[[#This Row],[DateOpened]],Proc[[#This Row],[DateClosed]]))-1)</f>
        <v>1</v>
      </c>
      <c r="R3537" s="115" t="s">
        <v>515</v>
      </c>
      <c r="S3537" s="129"/>
    </row>
    <row r="3538" spans="1:19">
      <c r="A3538" s="128" t="s">
        <v>5676</v>
      </c>
      <c r="B3538" s="129" t="str">
        <f>IFERROR(VLOOKUP(Proc[[#This Row],[App]],Table2[],3,0),"open")</f>
        <v>open</v>
      </c>
      <c r="C3538" s="128" t="s">
        <v>375</v>
      </c>
      <c r="D3538" t="s">
        <v>5630</v>
      </c>
      <c r="E3538" t="s">
        <v>5675</v>
      </c>
      <c r="F3538" s="129"/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0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on track</v>
      </c>
      <c r="Q3538" s="3">
        <f ca="1">IF(Proc[[#This Row],[DateClosed]]="",ABS(NETWORKDAYS(Proc[[#This Row],[DateOpened]],TODAY()))-1,ABS(NETWORKDAYS(Proc[[#This Row],[DateOpened]],Proc[[#This Row],[DateClosed]]))-1)</f>
        <v>1</v>
      </c>
      <c r="R3538" s="115" t="s">
        <v>515</v>
      </c>
      <c r="S3538" s="129"/>
    </row>
    <row r="3539" spans="1:19" hidden="1">
      <c r="A3539" s="128" t="s">
        <v>5676</v>
      </c>
      <c r="B3539" s="129" t="str">
        <f>IFERROR(VLOOKUP(Proc[[#This Row],[App]],Table2[],3,0),"open")</f>
        <v>open</v>
      </c>
      <c r="C3539" s="128" t="s">
        <v>370</v>
      </c>
      <c r="D3539" t="s">
        <v>5631</v>
      </c>
      <c r="E3539" t="s">
        <v>5675</v>
      </c>
      <c r="F3539" s="129"/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0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on track</v>
      </c>
      <c r="Q3539" s="3">
        <f ca="1">IF(Proc[[#This Row],[DateClosed]]="",ABS(NETWORKDAYS(Proc[[#This Row],[DateOpened]],TODAY()))-1,ABS(NETWORKDAYS(Proc[[#This Row],[DateOpened]],Proc[[#This Row],[DateClosed]]))-1)</f>
        <v>1</v>
      </c>
      <c r="R3539" s="115" t="s">
        <v>515</v>
      </c>
      <c r="S3539" s="129"/>
    </row>
    <row r="3540" spans="1:19" hidden="1">
      <c r="A3540" s="128" t="s">
        <v>5676</v>
      </c>
      <c r="B3540" s="129" t="str">
        <f>IFERROR(VLOOKUP(Proc[[#This Row],[App]],Table2[],3,0),"open")</f>
        <v>open</v>
      </c>
      <c r="C3540" s="128" t="s">
        <v>370</v>
      </c>
      <c r="D3540" t="s">
        <v>5632</v>
      </c>
      <c r="E3540" t="s">
        <v>5675</v>
      </c>
      <c r="F3540" s="129"/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0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on track</v>
      </c>
      <c r="Q3540" s="3">
        <f ca="1">IF(Proc[[#This Row],[DateClosed]]="",ABS(NETWORKDAYS(Proc[[#This Row],[DateOpened]],TODAY()))-1,ABS(NETWORKDAYS(Proc[[#This Row],[DateOpened]],Proc[[#This Row],[DateClosed]]))-1)</f>
        <v>1</v>
      </c>
      <c r="R3540" s="115" t="s">
        <v>515</v>
      </c>
      <c r="S3540" s="129"/>
    </row>
    <row r="3541" spans="1:19" hidden="1">
      <c r="A3541" s="128" t="s">
        <v>5676</v>
      </c>
      <c r="B3541" s="129" t="str">
        <f>IFERROR(VLOOKUP(Proc[[#This Row],[App]],Table2[],3,0),"open")</f>
        <v>open</v>
      </c>
      <c r="C3541" s="128" t="s">
        <v>370</v>
      </c>
      <c r="D3541" t="s">
        <v>5633</v>
      </c>
      <c r="E3541" t="s">
        <v>5675</v>
      </c>
      <c r="F3541" s="129"/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0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on track</v>
      </c>
      <c r="Q3541" s="3">
        <f ca="1">IF(Proc[[#This Row],[DateClosed]]="",ABS(NETWORKDAYS(Proc[[#This Row],[DateOpened]],TODAY()))-1,ABS(NETWORKDAYS(Proc[[#This Row],[DateOpened]],Proc[[#This Row],[DateClosed]]))-1)</f>
        <v>1</v>
      </c>
      <c r="R3541" s="115" t="s">
        <v>515</v>
      </c>
      <c r="S3541" s="129"/>
    </row>
    <row r="3542" spans="1:19" hidden="1">
      <c r="A3542" s="128" t="s">
        <v>5676</v>
      </c>
      <c r="B3542" s="129" t="str">
        <f>IFERROR(VLOOKUP(Proc[[#This Row],[App]],Table2[],3,0),"open")</f>
        <v>open</v>
      </c>
      <c r="C3542" s="128" t="s">
        <v>370</v>
      </c>
      <c r="D3542" t="s">
        <v>5634</v>
      </c>
      <c r="E3542" t="s">
        <v>5675</v>
      </c>
      <c r="F3542" s="129"/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0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on track</v>
      </c>
      <c r="Q3542" s="3">
        <f ca="1">IF(Proc[[#This Row],[DateClosed]]="",ABS(NETWORKDAYS(Proc[[#This Row],[DateOpened]],TODAY()))-1,ABS(NETWORKDAYS(Proc[[#This Row],[DateOpened]],Proc[[#This Row],[DateClosed]]))-1)</f>
        <v>1</v>
      </c>
      <c r="R3542" s="115" t="s">
        <v>515</v>
      </c>
      <c r="S3542" s="129"/>
    </row>
    <row r="3543" spans="1:19" hidden="1">
      <c r="A3543" s="128" t="s">
        <v>5676</v>
      </c>
      <c r="B3543" s="129" t="str">
        <f>IFERROR(VLOOKUP(Proc[[#This Row],[App]],Table2[],3,0),"open")</f>
        <v>open</v>
      </c>
      <c r="C3543" s="128" t="s">
        <v>370</v>
      </c>
      <c r="D3543" t="s">
        <v>5635</v>
      </c>
      <c r="E3543" t="s">
        <v>5675</v>
      </c>
      <c r="F3543" s="129"/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0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on track</v>
      </c>
      <c r="Q3543" s="3">
        <f ca="1">IF(Proc[[#This Row],[DateClosed]]="",ABS(NETWORKDAYS(Proc[[#This Row],[DateOpened]],TODAY()))-1,ABS(NETWORKDAYS(Proc[[#This Row],[DateOpened]],Proc[[#This Row],[DateClosed]]))-1)</f>
        <v>1</v>
      </c>
      <c r="R3543" s="115" t="s">
        <v>515</v>
      </c>
      <c r="S3543" s="129"/>
    </row>
    <row r="3544" spans="1:19" hidden="1">
      <c r="A3544" s="128" t="s">
        <v>5676</v>
      </c>
      <c r="B3544" s="129" t="str">
        <f>IFERROR(VLOOKUP(Proc[[#This Row],[App]],Table2[],3,0),"open")</f>
        <v>open</v>
      </c>
      <c r="C3544" s="128" t="s">
        <v>370</v>
      </c>
      <c r="D3544" t="s">
        <v>5636</v>
      </c>
      <c r="E3544" t="s">
        <v>5675</v>
      </c>
      <c r="F3544" s="129"/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0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on track</v>
      </c>
      <c r="Q3544" s="3">
        <f ca="1">IF(Proc[[#This Row],[DateClosed]]="",ABS(NETWORKDAYS(Proc[[#This Row],[DateOpened]],TODAY()))-1,ABS(NETWORKDAYS(Proc[[#This Row],[DateOpened]],Proc[[#This Row],[DateClosed]]))-1)</f>
        <v>1</v>
      </c>
      <c r="R3544" s="115" t="s">
        <v>515</v>
      </c>
      <c r="S3544" s="129"/>
    </row>
    <row r="3545" spans="1:19" hidden="1">
      <c r="A3545" s="128" t="s">
        <v>5676</v>
      </c>
      <c r="B3545" s="129" t="str">
        <f>IFERROR(VLOOKUP(Proc[[#This Row],[App]],Table2[],3,0),"open")</f>
        <v>open</v>
      </c>
      <c r="C3545" s="128" t="s">
        <v>370</v>
      </c>
      <c r="D3545" t="s">
        <v>5637</v>
      </c>
      <c r="E3545" t="s">
        <v>5675</v>
      </c>
      <c r="F3545" s="129"/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0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on track</v>
      </c>
      <c r="Q3545" s="3">
        <f ca="1">IF(Proc[[#This Row],[DateClosed]]="",ABS(NETWORKDAYS(Proc[[#This Row],[DateOpened]],TODAY()))-1,ABS(NETWORKDAYS(Proc[[#This Row],[DateOpened]],Proc[[#This Row],[DateClosed]]))-1)</f>
        <v>1</v>
      </c>
      <c r="R3545" s="115" t="s">
        <v>515</v>
      </c>
      <c r="S3545" s="129"/>
    </row>
    <row r="3546" spans="1:19" hidden="1">
      <c r="A3546" s="128" t="s">
        <v>5676</v>
      </c>
      <c r="B3546" s="129" t="str">
        <f>IFERROR(VLOOKUP(Proc[[#This Row],[App]],Table2[],3,0),"open")</f>
        <v>open</v>
      </c>
      <c r="C3546" s="128" t="s">
        <v>370</v>
      </c>
      <c r="D3546" t="s">
        <v>5638</v>
      </c>
      <c r="E3546" t="s">
        <v>5675</v>
      </c>
      <c r="F3546" s="129"/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0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on track</v>
      </c>
      <c r="Q3546" s="3">
        <f ca="1">IF(Proc[[#This Row],[DateClosed]]="",ABS(NETWORKDAYS(Proc[[#This Row],[DateOpened]],TODAY()))-1,ABS(NETWORKDAYS(Proc[[#This Row],[DateOpened]],Proc[[#This Row],[DateClosed]]))-1)</f>
        <v>1</v>
      </c>
      <c r="R3546" s="115" t="s">
        <v>515</v>
      </c>
      <c r="S3546" s="129"/>
    </row>
    <row r="3547" spans="1:19" hidden="1">
      <c r="A3547" s="128" t="s">
        <v>5676</v>
      </c>
      <c r="B3547" s="129" t="str">
        <f>IFERROR(VLOOKUP(Proc[[#This Row],[App]],Table2[],3,0),"open")</f>
        <v>open</v>
      </c>
      <c r="C3547" s="128" t="s">
        <v>370</v>
      </c>
      <c r="D3547" t="s">
        <v>5639</v>
      </c>
      <c r="E3547" t="s">
        <v>5675</v>
      </c>
      <c r="F3547" s="129"/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0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on track</v>
      </c>
      <c r="Q3547" s="3">
        <f ca="1">IF(Proc[[#This Row],[DateClosed]]="",ABS(NETWORKDAYS(Proc[[#This Row],[DateOpened]],TODAY()))-1,ABS(NETWORKDAYS(Proc[[#This Row],[DateOpened]],Proc[[#This Row],[DateClosed]]))-1)</f>
        <v>1</v>
      </c>
      <c r="R3547" s="115" t="s">
        <v>515</v>
      </c>
      <c r="S3547" s="129"/>
    </row>
    <row r="3548" spans="1:19" hidden="1">
      <c r="A3548" s="128" t="s">
        <v>5676</v>
      </c>
      <c r="B3548" s="129" t="str">
        <f>IFERROR(VLOOKUP(Proc[[#This Row],[App]],Table2[],3,0),"open")</f>
        <v>open</v>
      </c>
      <c r="C3548" s="128" t="s">
        <v>370</v>
      </c>
      <c r="D3548" t="s">
        <v>5640</v>
      </c>
      <c r="E3548" t="s">
        <v>5675</v>
      </c>
      <c r="F3548" s="129"/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0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on track</v>
      </c>
      <c r="Q3548" s="3">
        <f ca="1">IF(Proc[[#This Row],[DateClosed]]="",ABS(NETWORKDAYS(Proc[[#This Row],[DateOpened]],TODAY()))-1,ABS(NETWORKDAYS(Proc[[#This Row],[DateOpened]],Proc[[#This Row],[DateClosed]]))-1)</f>
        <v>1</v>
      </c>
      <c r="R3548" s="115" t="s">
        <v>515</v>
      </c>
      <c r="S3548" s="129"/>
    </row>
    <row r="3549" spans="1:19" hidden="1">
      <c r="A3549" s="128" t="s">
        <v>5676</v>
      </c>
      <c r="B3549" s="129" t="str">
        <f>IFERROR(VLOOKUP(Proc[[#This Row],[App]],Table2[],3,0),"open")</f>
        <v>open</v>
      </c>
      <c r="C3549" s="128" t="s">
        <v>370</v>
      </c>
      <c r="D3549" t="s">
        <v>5641</v>
      </c>
      <c r="E3549" t="s">
        <v>5675</v>
      </c>
      <c r="F3549" s="129"/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0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on track</v>
      </c>
      <c r="Q3549" s="3">
        <f ca="1">IF(Proc[[#This Row],[DateClosed]]="",ABS(NETWORKDAYS(Proc[[#This Row],[DateOpened]],TODAY()))-1,ABS(NETWORKDAYS(Proc[[#This Row],[DateOpened]],Proc[[#This Row],[DateClosed]]))-1)</f>
        <v>1</v>
      </c>
      <c r="R3549" s="115" t="s">
        <v>515</v>
      </c>
      <c r="S3549" s="129"/>
    </row>
    <row r="3550" spans="1:19" hidden="1">
      <c r="A3550" s="128" t="s">
        <v>5676</v>
      </c>
      <c r="B3550" s="129" t="str">
        <f>IFERROR(VLOOKUP(Proc[[#This Row],[App]],Table2[],3,0),"open")</f>
        <v>open</v>
      </c>
      <c r="C3550" s="128" t="s">
        <v>370</v>
      </c>
      <c r="D3550" t="s">
        <v>5642</v>
      </c>
      <c r="E3550" t="s">
        <v>5675</v>
      </c>
      <c r="F3550" s="129"/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0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on track</v>
      </c>
      <c r="Q3550" s="3">
        <f ca="1">IF(Proc[[#This Row],[DateClosed]]="",ABS(NETWORKDAYS(Proc[[#This Row],[DateOpened]],TODAY()))-1,ABS(NETWORKDAYS(Proc[[#This Row],[DateOpened]],Proc[[#This Row],[DateClosed]]))-1)</f>
        <v>1</v>
      </c>
      <c r="R3550" s="115" t="s">
        <v>515</v>
      </c>
      <c r="S3550" s="129"/>
    </row>
    <row r="3551" spans="1:19" hidden="1">
      <c r="A3551" s="128" t="s">
        <v>5676</v>
      </c>
      <c r="B3551" s="129" t="str">
        <f>IFERROR(VLOOKUP(Proc[[#This Row],[App]],Table2[],3,0),"open")</f>
        <v>open</v>
      </c>
      <c r="C3551" s="128" t="s">
        <v>370</v>
      </c>
      <c r="D3551" t="s">
        <v>5643</v>
      </c>
      <c r="E3551" t="s">
        <v>5675</v>
      </c>
      <c r="F3551" s="129"/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0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on track</v>
      </c>
      <c r="Q3551" s="3">
        <f ca="1">IF(Proc[[#This Row],[DateClosed]]="",ABS(NETWORKDAYS(Proc[[#This Row],[DateOpened]],TODAY()))-1,ABS(NETWORKDAYS(Proc[[#This Row],[DateOpened]],Proc[[#This Row],[DateClosed]]))-1)</f>
        <v>1</v>
      </c>
      <c r="R3551" s="115" t="s">
        <v>515</v>
      </c>
      <c r="S3551" s="129"/>
    </row>
    <row r="3552" spans="1:19" hidden="1">
      <c r="A3552" s="128" t="s">
        <v>5676</v>
      </c>
      <c r="B3552" s="129" t="str">
        <f>IFERROR(VLOOKUP(Proc[[#This Row],[App]],Table2[],3,0),"open")</f>
        <v>open</v>
      </c>
      <c r="C3552" s="128" t="s">
        <v>370</v>
      </c>
      <c r="D3552" t="s">
        <v>5644</v>
      </c>
      <c r="E3552" t="s">
        <v>5675</v>
      </c>
      <c r="F3552" s="129"/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0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on track</v>
      </c>
      <c r="Q3552" s="3">
        <f ca="1">IF(Proc[[#This Row],[DateClosed]]="",ABS(NETWORKDAYS(Proc[[#This Row],[DateOpened]],TODAY()))-1,ABS(NETWORKDAYS(Proc[[#This Row],[DateOpened]],Proc[[#This Row],[DateClosed]]))-1)</f>
        <v>1</v>
      </c>
      <c r="R3552" s="115" t="s">
        <v>515</v>
      </c>
      <c r="S3552" s="129"/>
    </row>
    <row r="3553" spans="1:19" hidden="1">
      <c r="A3553" s="128" t="s">
        <v>5676</v>
      </c>
      <c r="B3553" s="129" t="str">
        <f>IFERROR(VLOOKUP(Proc[[#This Row],[App]],Table2[],3,0),"open")</f>
        <v>open</v>
      </c>
      <c r="C3553" s="128" t="s">
        <v>370</v>
      </c>
      <c r="D3553" t="s">
        <v>5645</v>
      </c>
      <c r="E3553" t="s">
        <v>5675</v>
      </c>
      <c r="F3553" s="129"/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0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on track</v>
      </c>
      <c r="Q3553" s="3">
        <f ca="1">IF(Proc[[#This Row],[DateClosed]]="",ABS(NETWORKDAYS(Proc[[#This Row],[DateOpened]],TODAY()))-1,ABS(NETWORKDAYS(Proc[[#This Row],[DateOpened]],Proc[[#This Row],[DateClosed]]))-1)</f>
        <v>1</v>
      </c>
      <c r="R3553" s="115" t="s">
        <v>515</v>
      </c>
      <c r="S3553" s="129"/>
    </row>
    <row r="3554" spans="1:19" hidden="1">
      <c r="A3554" s="128" t="s">
        <v>5676</v>
      </c>
      <c r="B3554" s="129" t="str">
        <f>IFERROR(VLOOKUP(Proc[[#This Row],[App]],Table2[],3,0),"open")</f>
        <v>open</v>
      </c>
      <c r="C3554" s="128" t="s">
        <v>370</v>
      </c>
      <c r="D3554" t="s">
        <v>5646</v>
      </c>
      <c r="E3554" t="s">
        <v>5675</v>
      </c>
      <c r="F3554" s="129"/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0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on track</v>
      </c>
      <c r="Q3554" s="3">
        <f ca="1">IF(Proc[[#This Row],[DateClosed]]="",ABS(NETWORKDAYS(Proc[[#This Row],[DateOpened]],TODAY()))-1,ABS(NETWORKDAYS(Proc[[#This Row],[DateOpened]],Proc[[#This Row],[DateClosed]]))-1)</f>
        <v>1</v>
      </c>
      <c r="R3554" s="115" t="s">
        <v>515</v>
      </c>
      <c r="S3554" s="129"/>
    </row>
    <row r="3555" spans="1:19" hidden="1">
      <c r="A3555" s="128" t="s">
        <v>5676</v>
      </c>
      <c r="B3555" s="129" t="str">
        <f>IFERROR(VLOOKUP(Proc[[#This Row],[App]],Table2[],3,0),"open")</f>
        <v>open</v>
      </c>
      <c r="C3555" s="128" t="s">
        <v>370</v>
      </c>
      <c r="D3555" t="s">
        <v>5647</v>
      </c>
      <c r="E3555" t="s">
        <v>5675</v>
      </c>
      <c r="F3555" s="129"/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0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on track</v>
      </c>
      <c r="Q3555" s="3">
        <f ca="1">IF(Proc[[#This Row],[DateClosed]]="",ABS(NETWORKDAYS(Proc[[#This Row],[DateOpened]],TODAY()))-1,ABS(NETWORKDAYS(Proc[[#This Row],[DateOpened]],Proc[[#This Row],[DateClosed]]))-1)</f>
        <v>1</v>
      </c>
      <c r="R3555" s="115" t="s">
        <v>515</v>
      </c>
      <c r="S3555" s="129"/>
    </row>
    <row r="3556" spans="1:19" hidden="1">
      <c r="A3556" s="128" t="s">
        <v>5676</v>
      </c>
      <c r="B3556" s="129" t="str">
        <f>IFERROR(VLOOKUP(Proc[[#This Row],[App]],Table2[],3,0),"open")</f>
        <v>open</v>
      </c>
      <c r="C3556" s="128" t="s">
        <v>370</v>
      </c>
      <c r="D3556" t="s">
        <v>5648</v>
      </c>
      <c r="E3556" t="s">
        <v>5675</v>
      </c>
      <c r="F3556" s="129"/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0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on track</v>
      </c>
      <c r="Q3556" s="3">
        <f ca="1">IF(Proc[[#This Row],[DateClosed]]="",ABS(NETWORKDAYS(Proc[[#This Row],[DateOpened]],TODAY()))-1,ABS(NETWORKDAYS(Proc[[#This Row],[DateOpened]],Proc[[#This Row],[DateClosed]]))-1)</f>
        <v>1</v>
      </c>
      <c r="R3556" s="115" t="s">
        <v>515</v>
      </c>
      <c r="S3556" s="129"/>
    </row>
    <row r="3557" spans="1:19" hidden="1">
      <c r="A3557" s="128" t="s">
        <v>5676</v>
      </c>
      <c r="B3557" s="129" t="str">
        <f>IFERROR(VLOOKUP(Proc[[#This Row],[App]],Table2[],3,0),"open")</f>
        <v>open</v>
      </c>
      <c r="C3557" s="128" t="s">
        <v>370</v>
      </c>
      <c r="D3557" t="s">
        <v>5649</v>
      </c>
      <c r="E3557" t="s">
        <v>5675</v>
      </c>
      <c r="F3557" s="129"/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0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on track</v>
      </c>
      <c r="Q3557" s="3">
        <f ca="1">IF(Proc[[#This Row],[DateClosed]]="",ABS(NETWORKDAYS(Proc[[#This Row],[DateOpened]],TODAY()))-1,ABS(NETWORKDAYS(Proc[[#This Row],[DateOpened]],Proc[[#This Row],[DateClosed]]))-1)</f>
        <v>1</v>
      </c>
      <c r="R3557" s="115" t="s">
        <v>515</v>
      </c>
      <c r="S3557" s="129"/>
    </row>
    <row r="3558" spans="1:19" hidden="1">
      <c r="A3558" s="128" t="s">
        <v>5676</v>
      </c>
      <c r="B3558" s="129" t="str">
        <f>IFERROR(VLOOKUP(Proc[[#This Row],[App]],Table2[],3,0),"open")</f>
        <v>open</v>
      </c>
      <c r="C3558" s="128" t="s">
        <v>370</v>
      </c>
      <c r="D3558" t="s">
        <v>5650</v>
      </c>
      <c r="E3558" t="s">
        <v>5675</v>
      </c>
      <c r="F3558" s="129"/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0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on track</v>
      </c>
      <c r="Q3558" s="3">
        <f ca="1">IF(Proc[[#This Row],[DateClosed]]="",ABS(NETWORKDAYS(Proc[[#This Row],[DateOpened]],TODAY()))-1,ABS(NETWORKDAYS(Proc[[#This Row],[DateOpened]],Proc[[#This Row],[DateClosed]]))-1)</f>
        <v>1</v>
      </c>
      <c r="R3558" s="115" t="s">
        <v>515</v>
      </c>
      <c r="S3558" s="129"/>
    </row>
    <row r="3559" spans="1:19" hidden="1">
      <c r="A3559" s="128" t="s">
        <v>5676</v>
      </c>
      <c r="B3559" s="129" t="str">
        <f>IFERROR(VLOOKUP(Proc[[#This Row],[App]],Table2[],3,0),"open")</f>
        <v>open</v>
      </c>
      <c r="C3559" s="128" t="s">
        <v>370</v>
      </c>
      <c r="D3559" t="s">
        <v>5651</v>
      </c>
      <c r="E3559" t="s">
        <v>5675</v>
      </c>
      <c r="F3559" s="129"/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0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on track</v>
      </c>
      <c r="Q3559" s="3">
        <f ca="1">IF(Proc[[#This Row],[DateClosed]]="",ABS(NETWORKDAYS(Proc[[#This Row],[DateOpened]],TODAY()))-1,ABS(NETWORKDAYS(Proc[[#This Row],[DateOpened]],Proc[[#This Row],[DateClosed]]))-1)</f>
        <v>1</v>
      </c>
      <c r="R3559" s="115" t="s">
        <v>515</v>
      </c>
      <c r="S3559" s="129"/>
    </row>
    <row r="3560" spans="1:19" hidden="1">
      <c r="A3560" s="128" t="s">
        <v>5676</v>
      </c>
      <c r="B3560" s="129" t="str">
        <f>IFERROR(VLOOKUP(Proc[[#This Row],[App]],Table2[],3,0),"open")</f>
        <v>open</v>
      </c>
      <c r="C3560" s="128" t="s">
        <v>370</v>
      </c>
      <c r="D3560" t="s">
        <v>5652</v>
      </c>
      <c r="E3560" t="s">
        <v>5675</v>
      </c>
      <c r="F3560" s="129"/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0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on track</v>
      </c>
      <c r="Q3560" s="3">
        <f ca="1">IF(Proc[[#This Row],[DateClosed]]="",ABS(NETWORKDAYS(Proc[[#This Row],[DateOpened]],TODAY()))-1,ABS(NETWORKDAYS(Proc[[#This Row],[DateOpened]],Proc[[#This Row],[DateClosed]]))-1)</f>
        <v>1</v>
      </c>
      <c r="R3560" s="115" t="s">
        <v>515</v>
      </c>
      <c r="S3560" s="129"/>
    </row>
    <row r="3561" spans="1:19" hidden="1">
      <c r="A3561" s="128" t="s">
        <v>5676</v>
      </c>
      <c r="B3561" s="129" t="str">
        <f>IFERROR(VLOOKUP(Proc[[#This Row],[App]],Table2[],3,0),"open")</f>
        <v>open</v>
      </c>
      <c r="C3561" s="128" t="s">
        <v>370</v>
      </c>
      <c r="D3561" t="s">
        <v>5653</v>
      </c>
      <c r="E3561" t="s">
        <v>5675</v>
      </c>
      <c r="F3561" s="129"/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0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on track</v>
      </c>
      <c r="Q3561" s="3">
        <f ca="1">IF(Proc[[#This Row],[DateClosed]]="",ABS(NETWORKDAYS(Proc[[#This Row],[DateOpened]],TODAY()))-1,ABS(NETWORKDAYS(Proc[[#This Row],[DateOpened]],Proc[[#This Row],[DateClosed]]))-1)</f>
        <v>1</v>
      </c>
      <c r="R3561" s="115" t="s">
        <v>515</v>
      </c>
      <c r="S3561" s="129"/>
    </row>
    <row r="3562" spans="1:19" hidden="1">
      <c r="A3562" s="128" t="s">
        <v>5676</v>
      </c>
      <c r="B3562" s="129" t="str">
        <f>IFERROR(VLOOKUP(Proc[[#This Row],[App]],Table2[],3,0),"open")</f>
        <v>open</v>
      </c>
      <c r="C3562" s="128" t="s">
        <v>370</v>
      </c>
      <c r="D3562" t="s">
        <v>5654</v>
      </c>
      <c r="E3562" t="s">
        <v>5675</v>
      </c>
      <c r="F3562" s="129"/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0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on track</v>
      </c>
      <c r="Q3562" s="3">
        <f ca="1">IF(Proc[[#This Row],[DateClosed]]="",ABS(NETWORKDAYS(Proc[[#This Row],[DateOpened]],TODAY()))-1,ABS(NETWORKDAYS(Proc[[#This Row],[DateOpened]],Proc[[#This Row],[DateClosed]]))-1)</f>
        <v>1</v>
      </c>
      <c r="R3562" s="115" t="s">
        <v>515</v>
      </c>
      <c r="S3562" s="129"/>
    </row>
    <row r="3563" spans="1:19" hidden="1">
      <c r="A3563" s="128" t="s">
        <v>5676</v>
      </c>
      <c r="B3563" s="129" t="str">
        <f>IFERROR(VLOOKUP(Proc[[#This Row],[App]],Table2[],3,0),"open")</f>
        <v>open</v>
      </c>
      <c r="C3563" s="128" t="s">
        <v>370</v>
      </c>
      <c r="D3563" t="s">
        <v>5655</v>
      </c>
      <c r="E3563" t="s">
        <v>5675</v>
      </c>
      <c r="F3563" s="129"/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0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on track</v>
      </c>
      <c r="Q3563" s="3">
        <f ca="1">IF(Proc[[#This Row],[DateClosed]]="",ABS(NETWORKDAYS(Proc[[#This Row],[DateOpened]],TODAY()))-1,ABS(NETWORKDAYS(Proc[[#This Row],[DateOpened]],Proc[[#This Row],[DateClosed]]))-1)</f>
        <v>1</v>
      </c>
      <c r="R3563" s="115" t="s">
        <v>515</v>
      </c>
      <c r="S3563" s="129"/>
    </row>
    <row r="3564" spans="1:19" hidden="1">
      <c r="A3564" s="128" t="s">
        <v>5676</v>
      </c>
      <c r="B3564" s="129" t="str">
        <f>IFERROR(VLOOKUP(Proc[[#This Row],[App]],Table2[],3,0),"open")</f>
        <v>open</v>
      </c>
      <c r="C3564" s="128" t="s">
        <v>370</v>
      </c>
      <c r="D3564" t="s">
        <v>5656</v>
      </c>
      <c r="E3564" t="s">
        <v>5675</v>
      </c>
      <c r="F3564" s="129"/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0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on track</v>
      </c>
      <c r="Q3564" s="3">
        <f ca="1">IF(Proc[[#This Row],[DateClosed]]="",ABS(NETWORKDAYS(Proc[[#This Row],[DateOpened]],TODAY()))-1,ABS(NETWORKDAYS(Proc[[#This Row],[DateOpened]],Proc[[#This Row],[DateClosed]]))-1)</f>
        <v>1</v>
      </c>
      <c r="R3564" s="115" t="s">
        <v>515</v>
      </c>
      <c r="S3564" s="129"/>
    </row>
    <row r="3565" spans="1:19" hidden="1">
      <c r="A3565" s="128" t="s">
        <v>5676</v>
      </c>
      <c r="B3565" s="129" t="str">
        <f>IFERROR(VLOOKUP(Proc[[#This Row],[App]],Table2[],3,0),"open")</f>
        <v>open</v>
      </c>
      <c r="C3565" s="128" t="s">
        <v>370</v>
      </c>
      <c r="D3565" t="s">
        <v>5657</v>
      </c>
      <c r="E3565" t="s">
        <v>5675</v>
      </c>
      <c r="F3565" s="129"/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0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on track</v>
      </c>
      <c r="Q3565" s="3">
        <f ca="1">IF(Proc[[#This Row],[DateClosed]]="",ABS(NETWORKDAYS(Proc[[#This Row],[DateOpened]],TODAY()))-1,ABS(NETWORKDAYS(Proc[[#This Row],[DateOpened]],Proc[[#This Row],[DateClosed]]))-1)</f>
        <v>1</v>
      </c>
      <c r="R3565" s="115" t="s">
        <v>515</v>
      </c>
      <c r="S3565" s="129"/>
    </row>
    <row r="3566" spans="1:19" hidden="1">
      <c r="A3566" s="128" t="s">
        <v>5676</v>
      </c>
      <c r="B3566" s="129" t="str">
        <f>IFERROR(VLOOKUP(Proc[[#This Row],[App]],Table2[],3,0),"open")</f>
        <v>open</v>
      </c>
      <c r="C3566" s="128" t="s">
        <v>370</v>
      </c>
      <c r="D3566" t="s">
        <v>5658</v>
      </c>
      <c r="E3566" t="s">
        <v>5675</v>
      </c>
      <c r="F3566" s="129"/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0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on track</v>
      </c>
      <c r="Q3566" s="3">
        <f ca="1">IF(Proc[[#This Row],[DateClosed]]="",ABS(NETWORKDAYS(Proc[[#This Row],[DateOpened]],TODAY()))-1,ABS(NETWORKDAYS(Proc[[#This Row],[DateOpened]],Proc[[#This Row],[DateClosed]]))-1)</f>
        <v>1</v>
      </c>
      <c r="R3566" s="115" t="s">
        <v>515</v>
      </c>
      <c r="S3566" s="129"/>
    </row>
    <row r="3567" spans="1:19" hidden="1">
      <c r="A3567" s="128" t="s">
        <v>5676</v>
      </c>
      <c r="B3567" s="129" t="str">
        <f>IFERROR(VLOOKUP(Proc[[#This Row],[App]],Table2[],3,0),"open")</f>
        <v>open</v>
      </c>
      <c r="C3567" s="128" t="s">
        <v>370</v>
      </c>
      <c r="D3567" t="s">
        <v>5659</v>
      </c>
      <c r="E3567" t="s">
        <v>5675</v>
      </c>
      <c r="F3567" s="129"/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0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on track</v>
      </c>
      <c r="Q3567" s="3">
        <f ca="1">IF(Proc[[#This Row],[DateClosed]]="",ABS(NETWORKDAYS(Proc[[#This Row],[DateOpened]],TODAY()))-1,ABS(NETWORKDAYS(Proc[[#This Row],[DateOpened]],Proc[[#This Row],[DateClosed]]))-1)</f>
        <v>1</v>
      </c>
      <c r="R3567" s="115" t="s">
        <v>515</v>
      </c>
      <c r="S3567" s="129"/>
    </row>
    <row r="3568" spans="1:19" hidden="1">
      <c r="A3568" s="128" t="s">
        <v>5676</v>
      </c>
      <c r="B3568" s="129" t="str">
        <f>IFERROR(VLOOKUP(Proc[[#This Row],[App]],Table2[],3,0),"open")</f>
        <v>open</v>
      </c>
      <c r="C3568" s="128" t="s">
        <v>370</v>
      </c>
      <c r="D3568" t="s">
        <v>5660</v>
      </c>
      <c r="E3568" t="s">
        <v>5675</v>
      </c>
      <c r="F3568" s="129"/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0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on track</v>
      </c>
      <c r="Q3568" s="3">
        <f ca="1">IF(Proc[[#This Row],[DateClosed]]="",ABS(NETWORKDAYS(Proc[[#This Row],[DateOpened]],TODAY()))-1,ABS(NETWORKDAYS(Proc[[#This Row],[DateOpened]],Proc[[#This Row],[DateClosed]]))-1)</f>
        <v>1</v>
      </c>
      <c r="R3568" s="115" t="s">
        <v>515</v>
      </c>
      <c r="S3568" s="129"/>
    </row>
    <row r="3569" spans="1:19" hidden="1">
      <c r="A3569" s="128" t="s">
        <v>5676</v>
      </c>
      <c r="B3569" s="129" t="str">
        <f>IFERROR(VLOOKUP(Proc[[#This Row],[App]],Table2[],3,0),"open")</f>
        <v>open</v>
      </c>
      <c r="C3569" s="128" t="s">
        <v>370</v>
      </c>
      <c r="D3569" t="s">
        <v>5661</v>
      </c>
      <c r="E3569" t="s">
        <v>5675</v>
      </c>
      <c r="F3569" s="129"/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0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on track</v>
      </c>
      <c r="Q3569" s="3">
        <f ca="1">IF(Proc[[#This Row],[DateClosed]]="",ABS(NETWORKDAYS(Proc[[#This Row],[DateOpened]],TODAY()))-1,ABS(NETWORKDAYS(Proc[[#This Row],[DateOpened]],Proc[[#This Row],[DateClosed]]))-1)</f>
        <v>1</v>
      </c>
      <c r="R3569" s="115" t="s">
        <v>515</v>
      </c>
      <c r="S3569" s="129"/>
    </row>
    <row r="3570" spans="1:19" hidden="1">
      <c r="A3570" s="128" t="s">
        <v>5676</v>
      </c>
      <c r="B3570" s="129" t="str">
        <f>IFERROR(VLOOKUP(Proc[[#This Row],[App]],Table2[],3,0),"open")</f>
        <v>open</v>
      </c>
      <c r="C3570" s="128" t="s">
        <v>370</v>
      </c>
      <c r="D3570" t="s">
        <v>5662</v>
      </c>
      <c r="E3570" t="s">
        <v>5675</v>
      </c>
      <c r="F3570" s="129"/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0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on track</v>
      </c>
      <c r="Q3570" s="3">
        <f ca="1">IF(Proc[[#This Row],[DateClosed]]="",ABS(NETWORKDAYS(Proc[[#This Row],[DateOpened]],TODAY()))-1,ABS(NETWORKDAYS(Proc[[#This Row],[DateOpened]],Proc[[#This Row],[DateClosed]]))-1)</f>
        <v>1</v>
      </c>
      <c r="R3570" s="115" t="s">
        <v>515</v>
      </c>
      <c r="S3570" s="129"/>
    </row>
    <row r="3571" spans="1:19" hidden="1">
      <c r="A3571" s="128" t="s">
        <v>5676</v>
      </c>
      <c r="B3571" s="129" t="str">
        <f>IFERROR(VLOOKUP(Proc[[#This Row],[App]],Table2[],3,0),"open")</f>
        <v>open</v>
      </c>
      <c r="C3571" s="128" t="s">
        <v>370</v>
      </c>
      <c r="D3571" t="s">
        <v>5663</v>
      </c>
      <c r="E3571" t="s">
        <v>5675</v>
      </c>
      <c r="F3571" s="129"/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0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on track</v>
      </c>
      <c r="Q3571" s="3">
        <f ca="1">IF(Proc[[#This Row],[DateClosed]]="",ABS(NETWORKDAYS(Proc[[#This Row],[DateOpened]],TODAY()))-1,ABS(NETWORKDAYS(Proc[[#This Row],[DateOpened]],Proc[[#This Row],[DateClosed]]))-1)</f>
        <v>1</v>
      </c>
      <c r="R3571" s="115" t="s">
        <v>515</v>
      </c>
      <c r="S3571" s="129"/>
    </row>
    <row r="3572" spans="1:19" hidden="1">
      <c r="A3572" s="128" t="s">
        <v>5676</v>
      </c>
      <c r="B3572" s="129" t="str">
        <f>IFERROR(VLOOKUP(Proc[[#This Row],[App]],Table2[],3,0),"open")</f>
        <v>open</v>
      </c>
      <c r="C3572" s="128" t="s">
        <v>370</v>
      </c>
      <c r="D3572" t="s">
        <v>5664</v>
      </c>
      <c r="E3572" t="s">
        <v>5675</v>
      </c>
      <c r="F3572" s="129"/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0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on track</v>
      </c>
      <c r="Q3572" s="3">
        <f ca="1">IF(Proc[[#This Row],[DateClosed]]="",ABS(NETWORKDAYS(Proc[[#This Row],[DateOpened]],TODAY()))-1,ABS(NETWORKDAYS(Proc[[#This Row],[DateOpened]],Proc[[#This Row],[DateClosed]]))-1)</f>
        <v>1</v>
      </c>
      <c r="R3572" s="115" t="s">
        <v>515</v>
      </c>
      <c r="S3572" s="129"/>
    </row>
    <row r="3573" spans="1:19" hidden="1">
      <c r="A3573" s="128" t="s">
        <v>5676</v>
      </c>
      <c r="B3573" s="129" t="str">
        <f>IFERROR(VLOOKUP(Proc[[#This Row],[App]],Table2[],3,0),"open")</f>
        <v>open</v>
      </c>
      <c r="C3573" s="128" t="s">
        <v>370</v>
      </c>
      <c r="D3573" t="s">
        <v>5665</v>
      </c>
      <c r="E3573" t="s">
        <v>5675</v>
      </c>
      <c r="F3573" s="129"/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0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on track</v>
      </c>
      <c r="Q3573" s="3">
        <f ca="1">IF(Proc[[#This Row],[DateClosed]]="",ABS(NETWORKDAYS(Proc[[#This Row],[DateOpened]],TODAY()))-1,ABS(NETWORKDAYS(Proc[[#This Row],[DateOpened]],Proc[[#This Row],[DateClosed]]))-1)</f>
        <v>1</v>
      </c>
      <c r="R3573" s="115" t="s">
        <v>515</v>
      </c>
      <c r="S3573" s="129"/>
    </row>
    <row r="3574" spans="1:19" hidden="1">
      <c r="A3574" s="128" t="s">
        <v>5676</v>
      </c>
      <c r="B3574" s="129" t="str">
        <f>IFERROR(VLOOKUP(Proc[[#This Row],[App]],Table2[],3,0),"open")</f>
        <v>open</v>
      </c>
      <c r="C3574" s="128" t="s">
        <v>370</v>
      </c>
      <c r="D3574" t="s">
        <v>5666</v>
      </c>
      <c r="E3574" t="s">
        <v>5675</v>
      </c>
      <c r="F3574" s="129"/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0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on track</v>
      </c>
      <c r="Q3574" s="3">
        <f ca="1">IF(Proc[[#This Row],[DateClosed]]="",ABS(NETWORKDAYS(Proc[[#This Row],[DateOpened]],TODAY()))-1,ABS(NETWORKDAYS(Proc[[#This Row],[DateOpened]],Proc[[#This Row],[DateClosed]]))-1)</f>
        <v>1</v>
      </c>
      <c r="R3574" s="115" t="s">
        <v>515</v>
      </c>
      <c r="S3574" s="129"/>
    </row>
    <row r="3575" spans="1:19" hidden="1">
      <c r="A3575" s="128" t="s">
        <v>5676</v>
      </c>
      <c r="B3575" s="129" t="str">
        <f>IFERROR(VLOOKUP(Proc[[#This Row],[App]],Table2[],3,0),"open")</f>
        <v>open</v>
      </c>
      <c r="C3575" s="128" t="s">
        <v>370</v>
      </c>
      <c r="D3575" t="s">
        <v>5667</v>
      </c>
      <c r="E3575" t="s">
        <v>5675</v>
      </c>
      <c r="F3575" s="129"/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0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on track</v>
      </c>
      <c r="Q3575" s="3">
        <f ca="1">IF(Proc[[#This Row],[DateClosed]]="",ABS(NETWORKDAYS(Proc[[#This Row],[DateOpened]],TODAY()))-1,ABS(NETWORKDAYS(Proc[[#This Row],[DateOpened]],Proc[[#This Row],[DateClosed]]))-1)</f>
        <v>1</v>
      </c>
      <c r="R3575" s="115" t="s">
        <v>515</v>
      </c>
      <c r="S3575" s="129"/>
    </row>
    <row r="3576" spans="1:19" hidden="1">
      <c r="A3576" s="128" t="s">
        <v>5676</v>
      </c>
      <c r="B3576" s="129" t="str">
        <f>IFERROR(VLOOKUP(Proc[[#This Row],[App]],Table2[],3,0),"open")</f>
        <v>open</v>
      </c>
      <c r="C3576" s="128" t="s">
        <v>370</v>
      </c>
      <c r="D3576" t="s">
        <v>5668</v>
      </c>
      <c r="E3576" t="s">
        <v>5675</v>
      </c>
      <c r="F3576" s="129"/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0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on track</v>
      </c>
      <c r="Q3576" s="3">
        <f ca="1">IF(Proc[[#This Row],[DateClosed]]="",ABS(NETWORKDAYS(Proc[[#This Row],[DateOpened]],TODAY()))-1,ABS(NETWORKDAYS(Proc[[#This Row],[DateOpened]],Proc[[#This Row],[DateClosed]]))-1)</f>
        <v>1</v>
      </c>
      <c r="R3576" s="115" t="s">
        <v>515</v>
      </c>
      <c r="S3576" s="129"/>
    </row>
    <row r="3577" spans="1:19" hidden="1">
      <c r="A3577" s="128" t="s">
        <v>5676</v>
      </c>
      <c r="B3577" s="129" t="str">
        <f>IFERROR(VLOOKUP(Proc[[#This Row],[App]],Table2[],3,0),"open")</f>
        <v>open</v>
      </c>
      <c r="C3577" s="128" t="s">
        <v>370</v>
      </c>
      <c r="D3577" t="s">
        <v>5669</v>
      </c>
      <c r="E3577" t="s">
        <v>5675</v>
      </c>
      <c r="F3577" s="129"/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0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on track</v>
      </c>
      <c r="Q3577" s="3">
        <f ca="1">IF(Proc[[#This Row],[DateClosed]]="",ABS(NETWORKDAYS(Proc[[#This Row],[DateOpened]],TODAY()))-1,ABS(NETWORKDAYS(Proc[[#This Row],[DateOpened]],Proc[[#This Row],[DateClosed]]))-1)</f>
        <v>1</v>
      </c>
      <c r="R3577" s="115" t="s">
        <v>515</v>
      </c>
      <c r="S3577" s="129"/>
    </row>
    <row r="3578" spans="1:19" hidden="1">
      <c r="A3578" s="128" t="s">
        <v>5676</v>
      </c>
      <c r="B3578" s="129" t="str">
        <f>IFERROR(VLOOKUP(Proc[[#This Row],[App]],Table2[],3,0),"open")</f>
        <v>open</v>
      </c>
      <c r="C3578" s="128" t="s">
        <v>370</v>
      </c>
      <c r="D3578" t="s">
        <v>5670</v>
      </c>
      <c r="E3578" t="s">
        <v>5675</v>
      </c>
      <c r="F3578" s="129"/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0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on track</v>
      </c>
      <c r="Q3578" s="3">
        <f ca="1">IF(Proc[[#This Row],[DateClosed]]="",ABS(NETWORKDAYS(Proc[[#This Row],[DateOpened]],TODAY()))-1,ABS(NETWORKDAYS(Proc[[#This Row],[DateOpened]],Proc[[#This Row],[DateClosed]]))-1)</f>
        <v>1</v>
      </c>
      <c r="R3578" s="115" t="s">
        <v>515</v>
      </c>
      <c r="S3578" s="129"/>
    </row>
    <row r="3579" spans="1:19" hidden="1">
      <c r="A3579" s="128" t="s">
        <v>5676</v>
      </c>
      <c r="B3579" s="129" t="str">
        <f>IFERROR(VLOOKUP(Proc[[#This Row],[App]],Table2[],3,0),"open")</f>
        <v>open</v>
      </c>
      <c r="C3579" s="128" t="s">
        <v>370</v>
      </c>
      <c r="D3579" t="s">
        <v>5671</v>
      </c>
      <c r="E3579" t="s">
        <v>5675</v>
      </c>
      <c r="F3579" s="129"/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0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on track</v>
      </c>
      <c r="Q3579" s="3">
        <f ca="1">IF(Proc[[#This Row],[DateClosed]]="",ABS(NETWORKDAYS(Proc[[#This Row],[DateOpened]],TODAY()))-1,ABS(NETWORKDAYS(Proc[[#This Row],[DateOpened]],Proc[[#This Row],[DateClosed]]))-1)</f>
        <v>1</v>
      </c>
      <c r="R3579" s="115" t="s">
        <v>515</v>
      </c>
      <c r="S3579" s="129"/>
    </row>
    <row r="3580" spans="1:19" hidden="1">
      <c r="A3580" s="128" t="s">
        <v>5676</v>
      </c>
      <c r="B3580" s="129" t="str">
        <f>IFERROR(VLOOKUP(Proc[[#This Row],[App]],Table2[],3,0),"open")</f>
        <v>open</v>
      </c>
      <c r="C3580" s="128" t="s">
        <v>370</v>
      </c>
      <c r="D3580" t="s">
        <v>5672</v>
      </c>
      <c r="E3580" t="s">
        <v>5675</v>
      </c>
      <c r="F3580" s="129"/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0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on track</v>
      </c>
      <c r="Q3580" s="3">
        <f ca="1">IF(Proc[[#This Row],[DateClosed]]="",ABS(NETWORKDAYS(Proc[[#This Row],[DateOpened]],TODAY()))-1,ABS(NETWORKDAYS(Proc[[#This Row],[DateOpened]],Proc[[#This Row],[DateClosed]]))-1)</f>
        <v>1</v>
      </c>
      <c r="R3580" s="115" t="s">
        <v>515</v>
      </c>
      <c r="S3580" s="129"/>
    </row>
    <row r="3581" spans="1:19" hidden="1">
      <c r="A3581" s="128" t="s">
        <v>5676</v>
      </c>
      <c r="B3581" s="129" t="str">
        <f>IFERROR(VLOOKUP(Proc[[#This Row],[App]],Table2[],3,0),"open")</f>
        <v>open</v>
      </c>
      <c r="C3581" s="128" t="s">
        <v>370</v>
      </c>
      <c r="D3581" t="s">
        <v>5673</v>
      </c>
      <c r="E3581" t="s">
        <v>5675</v>
      </c>
      <c r="F3581" s="129"/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0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on track</v>
      </c>
      <c r="Q3581" s="3">
        <f ca="1">IF(Proc[[#This Row],[DateClosed]]="",ABS(NETWORKDAYS(Proc[[#This Row],[DateOpened]],TODAY()))-1,ABS(NETWORKDAYS(Proc[[#This Row],[DateOpened]],Proc[[#This Row],[DateClosed]]))-1)</f>
        <v>1</v>
      </c>
      <c r="R3581" s="115" t="s">
        <v>515</v>
      </c>
      <c r="S3581" s="129"/>
    </row>
    <row r="3582" spans="1:19" hidden="1">
      <c r="A3582" t="s">
        <v>5678</v>
      </c>
      <c r="B3582" s="129" t="str">
        <f>IFERROR(VLOOKUP(Proc[[#This Row],[App]],Table2[],3,0),"open")</f>
        <v>open</v>
      </c>
      <c r="C3582" s="128" t="s">
        <v>405</v>
      </c>
      <c r="D3582" t="s">
        <v>5677</v>
      </c>
      <c r="E3582" t="s">
        <v>5679</v>
      </c>
      <c r="F3582" s="129"/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0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on track</v>
      </c>
      <c r="Q3582" s="3">
        <f ca="1">IF(Proc[[#This Row],[DateClosed]]="",ABS(NETWORKDAYS(Proc[[#This Row],[DateOpened]],TODAY()))-1,ABS(NETWORKDAYS(Proc[[#This Row],[DateOpened]],Proc[[#This Row],[DateClosed]]))-1)</f>
        <v>1</v>
      </c>
      <c r="R3582" s="115" t="s">
        <v>1262</v>
      </c>
      <c r="S3582" s="129"/>
    </row>
    <row r="3583" spans="1:19">
      <c r="A3583" t="s">
        <v>5680</v>
      </c>
      <c r="B3583" s="129" t="str">
        <f>IFERROR(VLOOKUP(Proc[[#This Row],[App]],Table2[],3,0),"open")</f>
        <v>open</v>
      </c>
      <c r="C3583" t="s">
        <v>5687</v>
      </c>
      <c r="D3583" t="s">
        <v>5681</v>
      </c>
      <c r="E3583" t="s">
        <v>5688</v>
      </c>
      <c r="F3583" s="129"/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0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on track</v>
      </c>
      <c r="Q3583" s="3">
        <f ca="1">IF(Proc[[#This Row],[DateClosed]]="",ABS(NETWORKDAYS(Proc[[#This Row],[DateOpened]],TODAY()))-1,ABS(NETWORKDAYS(Proc[[#This Row],[DateOpened]],Proc[[#This Row],[DateClosed]]))-1)</f>
        <v>0</v>
      </c>
      <c r="R3583" s="130" t="s">
        <v>5691</v>
      </c>
      <c r="S3583" s="129"/>
    </row>
    <row r="3584" spans="1:19">
      <c r="A3584" s="128" t="s">
        <v>5680</v>
      </c>
      <c r="B3584" s="129" t="str">
        <f>IFERROR(VLOOKUP(Proc[[#This Row],[App]],Table2[],3,0),"open")</f>
        <v>open</v>
      </c>
      <c r="C3584" s="128" t="s">
        <v>5687</v>
      </c>
      <c r="D3584" t="s">
        <v>5682</v>
      </c>
      <c r="E3584" t="s">
        <v>5689</v>
      </c>
      <c r="F3584" s="129"/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0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on track</v>
      </c>
      <c r="Q3584" s="3">
        <f ca="1">IF(Proc[[#This Row],[DateClosed]]="",ABS(NETWORKDAYS(Proc[[#This Row],[DateOpened]],TODAY()))-1,ABS(NETWORKDAYS(Proc[[#This Row],[DateOpened]],Proc[[#This Row],[DateClosed]]))-1)</f>
        <v>0</v>
      </c>
      <c r="R3584" s="130" t="s">
        <v>5691</v>
      </c>
      <c r="S3584" s="129"/>
    </row>
    <row r="3585" spans="1:19">
      <c r="A3585" s="128" t="s">
        <v>5680</v>
      </c>
      <c r="B3585" s="129" t="str">
        <f>IFERROR(VLOOKUP(Proc[[#This Row],[App]],Table2[],3,0),"open")</f>
        <v>open</v>
      </c>
      <c r="C3585" s="128" t="s">
        <v>5687</v>
      </c>
      <c r="D3585" t="s">
        <v>5683</v>
      </c>
      <c r="E3585" t="s">
        <v>5689</v>
      </c>
      <c r="F3585" s="129"/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0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on track</v>
      </c>
      <c r="Q3585" s="3">
        <f ca="1">IF(Proc[[#This Row],[DateClosed]]="",ABS(NETWORKDAYS(Proc[[#This Row],[DateOpened]],TODAY()))-1,ABS(NETWORKDAYS(Proc[[#This Row],[DateOpened]],Proc[[#This Row],[DateClosed]]))-1)</f>
        <v>0</v>
      </c>
      <c r="R3585" s="130" t="s">
        <v>5691</v>
      </c>
      <c r="S3585" s="129"/>
    </row>
    <row r="3586" spans="1:19">
      <c r="A3586" s="128" t="s">
        <v>5680</v>
      </c>
      <c r="B3586" s="129" t="str">
        <f>IFERROR(VLOOKUP(Proc[[#This Row],[App]],Table2[],3,0),"open")</f>
        <v>open</v>
      </c>
      <c r="C3586" s="128" t="s">
        <v>5687</v>
      </c>
      <c r="D3586" t="s">
        <v>5684</v>
      </c>
      <c r="E3586" t="s">
        <v>5690</v>
      </c>
      <c r="F3586" s="129"/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0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on track</v>
      </c>
      <c r="Q3586" s="3">
        <f ca="1">IF(Proc[[#This Row],[DateClosed]]="",ABS(NETWORKDAYS(Proc[[#This Row],[DateOpened]],TODAY()))-1,ABS(NETWORKDAYS(Proc[[#This Row],[DateOpened]],Proc[[#This Row],[DateClosed]]))-1)</f>
        <v>0</v>
      </c>
      <c r="R3586" s="130" t="s">
        <v>5691</v>
      </c>
      <c r="S3586" s="129"/>
    </row>
    <row r="3587" spans="1:19">
      <c r="A3587" s="128" t="s">
        <v>5680</v>
      </c>
      <c r="B3587" s="129" t="str">
        <f>IFERROR(VLOOKUP(Proc[[#This Row],[App]],Table2[],3,0),"open")</f>
        <v>open</v>
      </c>
      <c r="C3587" s="128" t="s">
        <v>5687</v>
      </c>
      <c r="D3587" t="s">
        <v>5685</v>
      </c>
      <c r="E3587" t="s">
        <v>5688</v>
      </c>
      <c r="F3587" s="129"/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0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on track</v>
      </c>
      <c r="Q3587" s="3">
        <f ca="1">IF(Proc[[#This Row],[DateClosed]]="",ABS(NETWORKDAYS(Proc[[#This Row],[DateOpened]],TODAY()))-1,ABS(NETWORKDAYS(Proc[[#This Row],[DateOpened]],Proc[[#This Row],[DateClosed]]))-1)</f>
        <v>0</v>
      </c>
      <c r="R3587" s="130" t="s">
        <v>5691</v>
      </c>
      <c r="S3587" s="129"/>
    </row>
    <row r="3588" spans="1:19">
      <c r="A3588" s="128" t="s">
        <v>5680</v>
      </c>
      <c r="B3588" s="129" t="str">
        <f>IFERROR(VLOOKUP(Proc[[#This Row],[App]],Table2[],3,0),"open")</f>
        <v>open</v>
      </c>
      <c r="C3588" s="128" t="s">
        <v>5687</v>
      </c>
      <c r="D3588" t="s">
        <v>5686</v>
      </c>
      <c r="E3588" t="s">
        <v>5688</v>
      </c>
      <c r="F3588" s="129"/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0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on track</v>
      </c>
      <c r="Q3588" s="3">
        <f ca="1">IF(Proc[[#This Row],[DateClosed]]="",ABS(NETWORKDAYS(Proc[[#This Row],[DateOpened]],TODAY()))-1,ABS(NETWORKDAYS(Proc[[#This Row],[DateOpened]],Proc[[#This Row],[DateClosed]]))-1)</f>
        <v>0</v>
      </c>
      <c r="R3588" s="130" t="s">
        <v>5691</v>
      </c>
      <c r="S3588" s="129"/>
    </row>
    <row r="3589" spans="1:19">
      <c r="A3589" t="s">
        <v>5692</v>
      </c>
      <c r="B3589" s="129" t="str">
        <f>IFERROR(VLOOKUP(Proc[[#This Row],[App]],Table2[],3,0),"open")</f>
        <v>open</v>
      </c>
      <c r="C3589" s="128" t="s">
        <v>5687</v>
      </c>
      <c r="D3589" t="s">
        <v>5693</v>
      </c>
      <c r="E3589" t="s">
        <v>2161</v>
      </c>
      <c r="F3589" s="129"/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0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on track</v>
      </c>
      <c r="Q3589" s="3">
        <f ca="1">IF(Proc[[#This Row],[DateClosed]]="",ABS(NETWORKDAYS(Proc[[#This Row],[DateOpened]],TODAY()))-1,ABS(NETWORKDAYS(Proc[[#This Row],[DateOpened]],Proc[[#This Row],[DateClosed]]))-1)</f>
        <v>0</v>
      </c>
      <c r="R3589" s="130" t="s">
        <v>5691</v>
      </c>
      <c r="S3589" s="129"/>
    </row>
    <row r="3590" spans="1:19">
      <c r="A3590" s="128" t="s">
        <v>5692</v>
      </c>
      <c r="B3590" s="129" t="str">
        <f>IFERROR(VLOOKUP(Proc[[#This Row],[App]],Table2[],3,0),"open")</f>
        <v>open</v>
      </c>
      <c r="C3590" s="128" t="s">
        <v>5687</v>
      </c>
      <c r="D3590" t="s">
        <v>5694</v>
      </c>
      <c r="E3590" t="s">
        <v>2161</v>
      </c>
      <c r="F3590" s="129"/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0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on track</v>
      </c>
      <c r="Q3590" s="3">
        <f ca="1">IF(Proc[[#This Row],[DateClosed]]="",ABS(NETWORKDAYS(Proc[[#This Row],[DateOpened]],TODAY()))-1,ABS(NETWORKDAYS(Proc[[#This Row],[DateOpened]],Proc[[#This Row],[DateClosed]]))-1)</f>
        <v>0</v>
      </c>
      <c r="R3590" s="130" t="s">
        <v>5691</v>
      </c>
      <c r="S3590" s="129"/>
    </row>
    <row r="3591" spans="1:19">
      <c r="A3591" s="128" t="s">
        <v>5692</v>
      </c>
      <c r="B3591" s="129" t="str">
        <f>IFERROR(VLOOKUP(Proc[[#This Row],[App]],Table2[],3,0),"open")</f>
        <v>open</v>
      </c>
      <c r="C3591" s="128" t="s">
        <v>5687</v>
      </c>
      <c r="D3591" t="s">
        <v>5695</v>
      </c>
      <c r="E3591" t="s">
        <v>2161</v>
      </c>
      <c r="F3591" s="129"/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0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on track</v>
      </c>
      <c r="Q3591" s="3">
        <f ca="1">IF(Proc[[#This Row],[DateClosed]]="",ABS(NETWORKDAYS(Proc[[#This Row],[DateOpened]],TODAY()))-1,ABS(NETWORKDAYS(Proc[[#This Row],[DateOpened]],Proc[[#This Row],[DateClosed]]))-1)</f>
        <v>0</v>
      </c>
      <c r="R3591" s="130" t="s">
        <v>5691</v>
      </c>
      <c r="S3591" s="129"/>
    </row>
    <row r="3592" spans="1:19">
      <c r="A3592" s="128" t="s">
        <v>5692</v>
      </c>
      <c r="B3592" s="129" t="str">
        <f>IFERROR(VLOOKUP(Proc[[#This Row],[App]],Table2[],3,0),"open")</f>
        <v>open</v>
      </c>
      <c r="C3592" s="128" t="s">
        <v>5687</v>
      </c>
      <c r="D3592" t="s">
        <v>5696</v>
      </c>
      <c r="E3592" t="s">
        <v>2161</v>
      </c>
      <c r="F3592" s="129"/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0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on track</v>
      </c>
      <c r="Q3592" s="3">
        <f ca="1">IF(Proc[[#This Row],[DateClosed]]="",ABS(NETWORKDAYS(Proc[[#This Row],[DateOpened]],TODAY()))-1,ABS(NETWORKDAYS(Proc[[#This Row],[DateOpened]],Proc[[#This Row],[DateClosed]]))-1)</f>
        <v>0</v>
      </c>
      <c r="R3592" s="130" t="s">
        <v>5691</v>
      </c>
      <c r="S3592" s="129"/>
    </row>
    <row r="3593" spans="1:19">
      <c r="A3593" s="128" t="s">
        <v>5692</v>
      </c>
      <c r="B3593" s="129" t="str">
        <f>IFERROR(VLOOKUP(Proc[[#This Row],[App]],Table2[],3,0),"open")</f>
        <v>open</v>
      </c>
      <c r="C3593" s="128" t="s">
        <v>5687</v>
      </c>
      <c r="D3593" t="s">
        <v>5697</v>
      </c>
      <c r="E3593" t="s">
        <v>2161</v>
      </c>
      <c r="F3593" s="129"/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0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on track</v>
      </c>
      <c r="Q3593" s="3">
        <f ca="1">IF(Proc[[#This Row],[DateClosed]]="",ABS(NETWORKDAYS(Proc[[#This Row],[DateOpened]],TODAY()))-1,ABS(NETWORKDAYS(Proc[[#This Row],[DateOpened]],Proc[[#This Row],[DateClosed]]))-1)</f>
        <v>0</v>
      </c>
      <c r="R3593" s="130" t="s">
        <v>5691</v>
      </c>
      <c r="S3593" s="129"/>
    </row>
    <row r="3594" spans="1:19">
      <c r="A3594" s="128" t="s">
        <v>5692</v>
      </c>
      <c r="B3594" s="129" t="str">
        <f>IFERROR(VLOOKUP(Proc[[#This Row],[App]],Table2[],3,0),"open")</f>
        <v>open</v>
      </c>
      <c r="C3594" s="128" t="s">
        <v>5687</v>
      </c>
      <c r="D3594" t="s">
        <v>5698</v>
      </c>
      <c r="E3594" t="s">
        <v>2161</v>
      </c>
      <c r="F3594" s="129"/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0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on track</v>
      </c>
      <c r="Q3594" s="3">
        <f ca="1">IF(Proc[[#This Row],[DateClosed]]="",ABS(NETWORKDAYS(Proc[[#This Row],[DateOpened]],TODAY()))-1,ABS(NETWORKDAYS(Proc[[#This Row],[DateOpened]],Proc[[#This Row],[DateClosed]]))-1)</f>
        <v>0</v>
      </c>
      <c r="R3594" s="130" t="s">
        <v>5691</v>
      </c>
      <c r="S3594" s="129"/>
    </row>
    <row r="3595" spans="1:19">
      <c r="A3595" s="128" t="s">
        <v>5692</v>
      </c>
      <c r="B3595" s="129" t="str">
        <f>IFERROR(VLOOKUP(Proc[[#This Row],[App]],Table2[],3,0),"open")</f>
        <v>open</v>
      </c>
      <c r="C3595" s="128" t="s">
        <v>5687</v>
      </c>
      <c r="D3595" t="s">
        <v>5699</v>
      </c>
      <c r="E3595" t="s">
        <v>2161</v>
      </c>
      <c r="F3595" s="129"/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0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on track</v>
      </c>
      <c r="Q3595" s="3">
        <f ca="1">IF(Proc[[#This Row],[DateClosed]]="",ABS(NETWORKDAYS(Proc[[#This Row],[DateOpened]],TODAY()))-1,ABS(NETWORKDAYS(Proc[[#This Row],[DateOpened]],Proc[[#This Row],[DateClosed]]))-1)</f>
        <v>0</v>
      </c>
      <c r="R3595" s="130" t="s">
        <v>5691</v>
      </c>
      <c r="S3595" s="129"/>
    </row>
    <row r="3596" spans="1:19">
      <c r="A3596" s="128" t="s">
        <v>5692</v>
      </c>
      <c r="B3596" s="129" t="str">
        <f>IFERROR(VLOOKUP(Proc[[#This Row],[App]],Table2[],3,0),"open")</f>
        <v>open</v>
      </c>
      <c r="C3596" s="128" t="s">
        <v>5687</v>
      </c>
      <c r="D3596" t="s">
        <v>5700</v>
      </c>
      <c r="E3596" t="s">
        <v>2161</v>
      </c>
      <c r="F3596" s="129"/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0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on track</v>
      </c>
      <c r="Q3596" s="3">
        <f ca="1">IF(Proc[[#This Row],[DateClosed]]="",ABS(NETWORKDAYS(Proc[[#This Row],[DateOpened]],TODAY()))-1,ABS(NETWORKDAYS(Proc[[#This Row],[DateOpened]],Proc[[#This Row],[DateClosed]]))-1)</f>
        <v>0</v>
      </c>
      <c r="R3596" s="130" t="s">
        <v>5691</v>
      </c>
      <c r="S3596" s="129"/>
    </row>
    <row r="3597" spans="1:19">
      <c r="A3597" s="128" t="s">
        <v>5692</v>
      </c>
      <c r="B3597" s="129" t="str">
        <f>IFERROR(VLOOKUP(Proc[[#This Row],[App]],Table2[],3,0),"open")</f>
        <v>open</v>
      </c>
      <c r="C3597" s="128" t="s">
        <v>5687</v>
      </c>
      <c r="D3597" t="s">
        <v>5701</v>
      </c>
      <c r="E3597" t="s">
        <v>2161</v>
      </c>
      <c r="F3597" s="129"/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0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on track</v>
      </c>
      <c r="Q3597" s="3">
        <f ca="1">IF(Proc[[#This Row],[DateClosed]]="",ABS(NETWORKDAYS(Proc[[#This Row],[DateOpened]],TODAY()))-1,ABS(NETWORKDAYS(Proc[[#This Row],[DateOpened]],Proc[[#This Row],[DateClosed]]))-1)</f>
        <v>0</v>
      </c>
      <c r="R3597" s="130" t="s">
        <v>5691</v>
      </c>
      <c r="S3597" s="129"/>
    </row>
    <row r="3598" spans="1:19">
      <c r="A3598" s="128" t="s">
        <v>5692</v>
      </c>
      <c r="B3598" s="129" t="str">
        <f>IFERROR(VLOOKUP(Proc[[#This Row],[App]],Table2[],3,0),"open")</f>
        <v>open</v>
      </c>
      <c r="C3598" s="128" t="s">
        <v>5687</v>
      </c>
      <c r="D3598" t="s">
        <v>5702</v>
      </c>
      <c r="E3598" t="s">
        <v>2161</v>
      </c>
      <c r="F3598" s="129"/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0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on track</v>
      </c>
      <c r="Q3598" s="3">
        <f ca="1">IF(Proc[[#This Row],[DateClosed]]="",ABS(NETWORKDAYS(Proc[[#This Row],[DateOpened]],TODAY()))-1,ABS(NETWORKDAYS(Proc[[#This Row],[DateOpened]],Proc[[#This Row],[DateClosed]]))-1)</f>
        <v>0</v>
      </c>
      <c r="R3598" s="130" t="s">
        <v>5691</v>
      </c>
      <c r="S3598" s="129"/>
    </row>
    <row r="3599" spans="1:19">
      <c r="A3599" s="128" t="s">
        <v>5692</v>
      </c>
      <c r="B3599" s="129" t="str">
        <f>IFERROR(VLOOKUP(Proc[[#This Row],[App]],Table2[],3,0),"open")</f>
        <v>open</v>
      </c>
      <c r="C3599" s="128" t="s">
        <v>5687</v>
      </c>
      <c r="D3599" t="s">
        <v>5703</v>
      </c>
      <c r="E3599" t="s">
        <v>2161</v>
      </c>
      <c r="F3599" s="129"/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0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on track</v>
      </c>
      <c r="Q3599" s="3">
        <f ca="1">IF(Proc[[#This Row],[DateClosed]]="",ABS(NETWORKDAYS(Proc[[#This Row],[DateOpened]],TODAY()))-1,ABS(NETWORKDAYS(Proc[[#This Row],[DateOpened]],Proc[[#This Row],[DateClosed]]))-1)</f>
        <v>0</v>
      </c>
      <c r="R3599" s="130" t="s">
        <v>5691</v>
      </c>
      <c r="S3599" s="129"/>
    </row>
    <row r="3600" spans="1:19">
      <c r="A3600" s="128" t="s">
        <v>5692</v>
      </c>
      <c r="B3600" s="129" t="str">
        <f>IFERROR(VLOOKUP(Proc[[#This Row],[App]],Table2[],3,0),"open")</f>
        <v>open</v>
      </c>
      <c r="C3600" s="128" t="s">
        <v>5687</v>
      </c>
      <c r="D3600" t="s">
        <v>5704</v>
      </c>
      <c r="E3600" t="s">
        <v>2161</v>
      </c>
      <c r="F3600" s="129"/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0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on track</v>
      </c>
      <c r="Q3600" s="3">
        <f ca="1">IF(Proc[[#This Row],[DateClosed]]="",ABS(NETWORKDAYS(Proc[[#This Row],[DateOpened]],TODAY()))-1,ABS(NETWORKDAYS(Proc[[#This Row],[DateOpened]],Proc[[#This Row],[DateClosed]]))-1)</f>
        <v>0</v>
      </c>
      <c r="R3600" s="130" t="s">
        <v>5691</v>
      </c>
      <c r="S3600" s="129"/>
    </row>
    <row r="3601" spans="1:19">
      <c r="A3601" t="s">
        <v>5705</v>
      </c>
      <c r="B3601" s="129" t="str">
        <f>IFERROR(VLOOKUP(Proc[[#This Row],[App]],Table2[],3,0),"open")</f>
        <v>open</v>
      </c>
      <c r="C3601" s="128" t="s">
        <v>5687</v>
      </c>
      <c r="D3601" t="s">
        <v>5706</v>
      </c>
      <c r="E3601" t="s">
        <v>5707</v>
      </c>
      <c r="F3601" s="129"/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0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on track</v>
      </c>
      <c r="Q3601" s="3">
        <f ca="1">IF(Proc[[#This Row],[DateClosed]]="",ABS(NETWORKDAYS(Proc[[#This Row],[DateOpened]],TODAY()))-1,ABS(NETWORKDAYS(Proc[[#This Row],[DateOpened]],Proc[[#This Row],[DateClosed]]))-1)</f>
        <v>0</v>
      </c>
      <c r="R3601" s="130" t="s">
        <v>5691</v>
      </c>
      <c r="S3601" s="129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G2:G3601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0A32F-2A24-4CA2-A89B-9E6AC33F681F}">
  <dimension ref="A1:B10"/>
  <sheetViews>
    <sheetView workbookViewId="0">
      <selection activeCell="B1" sqref="B1"/>
    </sheetView>
  </sheetViews>
  <sheetFormatPr defaultRowHeight="14.4"/>
  <sheetData>
    <row r="1" spans="1:2">
      <c r="A1" t="s">
        <v>5567</v>
      </c>
      <c r="B1" t="s">
        <v>5557</v>
      </c>
    </row>
    <row r="2" spans="1:2">
      <c r="A2" t="s">
        <v>5568</v>
      </c>
      <c r="B2" t="s">
        <v>5557</v>
      </c>
    </row>
    <row r="3" spans="1:2">
      <c r="A3" t="s">
        <v>2394</v>
      </c>
      <c r="B3" t="s">
        <v>2391</v>
      </c>
    </row>
    <row r="4" spans="1:2">
      <c r="A4" t="s">
        <v>2393</v>
      </c>
      <c r="B4" t="s">
        <v>2391</v>
      </c>
    </row>
    <row r="5" spans="1:2">
      <c r="A5" t="s">
        <v>2392</v>
      </c>
      <c r="B5" t="s">
        <v>2391</v>
      </c>
    </row>
    <row r="6" spans="1:2">
      <c r="A6" t="s">
        <v>5569</v>
      </c>
      <c r="B6" t="s">
        <v>5558</v>
      </c>
    </row>
    <row r="7" spans="1:2">
      <c r="A7" t="s">
        <v>5570</v>
      </c>
      <c r="B7" t="s">
        <v>5558</v>
      </c>
    </row>
    <row r="8" spans="1:2">
      <c r="A8" t="s">
        <v>5579</v>
      </c>
      <c r="B8" t="s">
        <v>5573</v>
      </c>
    </row>
    <row r="9" spans="1:2">
      <c r="A9" t="s">
        <v>5575</v>
      </c>
      <c r="B9" t="s">
        <v>5580</v>
      </c>
    </row>
    <row r="10" spans="1:2">
      <c r="A10" t="s">
        <v>5576</v>
      </c>
      <c r="B10" t="s">
        <v>2416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3"/>
  <sheetViews>
    <sheetView topLeftCell="A121" workbookViewId="0">
      <selection activeCell="B133" sqref="B13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5691</v>
      </c>
      <c r="B133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2025-08-15T14:37:56Z</dcterms:modified>
  <cp:category/>
  <cp:contentStatus/>
</cp:coreProperties>
</file>